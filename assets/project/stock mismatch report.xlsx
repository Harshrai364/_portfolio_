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rsh\Downloads\PROJECTS TO ADD IN RESUME\"/>
    </mc:Choice>
  </mc:AlternateContent>
  <xr:revisionPtr revIDLastSave="0" documentId="13_ncr:1_{9E5E24B7-E161-4FF8-91CF-B7FC03CE0E43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raw sheet" sheetId="1" state="hidden" r:id="rId1"/>
    <sheet name="calcu sheet" sheetId="2" state="hidden" r:id="rId2"/>
    <sheet name="main sheet" sheetId="4" r:id="rId3"/>
    <sheet name="analysis" sheetId="5" r:id="rId4"/>
    <sheet name="pivot tables" sheetId="6" r:id="rId5"/>
  </sheets>
  <definedNames>
    <definedName name="_xlnm._FilterDatabase" localSheetId="0" hidden="1">'raw sheet'!$B$2:$H$1002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I1003" i="4"/>
  <c r="J1003" i="4" s="1" a="1"/>
  <c r="J1003" i="4" s="1"/>
  <c r="M1003" i="4"/>
  <c r="D3" i="5"/>
  <c r="D33" i="5" s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3" i="4"/>
  <c r="I4" i="4"/>
  <c r="I5" i="4"/>
  <c r="I6" i="4"/>
  <c r="K6" i="4" s="1"/>
  <c r="I7" i="4"/>
  <c r="J7" i="4" s="1" a="1"/>
  <c r="J7" i="4" s="1"/>
  <c r="I8" i="4"/>
  <c r="K8" i="4" s="1"/>
  <c r="I9" i="4"/>
  <c r="I10" i="4"/>
  <c r="J10" i="4" s="1" a="1"/>
  <c r="J10" i="4" s="1"/>
  <c r="I11" i="4"/>
  <c r="K11" i="4" s="1"/>
  <c r="N11" i="4" s="1" a="1"/>
  <c r="N11" i="4" s="1"/>
  <c r="I12" i="4"/>
  <c r="I13" i="4"/>
  <c r="K13" i="4" s="1"/>
  <c r="I14" i="4"/>
  <c r="K14" i="4" s="1"/>
  <c r="I15" i="4"/>
  <c r="J15" i="4" s="1" a="1"/>
  <c r="J15" i="4" s="1"/>
  <c r="I16" i="4"/>
  <c r="I17" i="4"/>
  <c r="K17" i="4" s="1"/>
  <c r="I18" i="4"/>
  <c r="I19" i="4"/>
  <c r="I20" i="4"/>
  <c r="I21" i="4"/>
  <c r="I22" i="4"/>
  <c r="I23" i="4"/>
  <c r="K23" i="4" s="1"/>
  <c r="I24" i="4"/>
  <c r="I25" i="4"/>
  <c r="I26" i="4"/>
  <c r="K26" i="4" s="1"/>
  <c r="I27" i="4"/>
  <c r="J27" i="4" s="1" a="1"/>
  <c r="J27" i="4" s="1"/>
  <c r="I28" i="4"/>
  <c r="J28" i="4" s="1" a="1"/>
  <c r="J28" i="4" s="1"/>
  <c r="I29" i="4"/>
  <c r="I30" i="4"/>
  <c r="K30" i="4" s="1"/>
  <c r="I31" i="4"/>
  <c r="K31" i="4" s="1"/>
  <c r="I32" i="4"/>
  <c r="I33" i="4"/>
  <c r="K33" i="4" s="1"/>
  <c r="I34" i="4"/>
  <c r="K34" i="4" s="1"/>
  <c r="I35" i="4"/>
  <c r="I36" i="4"/>
  <c r="J36" i="4" s="1" a="1"/>
  <c r="J36" i="4" s="1"/>
  <c r="I37" i="4"/>
  <c r="I38" i="4"/>
  <c r="I39" i="4"/>
  <c r="J39" i="4" s="1" a="1"/>
  <c r="J39" i="4" s="1"/>
  <c r="I40" i="4"/>
  <c r="I41" i="4"/>
  <c r="K41" i="4" s="1"/>
  <c r="I42" i="4"/>
  <c r="I43" i="4"/>
  <c r="I44" i="4"/>
  <c r="I45" i="4"/>
  <c r="I46" i="4"/>
  <c r="K46" i="4" s="1"/>
  <c r="N46" i="4" s="1" a="1"/>
  <c r="N46" i="4" s="1"/>
  <c r="I47" i="4"/>
  <c r="K47" i="4" s="1"/>
  <c r="I48" i="4"/>
  <c r="I49" i="4"/>
  <c r="I50" i="4"/>
  <c r="J50" i="4" s="1" a="1"/>
  <c r="J50" i="4" s="1"/>
  <c r="I51" i="4"/>
  <c r="I52" i="4"/>
  <c r="J52" i="4" s="1" a="1"/>
  <c r="J52" i="4" s="1"/>
  <c r="I53" i="4"/>
  <c r="I54" i="4"/>
  <c r="K54" i="4" s="1"/>
  <c r="I55" i="4"/>
  <c r="K55" i="4" s="1"/>
  <c r="I56" i="4"/>
  <c r="I57" i="4"/>
  <c r="K57" i="4" s="1"/>
  <c r="I58" i="4"/>
  <c r="J58" i="4" s="1" a="1"/>
  <c r="J58" i="4" s="1"/>
  <c r="I59" i="4"/>
  <c r="I60" i="4"/>
  <c r="I61" i="4"/>
  <c r="K61" i="4" s="1"/>
  <c r="I62" i="4"/>
  <c r="I63" i="4"/>
  <c r="I64" i="4"/>
  <c r="I65" i="4"/>
  <c r="I66" i="4"/>
  <c r="J66" i="4" s="1" a="1"/>
  <c r="J66" i="4" s="1"/>
  <c r="I67" i="4"/>
  <c r="I68" i="4"/>
  <c r="I69" i="4"/>
  <c r="I70" i="4"/>
  <c r="I71" i="4"/>
  <c r="K71" i="4" s="1"/>
  <c r="I72" i="4"/>
  <c r="I73" i="4"/>
  <c r="J73" i="4" s="1" a="1"/>
  <c r="J73" i="4" s="1"/>
  <c r="I74" i="4"/>
  <c r="I75" i="4"/>
  <c r="K75" i="4" s="1"/>
  <c r="I76" i="4"/>
  <c r="J76" i="4" s="1" a="1"/>
  <c r="J76" i="4" s="1"/>
  <c r="I77" i="4"/>
  <c r="K77" i="4" s="1"/>
  <c r="I78" i="4"/>
  <c r="K78" i="4" s="1"/>
  <c r="I79" i="4"/>
  <c r="I80" i="4"/>
  <c r="I81" i="4"/>
  <c r="I82" i="4"/>
  <c r="I83" i="4"/>
  <c r="K83" i="4" s="1"/>
  <c r="I84" i="4"/>
  <c r="I85" i="4"/>
  <c r="J85" i="4" s="1" a="1"/>
  <c r="J85" i="4" s="1"/>
  <c r="I86" i="4"/>
  <c r="J86" i="4" s="1" a="1"/>
  <c r="J86" i="4" s="1"/>
  <c r="I87" i="4"/>
  <c r="J87" i="4" s="1" a="1"/>
  <c r="J87" i="4" s="1"/>
  <c r="I88" i="4"/>
  <c r="I89" i="4"/>
  <c r="K89" i="4" s="1"/>
  <c r="I90" i="4"/>
  <c r="K90" i="4" s="1"/>
  <c r="I91" i="4"/>
  <c r="J91" i="4" s="1" a="1"/>
  <c r="J91" i="4" s="1"/>
  <c r="I92" i="4"/>
  <c r="I93" i="4"/>
  <c r="I94" i="4"/>
  <c r="K94" i="4" s="1"/>
  <c r="N94" i="4" s="1" a="1"/>
  <c r="N94" i="4" s="1"/>
  <c r="I95" i="4"/>
  <c r="K95" i="4" s="1"/>
  <c r="I96" i="4"/>
  <c r="I97" i="4"/>
  <c r="I98" i="4"/>
  <c r="I99" i="4"/>
  <c r="K99" i="4" s="1"/>
  <c r="I100" i="4"/>
  <c r="I101" i="4"/>
  <c r="K101" i="4" s="1"/>
  <c r="I102" i="4"/>
  <c r="K102" i="4" s="1"/>
  <c r="I103" i="4"/>
  <c r="J103" i="4" s="1" a="1"/>
  <c r="J103" i="4" s="1"/>
  <c r="I104" i="4"/>
  <c r="I105" i="4"/>
  <c r="I106" i="4"/>
  <c r="I107" i="4"/>
  <c r="K107" i="4" s="1"/>
  <c r="I108" i="4"/>
  <c r="I109" i="4"/>
  <c r="K109" i="4" s="1"/>
  <c r="I110" i="4"/>
  <c r="I111" i="4"/>
  <c r="K111" i="4" s="1"/>
  <c r="I112" i="4"/>
  <c r="I113" i="4"/>
  <c r="K113" i="4" s="1"/>
  <c r="L113" i="4" s="1"/>
  <c r="O113" i="4" s="1"/>
  <c r="I114" i="4"/>
  <c r="K114" i="4" s="1"/>
  <c r="I115" i="4"/>
  <c r="K115" i="4" s="1"/>
  <c r="I116" i="4"/>
  <c r="I117" i="4"/>
  <c r="K117" i="4" s="1"/>
  <c r="I118" i="4"/>
  <c r="I119" i="4"/>
  <c r="K119" i="4" s="1"/>
  <c r="I120" i="4"/>
  <c r="I121" i="4"/>
  <c r="I122" i="4"/>
  <c r="J122" i="4" s="1" a="1"/>
  <c r="J122" i="4" s="1"/>
  <c r="I123" i="4"/>
  <c r="K123" i="4" s="1"/>
  <c r="I124" i="4"/>
  <c r="J124" i="4" s="1" a="1"/>
  <c r="J124" i="4" s="1"/>
  <c r="I125" i="4"/>
  <c r="I126" i="4"/>
  <c r="I127" i="4"/>
  <c r="K127" i="4" s="1"/>
  <c r="I128" i="4"/>
  <c r="I129" i="4"/>
  <c r="I130" i="4"/>
  <c r="I131" i="4"/>
  <c r="K131" i="4" s="1"/>
  <c r="I132" i="4"/>
  <c r="I133" i="4"/>
  <c r="K133" i="4" s="1"/>
  <c r="I134" i="4"/>
  <c r="I135" i="4"/>
  <c r="I136" i="4"/>
  <c r="K136" i="4" s="1"/>
  <c r="I137" i="4"/>
  <c r="I138" i="4"/>
  <c r="I139" i="4"/>
  <c r="I140" i="4"/>
  <c r="I141" i="4"/>
  <c r="I142" i="4"/>
  <c r="I143" i="4"/>
  <c r="I144" i="4"/>
  <c r="I145" i="4"/>
  <c r="I146" i="4"/>
  <c r="K146" i="4" s="1"/>
  <c r="I147" i="4"/>
  <c r="K147" i="4" s="1"/>
  <c r="I148" i="4"/>
  <c r="I149" i="4"/>
  <c r="I150" i="4"/>
  <c r="J150" i="4" s="1" a="1"/>
  <c r="J150" i="4" s="1"/>
  <c r="I151" i="4"/>
  <c r="K151" i="4" s="1"/>
  <c r="N151" i="4" s="1" a="1"/>
  <c r="N151" i="4" s="1"/>
  <c r="I152" i="4"/>
  <c r="I153" i="4"/>
  <c r="I154" i="4"/>
  <c r="J154" i="4" s="1" a="1"/>
  <c r="J154" i="4" s="1"/>
  <c r="I155" i="4"/>
  <c r="I156" i="4"/>
  <c r="I157" i="4"/>
  <c r="I158" i="4"/>
  <c r="K158" i="4" s="1"/>
  <c r="I159" i="4"/>
  <c r="K159" i="4" s="1"/>
  <c r="I160" i="4"/>
  <c r="I161" i="4"/>
  <c r="K161" i="4" s="1"/>
  <c r="I162" i="4"/>
  <c r="J162" i="4" s="1" a="1"/>
  <c r="J162" i="4" s="1"/>
  <c r="I163" i="4"/>
  <c r="J163" i="4" s="1" a="1"/>
  <c r="J163" i="4" s="1"/>
  <c r="I164" i="4"/>
  <c r="I165" i="4"/>
  <c r="I166" i="4"/>
  <c r="K166" i="4" s="1"/>
  <c r="I167" i="4"/>
  <c r="I168" i="4"/>
  <c r="I169" i="4"/>
  <c r="I170" i="4"/>
  <c r="J170" i="4" s="1" a="1"/>
  <c r="J170" i="4" s="1"/>
  <c r="I171" i="4"/>
  <c r="I172" i="4"/>
  <c r="J172" i="4" s="1" a="1"/>
  <c r="J172" i="4" s="1"/>
  <c r="I173" i="4"/>
  <c r="I174" i="4"/>
  <c r="K174" i="4" s="1"/>
  <c r="N174" i="4" s="1" a="1"/>
  <c r="N174" i="4" s="1"/>
  <c r="I175" i="4"/>
  <c r="K175" i="4" s="1"/>
  <c r="I176" i="4"/>
  <c r="I177" i="4"/>
  <c r="K177" i="4" s="1"/>
  <c r="N177" i="4" s="1" a="1"/>
  <c r="N177" i="4" s="1"/>
  <c r="I178" i="4"/>
  <c r="I179" i="4"/>
  <c r="I180" i="4"/>
  <c r="I181" i="4"/>
  <c r="I182" i="4"/>
  <c r="J182" i="4" s="1" a="1"/>
  <c r="J182" i="4" s="1"/>
  <c r="I183" i="4"/>
  <c r="J183" i="4" s="1" a="1"/>
  <c r="J183" i="4" s="1"/>
  <c r="I184" i="4"/>
  <c r="I185" i="4"/>
  <c r="K185" i="4" s="1"/>
  <c r="N185" i="4" s="1" a="1"/>
  <c r="N185" i="4" s="1"/>
  <c r="I186" i="4"/>
  <c r="K186" i="4" s="1"/>
  <c r="I187" i="4"/>
  <c r="I188" i="4"/>
  <c r="I189" i="4"/>
  <c r="I190" i="4"/>
  <c r="K190" i="4" s="1"/>
  <c r="I191" i="4"/>
  <c r="K191" i="4" s="1"/>
  <c r="I192" i="4"/>
  <c r="I193" i="4"/>
  <c r="I194" i="4"/>
  <c r="J194" i="4" s="1" a="1"/>
  <c r="J194" i="4" s="1"/>
  <c r="I195" i="4"/>
  <c r="K195" i="4" s="1"/>
  <c r="I196" i="4"/>
  <c r="K196" i="4" s="1"/>
  <c r="I197" i="4"/>
  <c r="K197" i="4" s="1"/>
  <c r="I198" i="4"/>
  <c r="J198" i="4" s="1" a="1"/>
  <c r="J198" i="4" s="1"/>
  <c r="I199" i="4"/>
  <c r="I200" i="4"/>
  <c r="I201" i="4"/>
  <c r="I202" i="4"/>
  <c r="I203" i="4"/>
  <c r="I204" i="4"/>
  <c r="I205" i="4"/>
  <c r="K205" i="4" s="1"/>
  <c r="I206" i="4"/>
  <c r="I207" i="4"/>
  <c r="J207" i="4" s="1" a="1"/>
  <c r="J207" i="4" s="1"/>
  <c r="I208" i="4"/>
  <c r="K208" i="4" s="1"/>
  <c r="I209" i="4"/>
  <c r="I210" i="4"/>
  <c r="J210" i="4" s="1" a="1"/>
  <c r="J210" i="4" s="1"/>
  <c r="I211" i="4"/>
  <c r="I212" i="4"/>
  <c r="I213" i="4"/>
  <c r="K213" i="4" s="1"/>
  <c r="N213" i="4" s="1" a="1"/>
  <c r="N213" i="4" s="1"/>
  <c r="I214" i="4"/>
  <c r="K214" i="4" s="1"/>
  <c r="I215" i="4"/>
  <c r="K215" i="4" s="1"/>
  <c r="I216" i="4"/>
  <c r="I217" i="4"/>
  <c r="I218" i="4"/>
  <c r="I219" i="4"/>
  <c r="K219" i="4" s="1"/>
  <c r="I220" i="4"/>
  <c r="I221" i="4"/>
  <c r="K221" i="4" s="1"/>
  <c r="N221" i="4" s="1" a="1"/>
  <c r="N221" i="4" s="1"/>
  <c r="I222" i="4"/>
  <c r="K222" i="4" s="1"/>
  <c r="I223" i="4"/>
  <c r="K223" i="4" s="1"/>
  <c r="N223" i="4" s="1" a="1"/>
  <c r="N223" i="4" s="1"/>
  <c r="I224" i="4"/>
  <c r="I225" i="4"/>
  <c r="I226" i="4"/>
  <c r="J226" i="4" s="1" a="1"/>
  <c r="J226" i="4" s="1"/>
  <c r="I227" i="4"/>
  <c r="K227" i="4" s="1"/>
  <c r="N227" i="4" s="1" a="1"/>
  <c r="N227" i="4" s="1"/>
  <c r="I228" i="4"/>
  <c r="I229" i="4"/>
  <c r="I230" i="4"/>
  <c r="I231" i="4"/>
  <c r="J231" i="4" s="1" a="1"/>
  <c r="J231" i="4" s="1"/>
  <c r="I232" i="4"/>
  <c r="I233" i="4"/>
  <c r="K233" i="4" s="1"/>
  <c r="I234" i="4"/>
  <c r="K234" i="4" s="1"/>
  <c r="N234" i="4" s="1" a="1"/>
  <c r="N234" i="4" s="1"/>
  <c r="I235" i="4"/>
  <c r="J235" i="4" s="1" a="1"/>
  <c r="J235" i="4" s="1"/>
  <c r="I236" i="4"/>
  <c r="I237" i="4"/>
  <c r="K237" i="4" s="1"/>
  <c r="I238" i="4"/>
  <c r="I239" i="4"/>
  <c r="I240" i="4"/>
  <c r="I241" i="4"/>
  <c r="K241" i="4" s="1"/>
  <c r="I242" i="4"/>
  <c r="I243" i="4"/>
  <c r="I244" i="4"/>
  <c r="J244" i="4" s="1" a="1"/>
  <c r="J244" i="4" s="1"/>
  <c r="I245" i="4"/>
  <c r="K245" i="4" s="1"/>
  <c r="I246" i="4"/>
  <c r="K246" i="4" s="1"/>
  <c r="I247" i="4"/>
  <c r="J247" i="4" s="1" a="1"/>
  <c r="J247" i="4" s="1"/>
  <c r="I248" i="4"/>
  <c r="I249" i="4"/>
  <c r="I250" i="4"/>
  <c r="J250" i="4" s="1" a="1"/>
  <c r="J250" i="4" s="1"/>
  <c r="I251" i="4"/>
  <c r="I252" i="4"/>
  <c r="K252" i="4" s="1"/>
  <c r="I253" i="4"/>
  <c r="J253" i="4" s="1" a="1"/>
  <c r="J253" i="4" s="1"/>
  <c r="I254" i="4"/>
  <c r="I255" i="4"/>
  <c r="K255" i="4" s="1"/>
  <c r="I256" i="4"/>
  <c r="I257" i="4"/>
  <c r="I258" i="4"/>
  <c r="K258" i="4" s="1"/>
  <c r="I259" i="4"/>
  <c r="K259" i="4" s="1"/>
  <c r="I260" i="4"/>
  <c r="I261" i="4"/>
  <c r="J261" i="4" s="1" a="1"/>
  <c r="J261" i="4" s="1"/>
  <c r="I262" i="4"/>
  <c r="J262" i="4" s="1" a="1"/>
  <c r="J262" i="4" s="1"/>
  <c r="I263" i="4"/>
  <c r="K263" i="4" s="1"/>
  <c r="I264" i="4"/>
  <c r="I265" i="4"/>
  <c r="I266" i="4"/>
  <c r="K266" i="4" s="1"/>
  <c r="I267" i="4"/>
  <c r="J267" i="4" s="1" a="1"/>
  <c r="J267" i="4" s="1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K280" i="4" s="1"/>
  <c r="I281" i="4"/>
  <c r="K281" i="4" s="1"/>
  <c r="L281" i="4" s="1"/>
  <c r="O281" i="4" s="1"/>
  <c r="I282" i="4"/>
  <c r="I283" i="4"/>
  <c r="K283" i="4" s="1"/>
  <c r="I284" i="4"/>
  <c r="I285" i="4"/>
  <c r="I286" i="4"/>
  <c r="J286" i="4" s="1" a="1"/>
  <c r="J286" i="4" s="1"/>
  <c r="I287" i="4"/>
  <c r="K287" i="4" s="1"/>
  <c r="I288" i="4"/>
  <c r="I289" i="4"/>
  <c r="I290" i="4"/>
  <c r="I291" i="4"/>
  <c r="J291" i="4" s="1" a="1"/>
  <c r="J291" i="4" s="1"/>
  <c r="I292" i="4"/>
  <c r="K292" i="4" s="1"/>
  <c r="I293" i="4"/>
  <c r="K293" i="4" s="1"/>
  <c r="I294" i="4"/>
  <c r="J294" i="4" s="1" a="1"/>
  <c r="J294" i="4" s="1"/>
  <c r="I295" i="4"/>
  <c r="I296" i="4"/>
  <c r="I297" i="4"/>
  <c r="K297" i="4" s="1"/>
  <c r="N297" i="4" s="1" a="1"/>
  <c r="N297" i="4" s="1"/>
  <c r="I298" i="4"/>
  <c r="J298" i="4" s="1" a="1"/>
  <c r="J298" i="4" s="1"/>
  <c r="I299" i="4"/>
  <c r="I300" i="4"/>
  <c r="I301" i="4"/>
  <c r="I302" i="4"/>
  <c r="K302" i="4" s="1"/>
  <c r="I303" i="4"/>
  <c r="J303" i="4" s="1" a="1"/>
  <c r="J303" i="4" s="1"/>
  <c r="I304" i="4"/>
  <c r="K304" i="4" s="1"/>
  <c r="I305" i="4"/>
  <c r="I306" i="4"/>
  <c r="I307" i="4"/>
  <c r="J307" i="4" s="1" a="1"/>
  <c r="J307" i="4" s="1"/>
  <c r="I308" i="4"/>
  <c r="I309" i="4"/>
  <c r="I310" i="4"/>
  <c r="I311" i="4"/>
  <c r="K311" i="4" s="1"/>
  <c r="I312" i="4"/>
  <c r="I313" i="4"/>
  <c r="I314" i="4"/>
  <c r="K314" i="4" s="1"/>
  <c r="N314" i="4" s="1" a="1"/>
  <c r="N314" i="4" s="1"/>
  <c r="I315" i="4"/>
  <c r="J315" i="4" s="1" a="1"/>
  <c r="J315" i="4" s="1"/>
  <c r="I316" i="4"/>
  <c r="K316" i="4" s="1"/>
  <c r="I317" i="4"/>
  <c r="K317" i="4" s="1"/>
  <c r="N317" i="4" s="1" a="1"/>
  <c r="N317" i="4" s="1"/>
  <c r="I318" i="4"/>
  <c r="K318" i="4" s="1"/>
  <c r="I319" i="4"/>
  <c r="I320" i="4"/>
  <c r="K320" i="4" s="1"/>
  <c r="I321" i="4"/>
  <c r="I322" i="4"/>
  <c r="J322" i="4" s="1" a="1"/>
  <c r="J322" i="4" s="1"/>
  <c r="I323" i="4"/>
  <c r="K323" i="4" s="1"/>
  <c r="I324" i="4"/>
  <c r="I325" i="4"/>
  <c r="J325" i="4" s="1" a="1"/>
  <c r="J325" i="4" s="1"/>
  <c r="I326" i="4"/>
  <c r="K326" i="4" s="1"/>
  <c r="I327" i="4"/>
  <c r="K327" i="4" s="1"/>
  <c r="I328" i="4"/>
  <c r="I329" i="4"/>
  <c r="K329" i="4" s="1"/>
  <c r="I330" i="4"/>
  <c r="J330" i="4" s="1" a="1"/>
  <c r="J330" i="4" s="1"/>
  <c r="I331" i="4"/>
  <c r="K331" i="4" s="1"/>
  <c r="L331" i="4" s="1"/>
  <c r="O331" i="4" s="1"/>
  <c r="I332" i="4"/>
  <c r="K332" i="4" s="1"/>
  <c r="I333" i="4"/>
  <c r="K333" i="4" s="1"/>
  <c r="I334" i="4"/>
  <c r="K334" i="4" s="1"/>
  <c r="N334" i="4" s="1" a="1"/>
  <c r="N334" i="4" s="1"/>
  <c r="I335" i="4"/>
  <c r="K335" i="4" s="1"/>
  <c r="I336" i="4"/>
  <c r="I337" i="4"/>
  <c r="J337" i="4" s="1" a="1"/>
  <c r="J337" i="4" s="1"/>
  <c r="I338" i="4"/>
  <c r="K338" i="4" s="1"/>
  <c r="I339" i="4"/>
  <c r="K339" i="4" s="1"/>
  <c r="I340" i="4"/>
  <c r="I341" i="4"/>
  <c r="K341" i="4" s="1"/>
  <c r="I342" i="4"/>
  <c r="J342" i="4" s="1" a="1"/>
  <c r="J342" i="4" s="1"/>
  <c r="I343" i="4"/>
  <c r="K343" i="4" s="1"/>
  <c r="I344" i="4"/>
  <c r="I345" i="4"/>
  <c r="K345" i="4" s="1"/>
  <c r="I346" i="4"/>
  <c r="J346" i="4" s="1" a="1"/>
  <c r="J346" i="4" s="1"/>
  <c r="I347" i="4"/>
  <c r="K347" i="4" s="1"/>
  <c r="I348" i="4"/>
  <c r="I349" i="4"/>
  <c r="K349" i="4" s="1"/>
  <c r="I350" i="4"/>
  <c r="I351" i="4"/>
  <c r="J351" i="4" s="1" a="1"/>
  <c r="J351" i="4" s="1"/>
  <c r="I352" i="4"/>
  <c r="K352" i="4" s="1"/>
  <c r="I353" i="4"/>
  <c r="K353" i="4" s="1"/>
  <c r="I354" i="4"/>
  <c r="K354" i="4" s="1"/>
  <c r="I355" i="4"/>
  <c r="I356" i="4"/>
  <c r="I357" i="4"/>
  <c r="K357" i="4" s="1"/>
  <c r="I358" i="4"/>
  <c r="I359" i="4"/>
  <c r="I360" i="4"/>
  <c r="K360" i="4" s="1"/>
  <c r="I361" i="4"/>
  <c r="I362" i="4"/>
  <c r="K362" i="4" s="1"/>
  <c r="N362" i="4" s="1" a="1"/>
  <c r="N362" i="4" s="1"/>
  <c r="I363" i="4"/>
  <c r="J363" i="4" s="1" a="1"/>
  <c r="J363" i="4" s="1"/>
  <c r="I364" i="4"/>
  <c r="I365" i="4"/>
  <c r="K365" i="4" s="1"/>
  <c r="N365" i="4" s="1" a="1"/>
  <c r="N365" i="4" s="1"/>
  <c r="I366" i="4"/>
  <c r="J366" i="4" s="1" a="1"/>
  <c r="J366" i="4" s="1"/>
  <c r="I367" i="4"/>
  <c r="J367" i="4" s="1" a="1"/>
  <c r="J367" i="4" s="1"/>
  <c r="I368" i="4"/>
  <c r="I369" i="4"/>
  <c r="K369" i="4" s="1"/>
  <c r="N369" i="4" s="1" a="1"/>
  <c r="N369" i="4" s="1"/>
  <c r="I370" i="4"/>
  <c r="K370" i="4" s="1"/>
  <c r="I371" i="4"/>
  <c r="K371" i="4" s="1"/>
  <c r="I372" i="4"/>
  <c r="I373" i="4"/>
  <c r="I374" i="4"/>
  <c r="I375" i="4"/>
  <c r="K375" i="4" s="1"/>
  <c r="L375" i="4" s="1"/>
  <c r="O375" i="4" s="1"/>
  <c r="I376" i="4"/>
  <c r="J376" i="4" s="1" a="1"/>
  <c r="J376" i="4" s="1"/>
  <c r="I377" i="4"/>
  <c r="K377" i="4" s="1"/>
  <c r="I378" i="4"/>
  <c r="J378" i="4" s="1" a="1"/>
  <c r="J378" i="4" s="1"/>
  <c r="I379" i="4"/>
  <c r="I380" i="4"/>
  <c r="I381" i="4"/>
  <c r="J381" i="4" s="1" a="1"/>
  <c r="J381" i="4" s="1"/>
  <c r="I382" i="4"/>
  <c r="J382" i="4" s="1" a="1"/>
  <c r="J382" i="4" s="1"/>
  <c r="I383" i="4"/>
  <c r="I384" i="4"/>
  <c r="K384" i="4" s="1"/>
  <c r="I385" i="4"/>
  <c r="K385" i="4" s="1"/>
  <c r="I386" i="4"/>
  <c r="K386" i="4" s="1"/>
  <c r="I387" i="4"/>
  <c r="J387" i="4" s="1" a="1"/>
  <c r="J387" i="4" s="1"/>
  <c r="I388" i="4"/>
  <c r="K388" i="4" s="1"/>
  <c r="I389" i="4"/>
  <c r="I390" i="4"/>
  <c r="J390" i="4" s="1" a="1"/>
  <c r="J390" i="4" s="1"/>
  <c r="I391" i="4"/>
  <c r="I392" i="4"/>
  <c r="I393" i="4"/>
  <c r="I394" i="4"/>
  <c r="I395" i="4"/>
  <c r="K395" i="4" s="1"/>
  <c r="I396" i="4"/>
  <c r="I397" i="4"/>
  <c r="J397" i="4" s="1" a="1"/>
  <c r="J397" i="4" s="1"/>
  <c r="I398" i="4"/>
  <c r="K398" i="4" s="1"/>
  <c r="I399" i="4"/>
  <c r="K399" i="4" s="1"/>
  <c r="I400" i="4"/>
  <c r="I401" i="4"/>
  <c r="K401" i="4" s="1"/>
  <c r="I402" i="4"/>
  <c r="K402" i="4" s="1"/>
  <c r="I403" i="4"/>
  <c r="I404" i="4"/>
  <c r="K404" i="4" s="1"/>
  <c r="I405" i="4"/>
  <c r="K405" i="4" s="1"/>
  <c r="L405" i="4" s="1"/>
  <c r="O405" i="4" s="1"/>
  <c r="I406" i="4"/>
  <c r="K406" i="4" s="1"/>
  <c r="I407" i="4"/>
  <c r="K407" i="4" s="1"/>
  <c r="N407" i="4" s="1" a="1"/>
  <c r="N407" i="4" s="1"/>
  <c r="I408" i="4"/>
  <c r="I409" i="4"/>
  <c r="K409" i="4" s="1"/>
  <c r="N409" i="4" s="1" a="1"/>
  <c r="N409" i="4" s="1"/>
  <c r="I410" i="4"/>
  <c r="J410" i="4" s="1" a="1"/>
  <c r="J410" i="4" s="1"/>
  <c r="I411" i="4"/>
  <c r="K411" i="4" s="1"/>
  <c r="I412" i="4"/>
  <c r="I413" i="4"/>
  <c r="I414" i="4"/>
  <c r="J414" i="4" s="1" a="1"/>
  <c r="J414" i="4" s="1"/>
  <c r="I415" i="4"/>
  <c r="I416" i="4"/>
  <c r="I417" i="4"/>
  <c r="I418" i="4"/>
  <c r="I419" i="4"/>
  <c r="I420" i="4"/>
  <c r="I421" i="4"/>
  <c r="I422" i="4"/>
  <c r="I423" i="4"/>
  <c r="K423" i="4" s="1"/>
  <c r="I424" i="4"/>
  <c r="I425" i="4"/>
  <c r="I426" i="4"/>
  <c r="I427" i="4"/>
  <c r="K427" i="4" s="1"/>
  <c r="N427" i="4" s="1" a="1"/>
  <c r="N427" i="4" s="1"/>
  <c r="I428" i="4"/>
  <c r="I429" i="4"/>
  <c r="K429" i="4" s="1"/>
  <c r="I430" i="4"/>
  <c r="J430" i="4" s="1" a="1"/>
  <c r="J430" i="4" s="1"/>
  <c r="I431" i="4"/>
  <c r="I432" i="4"/>
  <c r="I433" i="4"/>
  <c r="I434" i="4"/>
  <c r="K434" i="4" s="1"/>
  <c r="I435" i="4"/>
  <c r="J435" i="4" s="1" a="1"/>
  <c r="J435" i="4" s="1"/>
  <c r="I436" i="4"/>
  <c r="J436" i="4" s="1" a="1"/>
  <c r="J436" i="4" s="1"/>
  <c r="I437" i="4"/>
  <c r="K437" i="4" s="1"/>
  <c r="I438" i="4"/>
  <c r="K438" i="4" s="1"/>
  <c r="I439" i="4"/>
  <c r="K439" i="4" s="1"/>
  <c r="I440" i="4"/>
  <c r="I441" i="4"/>
  <c r="I442" i="4"/>
  <c r="K442" i="4" s="1"/>
  <c r="I443" i="4"/>
  <c r="K443" i="4" s="1"/>
  <c r="I444" i="4"/>
  <c r="I445" i="4"/>
  <c r="I446" i="4"/>
  <c r="I447" i="4"/>
  <c r="J447" i="4" s="1" a="1"/>
  <c r="J447" i="4" s="1"/>
  <c r="I448" i="4"/>
  <c r="K448" i="4" s="1"/>
  <c r="I449" i="4"/>
  <c r="I450" i="4"/>
  <c r="I451" i="4"/>
  <c r="K451" i="4" s="1"/>
  <c r="I452" i="4"/>
  <c r="I453" i="4"/>
  <c r="K453" i="4" s="1"/>
  <c r="I454" i="4"/>
  <c r="I455" i="4"/>
  <c r="K455" i="4" s="1"/>
  <c r="I456" i="4"/>
  <c r="I457" i="4"/>
  <c r="K457" i="4" s="1"/>
  <c r="L457" i="4" s="1"/>
  <c r="O457" i="4" s="1"/>
  <c r="I458" i="4"/>
  <c r="I459" i="4"/>
  <c r="K459" i="4" s="1"/>
  <c r="I460" i="4"/>
  <c r="K460" i="4" s="1"/>
  <c r="I461" i="4"/>
  <c r="K461" i="4" s="1"/>
  <c r="I462" i="4"/>
  <c r="J462" i="4" s="1" a="1"/>
  <c r="J462" i="4" s="1"/>
  <c r="I463" i="4"/>
  <c r="I464" i="4"/>
  <c r="I465" i="4"/>
  <c r="I466" i="4"/>
  <c r="I467" i="4"/>
  <c r="K467" i="4" s="1"/>
  <c r="I468" i="4"/>
  <c r="I469" i="4"/>
  <c r="K469" i="4" s="1"/>
  <c r="I470" i="4"/>
  <c r="I471" i="4"/>
  <c r="K471" i="4" s="1"/>
  <c r="I472" i="4"/>
  <c r="K472" i="4" s="1"/>
  <c r="I473" i="4"/>
  <c r="I474" i="4"/>
  <c r="I475" i="4"/>
  <c r="I476" i="4"/>
  <c r="I477" i="4"/>
  <c r="J477" i="4" s="1" a="1"/>
  <c r="J477" i="4" s="1"/>
  <c r="I478" i="4"/>
  <c r="J478" i="4" s="1" a="1"/>
  <c r="J478" i="4" s="1"/>
  <c r="I479" i="4"/>
  <c r="I480" i="4"/>
  <c r="I481" i="4"/>
  <c r="I482" i="4"/>
  <c r="K482" i="4" s="1"/>
  <c r="N482" i="4" s="1" a="1"/>
  <c r="N482" i="4" s="1"/>
  <c r="I483" i="4"/>
  <c r="I484" i="4"/>
  <c r="I485" i="4"/>
  <c r="K485" i="4" s="1"/>
  <c r="I486" i="4"/>
  <c r="I487" i="4"/>
  <c r="J487" i="4" s="1" a="1"/>
  <c r="J487" i="4" s="1"/>
  <c r="I488" i="4"/>
  <c r="K488" i="4" s="1"/>
  <c r="I489" i="4"/>
  <c r="I490" i="4"/>
  <c r="I491" i="4"/>
  <c r="K491" i="4" s="1"/>
  <c r="N491" i="4" s="1" a="1"/>
  <c r="N491" i="4" s="1"/>
  <c r="I492" i="4"/>
  <c r="J492" i="4" s="1" a="1"/>
  <c r="J492" i="4" s="1"/>
  <c r="I493" i="4"/>
  <c r="I494" i="4"/>
  <c r="J494" i="4" s="1" a="1"/>
  <c r="J494" i="4" s="1"/>
  <c r="I495" i="4"/>
  <c r="K495" i="4" s="1"/>
  <c r="I496" i="4"/>
  <c r="K496" i="4" s="1"/>
  <c r="I497" i="4"/>
  <c r="K497" i="4" s="1"/>
  <c r="I498" i="4"/>
  <c r="K498" i="4" s="1"/>
  <c r="I499" i="4"/>
  <c r="K499" i="4" s="1"/>
  <c r="I500" i="4"/>
  <c r="I501" i="4"/>
  <c r="I502" i="4"/>
  <c r="I503" i="4"/>
  <c r="K503" i="4" s="1"/>
  <c r="I504" i="4"/>
  <c r="I505" i="4"/>
  <c r="K505" i="4" s="1"/>
  <c r="I506" i="4"/>
  <c r="K506" i="4" s="1"/>
  <c r="I507" i="4"/>
  <c r="I508" i="4"/>
  <c r="I509" i="4"/>
  <c r="J509" i="4" s="1" a="1"/>
  <c r="J509" i="4" s="1"/>
  <c r="I510" i="4"/>
  <c r="I511" i="4"/>
  <c r="I512" i="4"/>
  <c r="I513" i="4"/>
  <c r="I514" i="4"/>
  <c r="I515" i="4"/>
  <c r="K515" i="4" s="1"/>
  <c r="I516" i="4"/>
  <c r="I517" i="4"/>
  <c r="I518" i="4"/>
  <c r="I519" i="4"/>
  <c r="I520" i="4"/>
  <c r="K520" i="4" s="1"/>
  <c r="I521" i="4"/>
  <c r="I522" i="4"/>
  <c r="I523" i="4"/>
  <c r="K523" i="4" s="1"/>
  <c r="I524" i="4"/>
  <c r="I525" i="4"/>
  <c r="J525" i="4" s="1" a="1"/>
  <c r="J525" i="4" s="1"/>
  <c r="I526" i="4"/>
  <c r="J526" i="4" s="1" a="1"/>
  <c r="J526" i="4" s="1"/>
  <c r="I527" i="4"/>
  <c r="K527" i="4" s="1"/>
  <c r="N527" i="4" s="1" a="1"/>
  <c r="N527" i="4" s="1"/>
  <c r="I528" i="4"/>
  <c r="I529" i="4"/>
  <c r="J529" i="4" s="1" a="1"/>
  <c r="J529" i="4" s="1"/>
  <c r="I530" i="4"/>
  <c r="K530" i="4" s="1"/>
  <c r="I531" i="4"/>
  <c r="J531" i="4" s="1" a="1"/>
  <c r="J531" i="4" s="1"/>
  <c r="I532" i="4"/>
  <c r="J532" i="4" s="1" a="1"/>
  <c r="J532" i="4" s="1"/>
  <c r="I533" i="4"/>
  <c r="K533" i="4" s="1"/>
  <c r="I534" i="4"/>
  <c r="I535" i="4"/>
  <c r="K535" i="4" s="1"/>
  <c r="L535" i="4" s="1"/>
  <c r="O535" i="4" s="1"/>
  <c r="I536" i="4"/>
  <c r="I537" i="4"/>
  <c r="J537" i="4" s="1" a="1"/>
  <c r="J537" i="4" s="1"/>
  <c r="I538" i="4"/>
  <c r="I539" i="4"/>
  <c r="I540" i="4"/>
  <c r="I541" i="4"/>
  <c r="I542" i="4"/>
  <c r="J542" i="4" s="1" a="1"/>
  <c r="J542" i="4" s="1"/>
  <c r="I543" i="4"/>
  <c r="J543" i="4" s="1" a="1"/>
  <c r="J543" i="4" s="1"/>
  <c r="I544" i="4"/>
  <c r="J544" i="4" s="1" a="1"/>
  <c r="J544" i="4" s="1"/>
  <c r="I545" i="4"/>
  <c r="I546" i="4"/>
  <c r="K546" i="4" s="1"/>
  <c r="I547" i="4"/>
  <c r="K547" i="4" s="1"/>
  <c r="N547" i="4" s="1" a="1"/>
  <c r="N547" i="4" s="1"/>
  <c r="I548" i="4"/>
  <c r="I549" i="4"/>
  <c r="K549" i="4" s="1"/>
  <c r="I550" i="4"/>
  <c r="K550" i="4" s="1"/>
  <c r="I551" i="4"/>
  <c r="I552" i="4"/>
  <c r="I553" i="4"/>
  <c r="K553" i="4" s="1"/>
  <c r="I554" i="4"/>
  <c r="K554" i="4" s="1"/>
  <c r="I555" i="4"/>
  <c r="J555" i="4" s="1" a="1"/>
  <c r="J555" i="4" s="1"/>
  <c r="I556" i="4"/>
  <c r="I557" i="4"/>
  <c r="J557" i="4" s="1" a="1"/>
  <c r="J557" i="4" s="1"/>
  <c r="I558" i="4"/>
  <c r="I559" i="4"/>
  <c r="I560" i="4"/>
  <c r="I561" i="4"/>
  <c r="I562" i="4"/>
  <c r="I563" i="4"/>
  <c r="K563" i="4" s="1"/>
  <c r="I564" i="4"/>
  <c r="I565" i="4"/>
  <c r="I566" i="4"/>
  <c r="J566" i="4" s="1" a="1"/>
  <c r="J566" i="4" s="1"/>
  <c r="I567" i="4"/>
  <c r="K567" i="4" s="1"/>
  <c r="I568" i="4"/>
  <c r="J568" i="4" s="1" a="1"/>
  <c r="J568" i="4" s="1"/>
  <c r="I569" i="4"/>
  <c r="K569" i="4" s="1"/>
  <c r="I570" i="4"/>
  <c r="I571" i="4"/>
  <c r="K571" i="4" s="1"/>
  <c r="N571" i="4" s="1" a="1"/>
  <c r="N571" i="4" s="1"/>
  <c r="I572" i="4"/>
  <c r="J572" i="4" s="1" a="1"/>
  <c r="J572" i="4" s="1"/>
  <c r="I573" i="4"/>
  <c r="I574" i="4"/>
  <c r="K574" i="4" s="1"/>
  <c r="I575" i="4"/>
  <c r="I576" i="4"/>
  <c r="I577" i="4"/>
  <c r="I578" i="4"/>
  <c r="K578" i="4" s="1"/>
  <c r="I579" i="4"/>
  <c r="J579" i="4" s="1" a="1"/>
  <c r="J579" i="4" s="1"/>
  <c r="I580" i="4"/>
  <c r="K580" i="4" s="1"/>
  <c r="I581" i="4"/>
  <c r="J581" i="4" s="1" a="1"/>
  <c r="J581" i="4" s="1"/>
  <c r="I582" i="4"/>
  <c r="K582" i="4" s="1"/>
  <c r="L582" i="4" s="1"/>
  <c r="O582" i="4" s="1"/>
  <c r="I583" i="4"/>
  <c r="J583" i="4" s="1" a="1"/>
  <c r="J583" i="4" s="1"/>
  <c r="I584" i="4"/>
  <c r="I585" i="4"/>
  <c r="I586" i="4"/>
  <c r="I587" i="4"/>
  <c r="K587" i="4" s="1"/>
  <c r="I588" i="4"/>
  <c r="K588" i="4" s="1"/>
  <c r="I589" i="4"/>
  <c r="K589" i="4" s="1"/>
  <c r="I590" i="4"/>
  <c r="I591" i="4"/>
  <c r="I592" i="4"/>
  <c r="J592" i="4" s="1" a="1"/>
  <c r="J592" i="4" s="1"/>
  <c r="I593" i="4"/>
  <c r="K593" i="4" s="1"/>
  <c r="N593" i="4" s="1" a="1"/>
  <c r="N593" i="4" s="1"/>
  <c r="I594" i="4"/>
  <c r="K594" i="4" s="1"/>
  <c r="I595" i="4"/>
  <c r="I596" i="4"/>
  <c r="I597" i="4"/>
  <c r="I598" i="4"/>
  <c r="K598" i="4" s="1"/>
  <c r="I599" i="4"/>
  <c r="I600" i="4"/>
  <c r="I601" i="4"/>
  <c r="K601" i="4" s="1"/>
  <c r="I602" i="4"/>
  <c r="I603" i="4"/>
  <c r="K603" i="4" s="1"/>
  <c r="I604" i="4"/>
  <c r="K604" i="4" s="1"/>
  <c r="I605" i="4"/>
  <c r="K605" i="4" s="1"/>
  <c r="I606" i="4"/>
  <c r="K606" i="4" s="1"/>
  <c r="I607" i="4"/>
  <c r="I608" i="4"/>
  <c r="I609" i="4"/>
  <c r="I610" i="4"/>
  <c r="K610" i="4" s="1"/>
  <c r="I611" i="4"/>
  <c r="K611" i="4" s="1"/>
  <c r="I612" i="4"/>
  <c r="I613" i="4"/>
  <c r="I614" i="4"/>
  <c r="I615" i="4"/>
  <c r="K615" i="4" s="1"/>
  <c r="N615" i="4" s="1" a="1"/>
  <c r="N615" i="4" s="1"/>
  <c r="I616" i="4"/>
  <c r="K616" i="4" s="1"/>
  <c r="I617" i="4"/>
  <c r="I618" i="4"/>
  <c r="I619" i="4"/>
  <c r="K619" i="4" s="1"/>
  <c r="I620" i="4"/>
  <c r="I621" i="4"/>
  <c r="J621" i="4" s="1" a="1"/>
  <c r="J621" i="4" s="1"/>
  <c r="I622" i="4"/>
  <c r="J622" i="4" s="1" a="1"/>
  <c r="J622" i="4" s="1"/>
  <c r="I623" i="4"/>
  <c r="K623" i="4" s="1"/>
  <c r="I624" i="4"/>
  <c r="I625" i="4"/>
  <c r="K625" i="4" s="1"/>
  <c r="I626" i="4"/>
  <c r="I627" i="4"/>
  <c r="J627" i="4" s="1" a="1"/>
  <c r="J627" i="4" s="1"/>
  <c r="I628" i="4"/>
  <c r="I629" i="4"/>
  <c r="J629" i="4" s="1" a="1"/>
  <c r="J629" i="4" s="1"/>
  <c r="I630" i="4"/>
  <c r="I631" i="4"/>
  <c r="K631" i="4" s="1"/>
  <c r="N631" i="4" s="1" a="1"/>
  <c r="N631" i="4" s="1"/>
  <c r="I632" i="4"/>
  <c r="I633" i="4"/>
  <c r="I634" i="4"/>
  <c r="I635" i="4"/>
  <c r="K635" i="4" s="1"/>
  <c r="L635" i="4" s="1"/>
  <c r="O635" i="4" s="1"/>
  <c r="I636" i="4"/>
  <c r="I637" i="4"/>
  <c r="J637" i="4" s="1" a="1"/>
  <c r="J637" i="4" s="1"/>
  <c r="I638" i="4"/>
  <c r="I639" i="4"/>
  <c r="K639" i="4" s="1"/>
  <c r="I640" i="4"/>
  <c r="K640" i="4" s="1"/>
  <c r="I641" i="4"/>
  <c r="I642" i="4"/>
  <c r="K642" i="4" s="1"/>
  <c r="N642" i="4" s="1" a="1"/>
  <c r="N642" i="4" s="1"/>
  <c r="I643" i="4"/>
  <c r="I644" i="4"/>
  <c r="I645" i="4"/>
  <c r="I646" i="4"/>
  <c r="K646" i="4" s="1"/>
  <c r="I647" i="4"/>
  <c r="I648" i="4"/>
  <c r="K648" i="4" s="1"/>
  <c r="I649" i="4"/>
  <c r="I650" i="4"/>
  <c r="K650" i="4" s="1"/>
  <c r="I651" i="4"/>
  <c r="J651" i="4" s="1" a="1"/>
  <c r="J651" i="4" s="1"/>
  <c r="I652" i="4"/>
  <c r="K652" i="4" s="1"/>
  <c r="I653" i="4"/>
  <c r="K653" i="4" s="1"/>
  <c r="I654" i="4"/>
  <c r="K654" i="4" s="1"/>
  <c r="I655" i="4"/>
  <c r="J655" i="4" s="1" a="1"/>
  <c r="J655" i="4" s="1"/>
  <c r="I656" i="4"/>
  <c r="I657" i="4"/>
  <c r="I658" i="4"/>
  <c r="I659" i="4"/>
  <c r="K659" i="4" s="1"/>
  <c r="I660" i="4"/>
  <c r="I661" i="4"/>
  <c r="K661" i="4" s="1"/>
  <c r="I662" i="4"/>
  <c r="I663" i="4"/>
  <c r="I664" i="4"/>
  <c r="K664" i="4" s="1"/>
  <c r="I665" i="4"/>
  <c r="K665" i="4" s="1"/>
  <c r="I666" i="4"/>
  <c r="I667" i="4"/>
  <c r="I668" i="4"/>
  <c r="I669" i="4"/>
  <c r="I670" i="4"/>
  <c r="J670" i="4" s="1" a="1"/>
  <c r="J670" i="4" s="1"/>
  <c r="I671" i="4"/>
  <c r="I672" i="4"/>
  <c r="I673" i="4"/>
  <c r="I674" i="4"/>
  <c r="K674" i="4" s="1"/>
  <c r="I675" i="4"/>
  <c r="J675" i="4" s="1" a="1"/>
  <c r="J675" i="4" s="1"/>
  <c r="I676" i="4"/>
  <c r="I677" i="4"/>
  <c r="K677" i="4" s="1"/>
  <c r="I678" i="4"/>
  <c r="K678" i="4" s="1"/>
  <c r="N678" i="4" s="1" a="1"/>
  <c r="N678" i="4" s="1"/>
  <c r="I679" i="4"/>
  <c r="K679" i="4" s="1"/>
  <c r="I680" i="4"/>
  <c r="I681" i="4"/>
  <c r="K681" i="4" s="1"/>
  <c r="I682" i="4"/>
  <c r="K682" i="4" s="1"/>
  <c r="I683" i="4"/>
  <c r="K683" i="4" s="1"/>
  <c r="I684" i="4"/>
  <c r="I685" i="4"/>
  <c r="I686" i="4"/>
  <c r="I687" i="4"/>
  <c r="I688" i="4"/>
  <c r="I689" i="4"/>
  <c r="J689" i="4" s="1" a="1"/>
  <c r="J689" i="4" s="1"/>
  <c r="I690" i="4"/>
  <c r="J690" i="4" s="1" a="1"/>
  <c r="J690" i="4" s="1"/>
  <c r="I691" i="4"/>
  <c r="I692" i="4"/>
  <c r="I693" i="4"/>
  <c r="I694" i="4"/>
  <c r="J694" i="4" s="1" a="1"/>
  <c r="J694" i="4" s="1"/>
  <c r="I695" i="4"/>
  <c r="K695" i="4" s="1"/>
  <c r="I696" i="4"/>
  <c r="I697" i="4"/>
  <c r="K697" i="4" s="1"/>
  <c r="I698" i="4"/>
  <c r="J698" i="4" s="1" a="1"/>
  <c r="J698" i="4" s="1"/>
  <c r="I699" i="4"/>
  <c r="I700" i="4"/>
  <c r="K700" i="4" s="1"/>
  <c r="I701" i="4"/>
  <c r="K701" i="4" s="1"/>
  <c r="I702" i="4"/>
  <c r="I703" i="4"/>
  <c r="K703" i="4" s="1"/>
  <c r="I704" i="4"/>
  <c r="I705" i="4"/>
  <c r="I706" i="4"/>
  <c r="I707" i="4"/>
  <c r="I708" i="4"/>
  <c r="I709" i="4"/>
  <c r="K709" i="4" s="1"/>
  <c r="I710" i="4"/>
  <c r="J710" i="4" s="1" a="1"/>
  <c r="J710" i="4" s="1"/>
  <c r="I711" i="4"/>
  <c r="K711" i="4" s="1"/>
  <c r="I712" i="4"/>
  <c r="K712" i="4" s="1"/>
  <c r="I713" i="4"/>
  <c r="J713" i="4" s="1" a="1"/>
  <c r="J713" i="4" s="1"/>
  <c r="I714" i="4"/>
  <c r="J714" i="4" s="1" a="1"/>
  <c r="J714" i="4" s="1"/>
  <c r="I715" i="4"/>
  <c r="I716" i="4"/>
  <c r="I717" i="4"/>
  <c r="I718" i="4"/>
  <c r="K718" i="4" s="1"/>
  <c r="N718" i="4" s="1" a="1"/>
  <c r="N718" i="4" s="1"/>
  <c r="I719" i="4"/>
  <c r="I720" i="4"/>
  <c r="I721" i="4"/>
  <c r="I722" i="4"/>
  <c r="J722" i="4" s="1" a="1"/>
  <c r="J722" i="4" s="1"/>
  <c r="I723" i="4"/>
  <c r="I724" i="4"/>
  <c r="K724" i="4" s="1"/>
  <c r="I725" i="4"/>
  <c r="J725" i="4" s="1" a="1"/>
  <c r="J725" i="4" s="1"/>
  <c r="I726" i="4"/>
  <c r="I727" i="4"/>
  <c r="K727" i="4" s="1"/>
  <c r="I728" i="4"/>
  <c r="I729" i="4"/>
  <c r="J729" i="4" s="1" a="1"/>
  <c r="J729" i="4" s="1"/>
  <c r="I730" i="4"/>
  <c r="I731" i="4"/>
  <c r="K731" i="4" s="1"/>
  <c r="I732" i="4"/>
  <c r="I733" i="4"/>
  <c r="I734" i="4"/>
  <c r="J734" i="4" s="1" a="1"/>
  <c r="J734" i="4" s="1"/>
  <c r="I735" i="4"/>
  <c r="K735" i="4" s="1"/>
  <c r="I736" i="4"/>
  <c r="J736" i="4" s="1" a="1"/>
  <c r="J736" i="4" s="1"/>
  <c r="I737" i="4"/>
  <c r="K737" i="4" s="1"/>
  <c r="I738" i="4"/>
  <c r="K738" i="4" s="1"/>
  <c r="I739" i="4"/>
  <c r="I740" i="4"/>
  <c r="I741" i="4"/>
  <c r="I742" i="4"/>
  <c r="J742" i="4" s="1" a="1"/>
  <c r="J742" i="4" s="1"/>
  <c r="I743" i="4"/>
  <c r="K743" i="4" s="1"/>
  <c r="I744" i="4"/>
  <c r="I745" i="4"/>
  <c r="K745" i="4" s="1"/>
  <c r="L745" i="4" s="1"/>
  <c r="O745" i="4" s="1"/>
  <c r="I746" i="4"/>
  <c r="K746" i="4" s="1"/>
  <c r="I747" i="4"/>
  <c r="J747" i="4" s="1" a="1"/>
  <c r="J747" i="4" s="1"/>
  <c r="I748" i="4"/>
  <c r="I749" i="4"/>
  <c r="J749" i="4" s="1" a="1"/>
  <c r="J749" i="4" s="1"/>
  <c r="I750" i="4"/>
  <c r="K750" i="4" s="1"/>
  <c r="I751" i="4"/>
  <c r="K751" i="4" s="1"/>
  <c r="L751" i="4" s="1"/>
  <c r="O751" i="4" s="1"/>
  <c r="I752" i="4"/>
  <c r="I753" i="4"/>
  <c r="K753" i="4" s="1"/>
  <c r="I754" i="4"/>
  <c r="K754" i="4" s="1"/>
  <c r="I755" i="4"/>
  <c r="I756" i="4"/>
  <c r="I757" i="4"/>
  <c r="K757" i="4" s="1"/>
  <c r="N757" i="4" s="1" a="1"/>
  <c r="N757" i="4" s="1"/>
  <c r="I758" i="4"/>
  <c r="K758" i="4" s="1"/>
  <c r="I759" i="4"/>
  <c r="K759" i="4" s="1"/>
  <c r="I760" i="4"/>
  <c r="K760" i="4" s="1"/>
  <c r="I761" i="4"/>
  <c r="J761" i="4" s="1" a="1"/>
  <c r="J761" i="4" s="1"/>
  <c r="I762" i="4"/>
  <c r="J762" i="4" s="1" a="1"/>
  <c r="J762" i="4" s="1"/>
  <c r="I763" i="4"/>
  <c r="I764" i="4"/>
  <c r="I765" i="4"/>
  <c r="I766" i="4"/>
  <c r="I767" i="4"/>
  <c r="K767" i="4" s="1"/>
  <c r="I768" i="4"/>
  <c r="I769" i="4"/>
  <c r="J769" i="4" s="1" a="1"/>
  <c r="J769" i="4" s="1"/>
  <c r="I770" i="4"/>
  <c r="I771" i="4"/>
  <c r="K771" i="4" s="1"/>
  <c r="I772" i="4"/>
  <c r="K772" i="4" s="1"/>
  <c r="I773" i="4"/>
  <c r="I774" i="4"/>
  <c r="I775" i="4"/>
  <c r="K775" i="4" s="1"/>
  <c r="I776" i="4"/>
  <c r="I777" i="4"/>
  <c r="J777" i="4" s="1" a="1"/>
  <c r="J777" i="4" s="1"/>
  <c r="I778" i="4"/>
  <c r="I779" i="4"/>
  <c r="I780" i="4"/>
  <c r="K780" i="4" s="1"/>
  <c r="I781" i="4"/>
  <c r="I782" i="4"/>
  <c r="J782" i="4" s="1" a="1"/>
  <c r="J782" i="4" s="1"/>
  <c r="I783" i="4"/>
  <c r="K783" i="4" s="1"/>
  <c r="N783" i="4" s="1" a="1"/>
  <c r="N783" i="4" s="1"/>
  <c r="I784" i="4"/>
  <c r="K784" i="4" s="1"/>
  <c r="I785" i="4"/>
  <c r="K785" i="4" s="1"/>
  <c r="I786" i="4"/>
  <c r="K786" i="4" s="1"/>
  <c r="I787" i="4"/>
  <c r="I788" i="4"/>
  <c r="I789" i="4"/>
  <c r="I790" i="4"/>
  <c r="I791" i="4"/>
  <c r="K791" i="4" s="1"/>
  <c r="I792" i="4"/>
  <c r="I793" i="4"/>
  <c r="I794" i="4"/>
  <c r="I795" i="4"/>
  <c r="I796" i="4"/>
  <c r="K796" i="4" s="1"/>
  <c r="I797" i="4"/>
  <c r="I798" i="4"/>
  <c r="I799" i="4"/>
  <c r="J799" i="4" s="1" a="1"/>
  <c r="J799" i="4" s="1"/>
  <c r="I800" i="4"/>
  <c r="I801" i="4"/>
  <c r="K801" i="4" s="1"/>
  <c r="I802" i="4"/>
  <c r="I803" i="4"/>
  <c r="I804" i="4"/>
  <c r="J804" i="4" s="1" a="1"/>
  <c r="J804" i="4" s="1"/>
  <c r="I805" i="4"/>
  <c r="I806" i="4"/>
  <c r="K806" i="4" s="1"/>
  <c r="I807" i="4"/>
  <c r="K807" i="4" s="1"/>
  <c r="I808" i="4"/>
  <c r="K808" i="4" s="1"/>
  <c r="I809" i="4"/>
  <c r="K809" i="4" s="1"/>
  <c r="I810" i="4"/>
  <c r="K810" i="4" s="1"/>
  <c r="I811" i="4"/>
  <c r="J811" i="4" s="1" a="1"/>
  <c r="J811" i="4" s="1"/>
  <c r="I812" i="4"/>
  <c r="I813" i="4"/>
  <c r="K813" i="4" s="1"/>
  <c r="I814" i="4"/>
  <c r="K814" i="4" s="1"/>
  <c r="I815" i="4"/>
  <c r="I816" i="4"/>
  <c r="I817" i="4"/>
  <c r="K817" i="4" s="1"/>
  <c r="I818" i="4"/>
  <c r="I819" i="4"/>
  <c r="I820" i="4"/>
  <c r="J820" i="4" s="1" a="1"/>
  <c r="J820" i="4" s="1"/>
  <c r="I821" i="4"/>
  <c r="I822" i="4"/>
  <c r="J822" i="4" s="1" a="1"/>
  <c r="J822" i="4" s="1"/>
  <c r="I823" i="4"/>
  <c r="I824" i="4"/>
  <c r="I825" i="4"/>
  <c r="I826" i="4"/>
  <c r="J826" i="4" s="1" a="1"/>
  <c r="J826" i="4" s="1"/>
  <c r="I827" i="4"/>
  <c r="K827" i="4" s="1"/>
  <c r="I828" i="4"/>
  <c r="I829" i="4"/>
  <c r="I830" i="4"/>
  <c r="I831" i="4"/>
  <c r="K831" i="4" s="1"/>
  <c r="I832" i="4"/>
  <c r="I833" i="4"/>
  <c r="K833" i="4" s="1"/>
  <c r="I834" i="4"/>
  <c r="J834" i="4" s="1" a="1"/>
  <c r="J834" i="4" s="1"/>
  <c r="I835" i="4"/>
  <c r="K835" i="4" s="1"/>
  <c r="I836" i="4"/>
  <c r="I837" i="4"/>
  <c r="I838" i="4"/>
  <c r="J838" i="4" s="1" a="1"/>
  <c r="J838" i="4" s="1"/>
  <c r="I839" i="4"/>
  <c r="K839" i="4" s="1"/>
  <c r="I840" i="4"/>
  <c r="I841" i="4"/>
  <c r="I842" i="4"/>
  <c r="I843" i="4"/>
  <c r="I844" i="4"/>
  <c r="K844" i="4" s="1"/>
  <c r="I845" i="4"/>
  <c r="K845" i="4" s="1"/>
  <c r="I846" i="4"/>
  <c r="J846" i="4" s="1" a="1"/>
  <c r="J846" i="4" s="1"/>
  <c r="I847" i="4"/>
  <c r="J847" i="4" s="1" a="1"/>
  <c r="J847" i="4" s="1"/>
  <c r="I848" i="4"/>
  <c r="I849" i="4"/>
  <c r="J849" i="4" s="1" a="1"/>
  <c r="J849" i="4" s="1"/>
  <c r="I850" i="4"/>
  <c r="J850" i="4" s="1" a="1"/>
  <c r="J850" i="4" s="1"/>
  <c r="I851" i="4"/>
  <c r="J851" i="4" s="1" a="1"/>
  <c r="J851" i="4" s="1"/>
  <c r="I852" i="4"/>
  <c r="J852" i="4" s="1" a="1"/>
  <c r="J852" i="4" s="1"/>
  <c r="I853" i="4"/>
  <c r="K853" i="4" s="1"/>
  <c r="I854" i="4"/>
  <c r="K854" i="4" s="1"/>
  <c r="I855" i="4"/>
  <c r="K855" i="4" s="1"/>
  <c r="I856" i="4"/>
  <c r="I857" i="4"/>
  <c r="K857" i="4" s="1"/>
  <c r="L857" i="4" s="1"/>
  <c r="O857" i="4" s="1"/>
  <c r="I858" i="4"/>
  <c r="K858" i="4" s="1"/>
  <c r="I859" i="4"/>
  <c r="I860" i="4"/>
  <c r="I861" i="4"/>
  <c r="I862" i="4"/>
  <c r="K862" i="4" s="1"/>
  <c r="I863" i="4"/>
  <c r="K863" i="4" s="1"/>
  <c r="I864" i="4"/>
  <c r="I865" i="4"/>
  <c r="K865" i="4" s="1"/>
  <c r="I866" i="4"/>
  <c r="K866" i="4" s="1"/>
  <c r="I867" i="4"/>
  <c r="I868" i="4"/>
  <c r="I869" i="4"/>
  <c r="K869" i="4" s="1"/>
  <c r="I870" i="4"/>
  <c r="J870" i="4" s="1" a="1"/>
  <c r="J870" i="4" s="1"/>
  <c r="I871" i="4"/>
  <c r="K871" i="4" s="1"/>
  <c r="I872" i="4"/>
  <c r="I873" i="4"/>
  <c r="I874" i="4"/>
  <c r="I875" i="4"/>
  <c r="I876" i="4"/>
  <c r="I877" i="4"/>
  <c r="J877" i="4" s="1" a="1"/>
  <c r="J877" i="4" s="1"/>
  <c r="I878" i="4"/>
  <c r="J878" i="4" s="1" a="1"/>
  <c r="J878" i="4" s="1"/>
  <c r="I879" i="4"/>
  <c r="K879" i="4" s="1"/>
  <c r="L879" i="4" s="1"/>
  <c r="O879" i="4" s="1"/>
  <c r="I880" i="4"/>
  <c r="K880" i="4" s="1"/>
  <c r="I881" i="4"/>
  <c r="I882" i="4"/>
  <c r="K882" i="4" s="1"/>
  <c r="I883" i="4"/>
  <c r="J883" i="4" s="1" a="1"/>
  <c r="J883" i="4" s="1"/>
  <c r="I884" i="4"/>
  <c r="I885" i="4"/>
  <c r="I886" i="4"/>
  <c r="J886" i="4" s="1" a="1"/>
  <c r="J886" i="4" s="1"/>
  <c r="I887" i="4"/>
  <c r="K887" i="4" s="1"/>
  <c r="I888" i="4"/>
  <c r="K888" i="4" s="1"/>
  <c r="I889" i="4"/>
  <c r="I890" i="4"/>
  <c r="I891" i="4"/>
  <c r="I892" i="4"/>
  <c r="J892" i="4" s="1" a="1"/>
  <c r="J892" i="4" s="1"/>
  <c r="I893" i="4"/>
  <c r="I894" i="4"/>
  <c r="K894" i="4" s="1"/>
  <c r="L894" i="4" s="1"/>
  <c r="O894" i="4" s="1"/>
  <c r="I895" i="4"/>
  <c r="J895" i="4" s="1" a="1"/>
  <c r="J895" i="4" s="1"/>
  <c r="I896" i="4"/>
  <c r="I897" i="4"/>
  <c r="J897" i="4" s="1" a="1"/>
  <c r="J897" i="4" s="1"/>
  <c r="I898" i="4"/>
  <c r="J898" i="4" s="1" a="1"/>
  <c r="J898" i="4" s="1"/>
  <c r="I899" i="4"/>
  <c r="I900" i="4"/>
  <c r="K900" i="4" s="1"/>
  <c r="I901" i="4"/>
  <c r="I902" i="4"/>
  <c r="I903" i="4"/>
  <c r="I904" i="4"/>
  <c r="K904" i="4" s="1"/>
  <c r="L904" i="4" s="1"/>
  <c r="O904" i="4" s="1"/>
  <c r="I905" i="4"/>
  <c r="K905" i="4" s="1"/>
  <c r="I906" i="4"/>
  <c r="J906" i="4" s="1" a="1"/>
  <c r="J906" i="4" s="1"/>
  <c r="I907" i="4"/>
  <c r="I908" i="4"/>
  <c r="I909" i="4"/>
  <c r="I910" i="4"/>
  <c r="J910" i="4" s="1" a="1"/>
  <c r="J910" i="4" s="1"/>
  <c r="I911" i="4"/>
  <c r="I912" i="4"/>
  <c r="I913" i="4"/>
  <c r="I914" i="4"/>
  <c r="I915" i="4"/>
  <c r="I916" i="4"/>
  <c r="I917" i="4"/>
  <c r="J917" i="4" s="1" a="1"/>
  <c r="J917" i="4" s="1"/>
  <c r="I918" i="4"/>
  <c r="K918" i="4" s="1"/>
  <c r="I919" i="4"/>
  <c r="I920" i="4"/>
  <c r="I921" i="4"/>
  <c r="I922" i="4"/>
  <c r="I923" i="4"/>
  <c r="J923" i="4" s="1" a="1"/>
  <c r="J923" i="4" s="1"/>
  <c r="I924" i="4"/>
  <c r="J924" i="4" s="1" a="1"/>
  <c r="J924" i="4" s="1"/>
  <c r="I925" i="4"/>
  <c r="K925" i="4" s="1"/>
  <c r="I926" i="4"/>
  <c r="K926" i="4" s="1"/>
  <c r="N926" i="4" s="1" a="1"/>
  <c r="N926" i="4" s="1"/>
  <c r="I927" i="4"/>
  <c r="K927" i="4" s="1"/>
  <c r="I928" i="4"/>
  <c r="J928" i="4" s="1" a="1"/>
  <c r="J928" i="4" s="1"/>
  <c r="I929" i="4"/>
  <c r="I930" i="4"/>
  <c r="K930" i="4" s="1"/>
  <c r="N930" i="4" s="1" a="1"/>
  <c r="N930" i="4" s="1"/>
  <c r="I931" i="4"/>
  <c r="I932" i="4"/>
  <c r="I933" i="4"/>
  <c r="I934" i="4"/>
  <c r="K934" i="4" s="1"/>
  <c r="L934" i="4" s="1"/>
  <c r="O934" i="4" s="1"/>
  <c r="I935" i="4"/>
  <c r="K935" i="4" s="1"/>
  <c r="N935" i="4" s="1" a="1"/>
  <c r="N935" i="4" s="1"/>
  <c r="I936" i="4"/>
  <c r="K936" i="4" s="1"/>
  <c r="I937" i="4"/>
  <c r="K937" i="4" s="1"/>
  <c r="I938" i="4"/>
  <c r="I939" i="4"/>
  <c r="K939" i="4" s="1"/>
  <c r="N939" i="4" s="1" a="1"/>
  <c r="N939" i="4" s="1"/>
  <c r="I940" i="4"/>
  <c r="K940" i="4" s="1"/>
  <c r="I941" i="4"/>
  <c r="K941" i="4" s="1"/>
  <c r="I942" i="4"/>
  <c r="I943" i="4"/>
  <c r="J943" i="4" s="1" a="1"/>
  <c r="J943" i="4" s="1"/>
  <c r="I944" i="4"/>
  <c r="K944" i="4" s="1"/>
  <c r="I945" i="4"/>
  <c r="I946" i="4"/>
  <c r="I947" i="4"/>
  <c r="J947" i="4" s="1" a="1"/>
  <c r="J947" i="4" s="1"/>
  <c r="I948" i="4"/>
  <c r="I949" i="4"/>
  <c r="J949" i="4" s="1" a="1"/>
  <c r="J949" i="4" s="1"/>
  <c r="I950" i="4"/>
  <c r="K950" i="4" s="1"/>
  <c r="I951" i="4"/>
  <c r="I952" i="4"/>
  <c r="I953" i="4"/>
  <c r="I954" i="4"/>
  <c r="K954" i="4" s="1"/>
  <c r="I955" i="4"/>
  <c r="J955" i="4" s="1" a="1"/>
  <c r="J955" i="4" s="1"/>
  <c r="I956" i="4"/>
  <c r="I957" i="4"/>
  <c r="I958" i="4"/>
  <c r="I959" i="4"/>
  <c r="J959" i="4" s="1" a="1"/>
  <c r="J959" i="4" s="1"/>
  <c r="I960" i="4"/>
  <c r="I961" i="4"/>
  <c r="I962" i="4"/>
  <c r="J962" i="4" s="1" a="1"/>
  <c r="J962" i="4" s="1"/>
  <c r="I963" i="4"/>
  <c r="K963" i="4" s="1"/>
  <c r="N963" i="4" s="1" a="1"/>
  <c r="N963" i="4" s="1"/>
  <c r="I964" i="4"/>
  <c r="I965" i="4"/>
  <c r="K965" i="4" s="1"/>
  <c r="I966" i="4"/>
  <c r="K966" i="4" s="1"/>
  <c r="I967" i="4"/>
  <c r="K967" i="4" s="1"/>
  <c r="I968" i="4"/>
  <c r="I969" i="4"/>
  <c r="K969" i="4" s="1"/>
  <c r="I970" i="4"/>
  <c r="K970" i="4" s="1"/>
  <c r="L970" i="4" s="1"/>
  <c r="O970" i="4" s="1"/>
  <c r="I971" i="4"/>
  <c r="I972" i="4"/>
  <c r="I973" i="4"/>
  <c r="K973" i="4" s="1"/>
  <c r="I974" i="4"/>
  <c r="I975" i="4"/>
  <c r="K975" i="4" s="1"/>
  <c r="I976" i="4"/>
  <c r="J976" i="4" s="1" a="1"/>
  <c r="J976" i="4" s="1"/>
  <c r="I977" i="4"/>
  <c r="K977" i="4" s="1"/>
  <c r="I978" i="4"/>
  <c r="J978" i="4" s="1" a="1"/>
  <c r="J978" i="4" s="1"/>
  <c r="I979" i="4"/>
  <c r="I980" i="4"/>
  <c r="I981" i="4"/>
  <c r="I982" i="4"/>
  <c r="K982" i="4" s="1"/>
  <c r="I983" i="4"/>
  <c r="K983" i="4" s="1"/>
  <c r="I984" i="4"/>
  <c r="I985" i="4"/>
  <c r="J985" i="4" s="1" a="1"/>
  <c r="J985" i="4" s="1"/>
  <c r="I986" i="4"/>
  <c r="K986" i="4" s="1"/>
  <c r="N986" i="4" s="1" a="1"/>
  <c r="N986" i="4" s="1"/>
  <c r="I987" i="4"/>
  <c r="I988" i="4"/>
  <c r="I989" i="4"/>
  <c r="J989" i="4" s="1" a="1"/>
  <c r="J989" i="4" s="1"/>
  <c r="I990" i="4"/>
  <c r="K990" i="4" s="1"/>
  <c r="N990" i="4" s="1" a="1"/>
  <c r="N990" i="4" s="1"/>
  <c r="I991" i="4"/>
  <c r="I992" i="4"/>
  <c r="I993" i="4"/>
  <c r="J993" i="4" s="1" a="1"/>
  <c r="J993" i="4" s="1"/>
  <c r="I994" i="4"/>
  <c r="K994" i="4" s="1"/>
  <c r="I995" i="4"/>
  <c r="J995" i="4" s="1" a="1"/>
  <c r="J995" i="4" s="1"/>
  <c r="I996" i="4"/>
  <c r="I997" i="4"/>
  <c r="K997" i="4" s="1"/>
  <c r="I998" i="4"/>
  <c r="I999" i="4"/>
  <c r="K999" i="4" s="1"/>
  <c r="N999" i="4" s="1" a="1"/>
  <c r="N999" i="4" s="1"/>
  <c r="I1000" i="4"/>
  <c r="K1000" i="4" s="1"/>
  <c r="I1001" i="4"/>
  <c r="K1001" i="4" s="1"/>
  <c r="L1001" i="4" s="1"/>
  <c r="O1001" i="4" s="1"/>
  <c r="I1002" i="4"/>
  <c r="J1002" i="4" s="1" a="1"/>
  <c r="J1002" i="4" s="1"/>
  <c r="I3" i="4"/>
  <c r="J3" i="4" s="1" a="1"/>
  <c r="J3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32" i="5" l="1"/>
  <c r="K1003" i="4"/>
  <c r="N1003" i="4" s="1" a="1"/>
  <c r="N1003" i="4" s="1"/>
  <c r="L1003" i="4"/>
  <c r="O1003" i="4" s="1"/>
  <c r="D8" i="5"/>
  <c r="K15" i="4"/>
  <c r="N15" i="4" s="1" a="1"/>
  <c r="N15" i="4" s="1"/>
  <c r="J6" i="4" a="1"/>
  <c r="J6" i="4" s="1"/>
  <c r="J123" i="4" a="1"/>
  <c r="J123" i="4" s="1"/>
  <c r="K892" i="4"/>
  <c r="K367" i="4"/>
  <c r="K366" i="4"/>
  <c r="J727" i="4" a="1"/>
  <c r="J727" i="4" s="1"/>
  <c r="K363" i="4"/>
  <c r="N363" i="4" s="1" a="1"/>
  <c r="N363" i="4" s="1"/>
  <c r="J724" i="4" a="1"/>
  <c r="J724" i="4" s="1"/>
  <c r="K27" i="4"/>
  <c r="N27" i="4" s="1" a="1"/>
  <c r="N27" i="4" s="1"/>
  <c r="J616" i="4" a="1"/>
  <c r="J616" i="4" s="1"/>
  <c r="D37" i="5"/>
  <c r="J604" i="4" a="1"/>
  <c r="J604" i="4" s="1"/>
  <c r="D36" i="5"/>
  <c r="J603" i="4" a="1"/>
  <c r="J603" i="4" s="1"/>
  <c r="D35" i="5"/>
  <c r="J223" i="4" a="1"/>
  <c r="J223" i="4" s="1"/>
  <c r="D34" i="5"/>
  <c r="J147" i="4" a="1"/>
  <c r="J147" i="4" s="1"/>
  <c r="K943" i="4"/>
  <c r="N943" i="4" s="1" a="1"/>
  <c r="N943" i="4" s="1"/>
  <c r="J571" i="4" a="1"/>
  <c r="J571" i="4" s="1"/>
  <c r="L547" i="4"/>
  <c r="O547" i="4" s="1"/>
  <c r="J520" i="4" a="1"/>
  <c r="J520" i="4" s="1"/>
  <c r="K736" i="4"/>
  <c r="N736" i="4" s="1" a="1"/>
  <c r="N736" i="4" s="1"/>
  <c r="L317" i="4"/>
  <c r="O317" i="4" s="1"/>
  <c r="J941" i="4" a="1"/>
  <c r="J941" i="4" s="1"/>
  <c r="J423" i="4" a="1"/>
  <c r="J423" i="4" s="1"/>
  <c r="K734" i="4"/>
  <c r="N734" i="4" s="1" a="1"/>
  <c r="N734" i="4" s="1"/>
  <c r="J523" i="4" a="1"/>
  <c r="J523" i="4" s="1"/>
  <c r="J866" i="4" a="1"/>
  <c r="J866" i="4" s="1"/>
  <c r="J402" i="4" a="1"/>
  <c r="J402" i="4" s="1"/>
  <c r="K592" i="4"/>
  <c r="L592" i="4" s="1"/>
  <c r="O592" i="4" s="1"/>
  <c r="J844" i="4" a="1"/>
  <c r="J844" i="4" s="1"/>
  <c r="J375" i="4" a="1"/>
  <c r="J375" i="4" s="1"/>
  <c r="K532" i="4"/>
  <c r="L532" i="4" s="1"/>
  <c r="O532" i="4" s="1"/>
  <c r="K799" i="4"/>
  <c r="N799" i="4" s="1" a="1"/>
  <c r="N799" i="4" s="1"/>
  <c r="J775" i="4" a="1"/>
  <c r="J775" i="4" s="1"/>
  <c r="J365" i="4" a="1"/>
  <c r="J365" i="4" s="1"/>
  <c r="K531" i="4"/>
  <c r="L531" i="4" s="1"/>
  <c r="O531" i="4" s="1"/>
  <c r="J701" i="4" a="1"/>
  <c r="J701" i="4" s="1"/>
  <c r="J496" i="4" a="1"/>
  <c r="J496" i="4" s="1"/>
  <c r="J114" i="4" a="1"/>
  <c r="J114" i="4" s="1"/>
  <c r="K725" i="4"/>
  <c r="N725" i="4" s="1" a="1"/>
  <c r="N725" i="4" s="1"/>
  <c r="K303" i="4"/>
  <c r="N303" i="4" s="1" a="1"/>
  <c r="N303" i="4" s="1"/>
  <c r="J505" i="4" a="1"/>
  <c r="J505" i="4" s="1"/>
  <c r="J700" i="4" a="1"/>
  <c r="J700" i="4" s="1"/>
  <c r="J495" i="4" a="1"/>
  <c r="J495" i="4" s="1"/>
  <c r="J109" i="4" a="1"/>
  <c r="J109" i="4" s="1"/>
  <c r="K247" i="4"/>
  <c r="N247" i="4" s="1" a="1"/>
  <c r="N247" i="4" s="1"/>
  <c r="K307" i="4"/>
  <c r="J679" i="4" a="1"/>
  <c r="J679" i="4" s="1"/>
  <c r="J472" i="4" a="1"/>
  <c r="J472" i="4" s="1"/>
  <c r="J99" i="4" a="1"/>
  <c r="J99" i="4" s="1"/>
  <c r="K655" i="4"/>
  <c r="L655" i="4" s="1"/>
  <c r="O655" i="4" s="1"/>
  <c r="K235" i="4"/>
  <c r="N235" i="4" s="1" a="1"/>
  <c r="N235" i="4" s="1"/>
  <c r="J966" i="4" a="1"/>
  <c r="J966" i="4" s="1"/>
  <c r="J625" i="4" a="1"/>
  <c r="J625" i="4" s="1"/>
  <c r="J471" i="4" a="1"/>
  <c r="J471" i="4" s="1"/>
  <c r="J31" i="4" a="1"/>
  <c r="J31" i="4" s="1"/>
  <c r="K91" i="4"/>
  <c r="N91" i="4" s="1" a="1"/>
  <c r="N91" i="4" s="1"/>
  <c r="K985" i="4"/>
  <c r="N985" i="4" s="1" a="1"/>
  <c r="N985" i="4" s="1"/>
  <c r="J965" i="4" a="1"/>
  <c r="J965" i="4" s="1"/>
  <c r="J619" i="4" a="1"/>
  <c r="J619" i="4" s="1"/>
  <c r="J427" i="4" a="1"/>
  <c r="J427" i="4" s="1"/>
  <c r="J26" i="4" a="1"/>
  <c r="J26" i="4" s="1"/>
  <c r="K87" i="4"/>
  <c r="N87" i="4" s="1" a="1"/>
  <c r="N87" i="4" s="1"/>
  <c r="J658" i="4" a="1"/>
  <c r="J658" i="4" s="1"/>
  <c r="K658" i="4"/>
  <c r="N658" i="4" s="1" a="1"/>
  <c r="N658" i="4" s="1"/>
  <c r="J657" i="4" a="1"/>
  <c r="J657" i="4" s="1"/>
  <c r="K657" i="4"/>
  <c r="N657" i="4" s="1" a="1"/>
  <c r="N657" i="4" s="1"/>
  <c r="J489" i="4" a="1"/>
  <c r="J489" i="4" s="1"/>
  <c r="K489" i="4"/>
  <c r="N489" i="4" s="1" a="1"/>
  <c r="N489" i="4" s="1"/>
  <c r="J865" i="4" a="1"/>
  <c r="J865" i="4" s="1"/>
  <c r="K86" i="4"/>
  <c r="N86" i="4" s="1" a="1"/>
  <c r="N86" i="4" s="1"/>
  <c r="J650" i="4" a="1"/>
  <c r="J650" i="4" s="1"/>
  <c r="J146" i="4" a="1"/>
  <c r="J146" i="4" s="1"/>
  <c r="K529" i="4"/>
  <c r="K85" i="4"/>
  <c r="L85" i="4" s="1"/>
  <c r="O85" i="4" s="1"/>
  <c r="J585" i="4" a="1"/>
  <c r="J585" i="4" s="1"/>
  <c r="K585" i="4"/>
  <c r="N585" i="4" s="1" a="1"/>
  <c r="N585" i="4" s="1"/>
  <c r="J369" i="4" a="1"/>
  <c r="J369" i="4" s="1"/>
  <c r="N855" i="4" a="1"/>
  <c r="N855" i="4" s="1"/>
  <c r="L855" i="4"/>
  <c r="O855" i="4" s="1"/>
  <c r="K819" i="4"/>
  <c r="N819" i="4" s="1" a="1"/>
  <c r="N819" i="4" s="1"/>
  <c r="J819" i="4" a="1"/>
  <c r="J819" i="4" s="1"/>
  <c r="J938" i="4" a="1"/>
  <c r="J938" i="4" s="1"/>
  <c r="K938" i="4"/>
  <c r="L938" i="4" s="1"/>
  <c r="O938" i="4" s="1"/>
  <c r="K818" i="4"/>
  <c r="L818" i="4" s="1"/>
  <c r="O818" i="4" s="1"/>
  <c r="J818" i="4" a="1"/>
  <c r="J818" i="4" s="1"/>
  <c r="J794" i="4" a="1"/>
  <c r="J794" i="4" s="1"/>
  <c r="K794" i="4"/>
  <c r="L794" i="4" s="1"/>
  <c r="O794" i="4" s="1"/>
  <c r="K446" i="4"/>
  <c r="N446" i="4" s="1" a="1"/>
  <c r="N446" i="4" s="1"/>
  <c r="J446" i="4" a="1"/>
  <c r="J446" i="4" s="1"/>
  <c r="K278" i="4"/>
  <c r="L278" i="4" s="1"/>
  <c r="O278" i="4" s="1"/>
  <c r="J278" i="4" a="1"/>
  <c r="J278" i="4" s="1"/>
  <c r="K254" i="4"/>
  <c r="L254" i="4" s="1"/>
  <c r="O254" i="4" s="1"/>
  <c r="J254" i="4" a="1"/>
  <c r="J254" i="4" s="1"/>
  <c r="K98" i="4"/>
  <c r="N98" i="4" s="1" a="1"/>
  <c r="N98" i="4" s="1"/>
  <c r="J98" i="4" a="1"/>
  <c r="J98" i="4" s="1"/>
  <c r="K62" i="4"/>
  <c r="J62" i="4" a="1"/>
  <c r="J62" i="4" s="1"/>
  <c r="K38" i="4"/>
  <c r="N38" i="4" s="1" a="1"/>
  <c r="N38" i="4" s="1"/>
  <c r="J38" i="4" a="1"/>
  <c r="J38" i="4" s="1"/>
  <c r="J986" i="4" a="1"/>
  <c r="J986" i="4" s="1"/>
  <c r="K729" i="4"/>
  <c r="N729" i="4" s="1" a="1"/>
  <c r="N729" i="4" s="1"/>
  <c r="J837" i="4" a="1"/>
  <c r="J837" i="4" s="1"/>
  <c r="K837" i="4"/>
  <c r="L837" i="4" s="1"/>
  <c r="O837" i="4" s="1"/>
  <c r="K573" i="4"/>
  <c r="J573" i="4" a="1"/>
  <c r="J573" i="4" s="1"/>
  <c r="K93" i="4"/>
  <c r="N93" i="4" s="1" a="1"/>
  <c r="N93" i="4" s="1"/>
  <c r="J93" i="4" a="1"/>
  <c r="J93" i="4" s="1"/>
  <c r="K915" i="4"/>
  <c r="L915" i="4" s="1"/>
  <c r="O915" i="4" s="1"/>
  <c r="J915" i="4" a="1"/>
  <c r="J915" i="4" s="1"/>
  <c r="K891" i="4"/>
  <c r="N891" i="4" s="1" a="1"/>
  <c r="N891" i="4" s="1"/>
  <c r="J891" i="4" a="1"/>
  <c r="J891" i="4" s="1"/>
  <c r="N735" i="4" a="1"/>
  <c r="N735" i="4" s="1"/>
  <c r="L735" i="4"/>
  <c r="O735" i="4" s="1"/>
  <c r="J699" i="4" a="1"/>
  <c r="J699" i="4" s="1"/>
  <c r="K699" i="4"/>
  <c r="L699" i="4" s="1"/>
  <c r="O699" i="4" s="1"/>
  <c r="K974" i="4"/>
  <c r="L974" i="4" s="1"/>
  <c r="O974" i="4" s="1"/>
  <c r="J974" i="4" a="1"/>
  <c r="J974" i="4" s="1"/>
  <c r="K914" i="4"/>
  <c r="N914" i="4" s="1" a="1"/>
  <c r="N914" i="4" s="1"/>
  <c r="J914" i="4" a="1"/>
  <c r="J914" i="4" s="1"/>
  <c r="J890" i="4" a="1"/>
  <c r="J890" i="4" s="1"/>
  <c r="K890" i="4"/>
  <c r="J830" i="4" a="1"/>
  <c r="J830" i="4" s="1"/>
  <c r="K830" i="4"/>
  <c r="L830" i="4" s="1"/>
  <c r="O830" i="4" s="1"/>
  <c r="J686" i="4" a="1"/>
  <c r="J686" i="4" s="1"/>
  <c r="K686" i="4"/>
  <c r="J662" i="4" a="1"/>
  <c r="J662" i="4" s="1"/>
  <c r="K662" i="4"/>
  <c r="N662" i="4" s="1" a="1"/>
  <c r="N662" i="4" s="1"/>
  <c r="K626" i="4"/>
  <c r="J626" i="4" a="1"/>
  <c r="J626" i="4" s="1"/>
  <c r="K602" i="4"/>
  <c r="N602" i="4" s="1" a="1"/>
  <c r="N602" i="4" s="1"/>
  <c r="J602" i="4" a="1"/>
  <c r="J602" i="4" s="1"/>
  <c r="J590" i="4" a="1"/>
  <c r="J590" i="4" s="1"/>
  <c r="K590" i="4"/>
  <c r="N590" i="4" s="1" a="1"/>
  <c r="N590" i="4" s="1"/>
  <c r="J518" i="4" a="1"/>
  <c r="J518" i="4" s="1"/>
  <c r="K518" i="4"/>
  <c r="L518" i="4" s="1"/>
  <c r="O518" i="4" s="1"/>
  <c r="N506" i="4" a="1"/>
  <c r="N506" i="4" s="1"/>
  <c r="L506" i="4"/>
  <c r="O506" i="4" s="1"/>
  <c r="K470" i="4"/>
  <c r="N470" i="4" s="1" a="1"/>
  <c r="N470" i="4" s="1"/>
  <c r="J470" i="4" a="1"/>
  <c r="J470" i="4" s="1"/>
  <c r="J901" i="4" a="1"/>
  <c r="J901" i="4" s="1"/>
  <c r="K901" i="4"/>
  <c r="L901" i="4" s="1"/>
  <c r="O901" i="4" s="1"/>
  <c r="K889" i="4"/>
  <c r="L889" i="4" s="1"/>
  <c r="O889" i="4" s="1"/>
  <c r="J889" i="4" a="1"/>
  <c r="J889" i="4" s="1"/>
  <c r="J841" i="4" a="1"/>
  <c r="J841" i="4" s="1"/>
  <c r="K841" i="4"/>
  <c r="N841" i="4" s="1" a="1"/>
  <c r="N841" i="4" s="1"/>
  <c r="K793" i="4"/>
  <c r="N793" i="4" s="1" a="1"/>
  <c r="N793" i="4" s="1"/>
  <c r="J793" i="4" a="1"/>
  <c r="J793" i="4" s="1"/>
  <c r="K673" i="4"/>
  <c r="L673" i="4" s="1"/>
  <c r="O673" i="4" s="1"/>
  <c r="J673" i="4" a="1"/>
  <c r="J673" i="4" s="1"/>
  <c r="J649" i="4" a="1"/>
  <c r="J649" i="4" s="1"/>
  <c r="K649" i="4"/>
  <c r="L649" i="4" s="1"/>
  <c r="O649" i="4" s="1"/>
  <c r="J481" i="4" a="1"/>
  <c r="J481" i="4" s="1"/>
  <c r="K481" i="4"/>
  <c r="N481" i="4" s="1" a="1"/>
  <c r="N481" i="4" s="1"/>
  <c r="K445" i="4"/>
  <c r="N445" i="4" s="1" a="1"/>
  <c r="N445" i="4" s="1"/>
  <c r="J445" i="4" a="1"/>
  <c r="J445" i="4" s="1"/>
  <c r="J433" i="4" a="1"/>
  <c r="J433" i="4" s="1"/>
  <c r="K433" i="4"/>
  <c r="N433" i="4" s="1" a="1"/>
  <c r="N433" i="4" s="1"/>
  <c r="J421" i="4" a="1"/>
  <c r="J421" i="4" s="1"/>
  <c r="K421" i="4"/>
  <c r="N421" i="4" s="1" a="1"/>
  <c r="N421" i="4" s="1"/>
  <c r="J373" i="4" a="1"/>
  <c r="J373" i="4" s="1"/>
  <c r="K373" i="4"/>
  <c r="L373" i="4" s="1"/>
  <c r="O373" i="4" s="1"/>
  <c r="K289" i="4"/>
  <c r="N289" i="4" s="1" a="1"/>
  <c r="N289" i="4" s="1"/>
  <c r="J289" i="4" a="1"/>
  <c r="J289" i="4" s="1"/>
  <c r="K229" i="4"/>
  <c r="N229" i="4" s="1" a="1"/>
  <c r="N229" i="4" s="1"/>
  <c r="J229" i="4" a="1"/>
  <c r="J229" i="4" s="1"/>
  <c r="J181" i="4" a="1"/>
  <c r="J181" i="4" s="1"/>
  <c r="K181" i="4"/>
  <c r="N181" i="4" s="1" a="1"/>
  <c r="N181" i="4" s="1"/>
  <c r="J169" i="4" a="1"/>
  <c r="J169" i="4" s="1"/>
  <c r="K169" i="4"/>
  <c r="N169" i="4" s="1" a="1"/>
  <c r="N169" i="4" s="1"/>
  <c r="K145" i="4"/>
  <c r="N145" i="4" s="1" a="1"/>
  <c r="N145" i="4" s="1"/>
  <c r="J145" i="4" a="1"/>
  <c r="J145" i="4" s="1"/>
  <c r="K37" i="4"/>
  <c r="L37" i="4" s="1"/>
  <c r="O37" i="4" s="1"/>
  <c r="J37" i="4" a="1"/>
  <c r="J37" i="4" s="1"/>
  <c r="J25" i="4" a="1"/>
  <c r="J25" i="4" s="1"/>
  <c r="K25" i="4"/>
  <c r="N25" i="4" s="1" a="1"/>
  <c r="N25" i="4" s="1"/>
  <c r="J771" i="4" a="1"/>
  <c r="J771" i="4" s="1"/>
  <c r="K945" i="4"/>
  <c r="N945" i="4" s="1" a="1"/>
  <c r="N945" i="4" s="1"/>
  <c r="J945" i="4" a="1"/>
  <c r="J945" i="4" s="1"/>
  <c r="K873" i="4"/>
  <c r="N873" i="4" s="1" a="1"/>
  <c r="N873" i="4" s="1"/>
  <c r="J873" i="4" a="1"/>
  <c r="J873" i="4" s="1"/>
  <c r="K285" i="4"/>
  <c r="N285" i="4" s="1" a="1"/>
  <c r="N285" i="4" s="1"/>
  <c r="J285" i="4" a="1"/>
  <c r="J285" i="4" s="1"/>
  <c r="K225" i="4"/>
  <c r="N225" i="4" s="1" a="1"/>
  <c r="N225" i="4" s="1"/>
  <c r="J225" i="4" a="1"/>
  <c r="J225" i="4" s="1"/>
  <c r="K987" i="4"/>
  <c r="L987" i="4" s="1"/>
  <c r="O987" i="4" s="1"/>
  <c r="J987" i="4" a="1"/>
  <c r="J987" i="4" s="1"/>
  <c r="K687" i="4"/>
  <c r="J687" i="4" a="1"/>
  <c r="J687" i="4" s="1"/>
  <c r="J831" i="4" a="1"/>
  <c r="J831" i="4" s="1"/>
  <c r="L326" i="4"/>
  <c r="O326" i="4" s="1"/>
  <c r="N326" i="4" a="1"/>
  <c r="N326" i="4" s="1"/>
  <c r="J218" i="4" a="1"/>
  <c r="J218" i="4" s="1"/>
  <c r="K218" i="4"/>
  <c r="N218" i="4" s="1" a="1"/>
  <c r="N218" i="4" s="1"/>
  <c r="K961" i="4"/>
  <c r="N961" i="4" s="1" a="1"/>
  <c r="N961" i="4" s="1"/>
  <c r="J961" i="4" a="1"/>
  <c r="J961" i="4" s="1"/>
  <c r="K829" i="4"/>
  <c r="L829" i="4" s="1"/>
  <c r="O829" i="4" s="1"/>
  <c r="J829" i="4" a="1"/>
  <c r="J829" i="4" s="1"/>
  <c r="K721" i="4"/>
  <c r="N721" i="4" s="1" a="1"/>
  <c r="N721" i="4" s="1"/>
  <c r="J721" i="4" a="1"/>
  <c r="J721" i="4" s="1"/>
  <c r="N697" i="4" a="1"/>
  <c r="N697" i="4" s="1"/>
  <c r="L697" i="4"/>
  <c r="O697" i="4" s="1"/>
  <c r="K565" i="4"/>
  <c r="N565" i="4" s="1" a="1"/>
  <c r="N565" i="4" s="1"/>
  <c r="J565" i="4" a="1"/>
  <c r="J565" i="4" s="1"/>
  <c r="K541" i="4"/>
  <c r="N541" i="4" s="1" a="1"/>
  <c r="N541" i="4" s="1"/>
  <c r="J541" i="4" a="1"/>
  <c r="J541" i="4" s="1"/>
  <c r="K517" i="4"/>
  <c r="N517" i="4" s="1" a="1"/>
  <c r="N517" i="4" s="1"/>
  <c r="J517" i="4" a="1"/>
  <c r="J517" i="4" s="1"/>
  <c r="J361" i="4" a="1"/>
  <c r="J361" i="4" s="1"/>
  <c r="K361" i="4"/>
  <c r="N361" i="4" s="1" a="1"/>
  <c r="N361" i="4" s="1"/>
  <c r="J301" i="4" a="1"/>
  <c r="J301" i="4" s="1"/>
  <c r="K301" i="4"/>
  <c r="N301" i="4" s="1" a="1"/>
  <c r="N301" i="4" s="1"/>
  <c r="J277" i="4" a="1"/>
  <c r="J277" i="4" s="1"/>
  <c r="K277" i="4"/>
  <c r="N277" i="4" s="1" a="1"/>
  <c r="N277" i="4" s="1"/>
  <c r="J746" i="4" a="1"/>
  <c r="J746" i="4" s="1"/>
  <c r="J33" i="4" a="1"/>
  <c r="J33" i="4" s="1"/>
  <c r="L362" i="4"/>
  <c r="O362" i="4" s="1"/>
  <c r="J963" i="4" a="1"/>
  <c r="J963" i="4" s="1"/>
  <c r="J745" i="4" a="1"/>
  <c r="J745" i="4" s="1"/>
  <c r="K253" i="4"/>
  <c r="N253" i="4" s="1" a="1"/>
  <c r="N253" i="4" s="1"/>
  <c r="K690" i="4"/>
  <c r="L690" i="4" s="1"/>
  <c r="O690" i="4" s="1"/>
  <c r="N904" i="4" a="1"/>
  <c r="N904" i="4" s="1"/>
  <c r="J940" i="4" a="1"/>
  <c r="J940" i="4" s="1"/>
  <c r="K689" i="4"/>
  <c r="N689" i="4" s="1" a="1"/>
  <c r="N689" i="4" s="1"/>
  <c r="K244" i="4"/>
  <c r="L244" i="4" s="1"/>
  <c r="O244" i="4" s="1"/>
  <c r="J666" i="4" a="1"/>
  <c r="J666" i="4" s="1"/>
  <c r="K666" i="4"/>
  <c r="N666" i="4" s="1" a="1"/>
  <c r="N666" i="4" s="1"/>
  <c r="J618" i="4" a="1"/>
  <c r="J618" i="4" s="1"/>
  <c r="K618" i="4"/>
  <c r="N618" i="4" s="1" a="1"/>
  <c r="N618" i="4" s="1"/>
  <c r="K474" i="4"/>
  <c r="N474" i="4" s="1" a="1"/>
  <c r="N474" i="4" s="1"/>
  <c r="J474" i="4" a="1"/>
  <c r="J474" i="4" s="1"/>
  <c r="K426" i="4"/>
  <c r="N426" i="4" s="1" a="1"/>
  <c r="N426" i="4" s="1"/>
  <c r="J426" i="4" a="1"/>
  <c r="J426" i="4" s="1"/>
  <c r="J282" i="4" a="1"/>
  <c r="J282" i="4" s="1"/>
  <c r="K282" i="4"/>
  <c r="N282" i="4" s="1" a="1"/>
  <c r="N282" i="4" s="1"/>
  <c r="J255" i="4" a="1"/>
  <c r="J255" i="4" s="1"/>
  <c r="N375" i="4" a="1"/>
  <c r="N375" i="4" s="1"/>
  <c r="J798" i="4" a="1"/>
  <c r="J798" i="4" s="1"/>
  <c r="K798" i="4"/>
  <c r="N798" i="4" s="1" a="1"/>
  <c r="N798" i="4" s="1"/>
  <c r="J893" i="4" a="1"/>
  <c r="J893" i="4" s="1"/>
  <c r="K893" i="4"/>
  <c r="N893" i="4" s="1" a="1"/>
  <c r="N893" i="4" s="1"/>
  <c r="N833" i="4" a="1"/>
  <c r="N833" i="4" s="1"/>
  <c r="L833" i="4"/>
  <c r="O833" i="4" s="1"/>
  <c r="J773" i="4" a="1"/>
  <c r="J773" i="4" s="1"/>
  <c r="K773" i="4"/>
  <c r="L773" i="4" s="1"/>
  <c r="O773" i="4" s="1"/>
  <c r="N701" i="4" a="1"/>
  <c r="N701" i="4" s="1"/>
  <c r="L701" i="4"/>
  <c r="O701" i="4" s="1"/>
  <c r="K425" i="4"/>
  <c r="N425" i="4" s="1" a="1"/>
  <c r="N425" i="4" s="1"/>
  <c r="J425" i="4" a="1"/>
  <c r="J425" i="4" s="1"/>
  <c r="N197" i="4" a="1"/>
  <c r="N197" i="4" s="1"/>
  <c r="L197" i="4"/>
  <c r="O197" i="4" s="1"/>
  <c r="K53" i="4"/>
  <c r="L53" i="4" s="1"/>
  <c r="O53" i="4" s="1"/>
  <c r="J53" i="4" a="1"/>
  <c r="J53" i="4" s="1"/>
  <c r="J448" i="4" a="1"/>
  <c r="J448" i="4" s="1"/>
  <c r="K846" i="4"/>
  <c r="N846" i="4" s="1" a="1"/>
  <c r="N846" i="4" s="1"/>
  <c r="K435" i="4"/>
  <c r="L435" i="4" s="1"/>
  <c r="O435" i="4" s="1"/>
  <c r="K231" i="4"/>
  <c r="N231" i="4" s="1" a="1"/>
  <c r="N231" i="4" s="1"/>
  <c r="N281" i="4" a="1"/>
  <c r="N281" i="4" s="1"/>
  <c r="K952" i="4"/>
  <c r="L952" i="4" s="1"/>
  <c r="O952" i="4" s="1"/>
  <c r="J952" i="4" a="1"/>
  <c r="J952" i="4" s="1"/>
  <c r="J688" i="4" a="1"/>
  <c r="J688" i="4" s="1"/>
  <c r="K688" i="4"/>
  <c r="K424" i="4"/>
  <c r="N424" i="4" s="1" a="1"/>
  <c r="N424" i="4" s="1"/>
  <c r="J424" i="4" a="1"/>
  <c r="J424" i="4" s="1"/>
  <c r="K256" i="4"/>
  <c r="L256" i="4" s="1"/>
  <c r="O256" i="4" s="1"/>
  <c r="J256" i="4" a="1"/>
  <c r="J256" i="4" s="1"/>
  <c r="J220" i="4" a="1"/>
  <c r="J220" i="4" s="1"/>
  <c r="K220" i="4"/>
  <c r="N220" i="4" s="1" a="1"/>
  <c r="N220" i="4" s="1"/>
  <c r="K148" i="4"/>
  <c r="L148" i="4" s="1"/>
  <c r="O148" i="4" s="1"/>
  <c r="J148" i="4" a="1"/>
  <c r="J148" i="4" s="1"/>
  <c r="K64" i="4"/>
  <c r="L64" i="4" s="1"/>
  <c r="O64" i="4" s="1"/>
  <c r="J64" i="4" a="1"/>
  <c r="J64" i="4" s="1"/>
  <c r="J772" i="4" a="1"/>
  <c r="J772" i="4" s="1"/>
  <c r="K376" i="4"/>
  <c r="L376" i="4" s="1"/>
  <c r="O376" i="4" s="1"/>
  <c r="K483" i="4"/>
  <c r="L483" i="4" s="1"/>
  <c r="O483" i="4" s="1"/>
  <c r="J483" i="4" a="1"/>
  <c r="J483" i="4" s="1"/>
  <c r="K279" i="4"/>
  <c r="N279" i="4" s="1" a="1"/>
  <c r="N279" i="4" s="1"/>
  <c r="J279" i="4" a="1"/>
  <c r="J279" i="4" s="1"/>
  <c r="J135" i="4" a="1"/>
  <c r="J135" i="4" s="1"/>
  <c r="K135" i="4"/>
  <c r="L135" i="4" s="1"/>
  <c r="O135" i="4" s="1"/>
  <c r="K487" i="4"/>
  <c r="N487" i="4" s="1" a="1"/>
  <c r="N487" i="4" s="1"/>
  <c r="J631" i="4" a="1"/>
  <c r="J631" i="4" s="1"/>
  <c r="J871" i="4" a="1"/>
  <c r="J871" i="4" s="1"/>
  <c r="J127" i="4" a="1"/>
  <c r="J127" i="4" s="1"/>
  <c r="J54" i="4" a="1"/>
  <c r="J54" i="4" s="1"/>
  <c r="K583" i="4"/>
  <c r="N583" i="4" s="1" a="1"/>
  <c r="N583" i="4" s="1"/>
  <c r="K103" i="4"/>
  <c r="N103" i="4" s="1" a="1"/>
  <c r="N103" i="4" s="1"/>
  <c r="N619" i="4" a="1"/>
  <c r="N619" i="4" s="1"/>
  <c r="L619" i="4"/>
  <c r="O619" i="4" s="1"/>
  <c r="K993" i="4"/>
  <c r="N993" i="4" s="1" a="1"/>
  <c r="N993" i="4" s="1"/>
  <c r="K777" i="4"/>
  <c r="N777" i="4" s="1" a="1"/>
  <c r="N777" i="4" s="1"/>
  <c r="K621" i="4"/>
  <c r="K163" i="4"/>
  <c r="N163" i="4" s="1" a="1"/>
  <c r="N163" i="4" s="1"/>
  <c r="K10" i="4"/>
  <c r="N10" i="4" s="1" a="1"/>
  <c r="N10" i="4" s="1"/>
  <c r="J971" i="4" a="1"/>
  <c r="J971" i="4" s="1"/>
  <c r="K971" i="4"/>
  <c r="N971" i="4" s="1" a="1"/>
  <c r="N971" i="4" s="1"/>
  <c r="K874" i="4"/>
  <c r="N874" i="4" s="1" a="1"/>
  <c r="N874" i="4" s="1"/>
  <c r="J874" i="4" a="1"/>
  <c r="J874" i="4" s="1"/>
  <c r="K802" i="4"/>
  <c r="N802" i="4" s="1" a="1"/>
  <c r="N802" i="4" s="1"/>
  <c r="J802" i="4" a="1"/>
  <c r="J802" i="4" s="1"/>
  <c r="K778" i="4"/>
  <c r="L778" i="4" s="1"/>
  <c r="O778" i="4" s="1"/>
  <c r="J778" i="4" a="1"/>
  <c r="J778" i="4" s="1"/>
  <c r="J766" i="4" a="1"/>
  <c r="J766" i="4" s="1"/>
  <c r="K766" i="4"/>
  <c r="L766" i="4" s="1"/>
  <c r="O766" i="4" s="1"/>
  <c r="J502" i="4" a="1"/>
  <c r="J502" i="4" s="1"/>
  <c r="K502" i="4"/>
  <c r="N502" i="4" s="1" a="1"/>
  <c r="N502" i="4" s="1"/>
  <c r="J418" i="4" a="1"/>
  <c r="J418" i="4" s="1"/>
  <c r="K418" i="4"/>
  <c r="N418" i="4" s="1" a="1"/>
  <c r="N418" i="4" s="1"/>
  <c r="J394" i="4" a="1"/>
  <c r="J394" i="4" s="1"/>
  <c r="K394" i="4"/>
  <c r="J358" i="4" a="1"/>
  <c r="J358" i="4" s="1"/>
  <c r="K358" i="4"/>
  <c r="N358" i="4" s="1" a="1"/>
  <c r="N358" i="4" s="1"/>
  <c r="J106" i="4" a="1"/>
  <c r="J106" i="4" s="1"/>
  <c r="K106" i="4"/>
  <c r="N106" i="4" s="1" a="1"/>
  <c r="N106" i="4" s="1"/>
  <c r="J921" i="4" a="1"/>
  <c r="J921" i="4" s="1"/>
  <c r="K921" i="4"/>
  <c r="N921" i="4" s="1" a="1"/>
  <c r="N921" i="4" s="1"/>
  <c r="K765" i="4"/>
  <c r="N765" i="4" s="1" a="1"/>
  <c r="N765" i="4" s="1"/>
  <c r="J765" i="4" a="1"/>
  <c r="J765" i="4" s="1"/>
  <c r="K741" i="4"/>
  <c r="J741" i="4" a="1"/>
  <c r="J741" i="4" s="1"/>
  <c r="J705" i="4" a="1"/>
  <c r="J705" i="4" s="1"/>
  <c r="K705" i="4"/>
  <c r="N705" i="4" s="1" a="1"/>
  <c r="N705" i="4" s="1"/>
  <c r="J669" i="4" a="1"/>
  <c r="J669" i="4" s="1"/>
  <c r="K669" i="4"/>
  <c r="L669" i="4" s="1"/>
  <c r="O669" i="4" s="1"/>
  <c r="K645" i="4"/>
  <c r="N645" i="4" s="1" a="1"/>
  <c r="N645" i="4" s="1"/>
  <c r="J645" i="4" a="1"/>
  <c r="J645" i="4" s="1"/>
  <c r="K633" i="4"/>
  <c r="J633" i="4" a="1"/>
  <c r="J633" i="4" s="1"/>
  <c r="J609" i="4" a="1"/>
  <c r="J609" i="4" s="1"/>
  <c r="K609" i="4"/>
  <c r="K597" i="4"/>
  <c r="J597" i="4" a="1"/>
  <c r="J597" i="4" s="1"/>
  <c r="J501" i="4" a="1"/>
  <c r="J501" i="4" s="1"/>
  <c r="K501" i="4"/>
  <c r="N501" i="4" s="1" a="1"/>
  <c r="N501" i="4" s="1"/>
  <c r="K417" i="4"/>
  <c r="J417" i="4" a="1"/>
  <c r="J417" i="4" s="1"/>
  <c r="K321" i="4"/>
  <c r="J321" i="4" a="1"/>
  <c r="J321" i="4" s="1"/>
  <c r="K309" i="4"/>
  <c r="N309" i="4" s="1" a="1"/>
  <c r="N309" i="4" s="1"/>
  <c r="J309" i="4" a="1"/>
  <c r="J309" i="4" s="1"/>
  <c r="N237" i="4" a="1"/>
  <c r="N237" i="4" s="1"/>
  <c r="L237" i="4"/>
  <c r="O237" i="4" s="1"/>
  <c r="K201" i="4"/>
  <c r="J201" i="4" a="1"/>
  <c r="J201" i="4" s="1"/>
  <c r="K165" i="4"/>
  <c r="N165" i="4" s="1" a="1"/>
  <c r="N165" i="4" s="1"/>
  <c r="J165" i="4" a="1"/>
  <c r="J165" i="4" s="1"/>
  <c r="K81" i="4"/>
  <c r="J81" i="4" a="1"/>
  <c r="J81" i="4" s="1"/>
  <c r="L94" i="4"/>
  <c r="O94" i="4" s="1"/>
  <c r="K848" i="4"/>
  <c r="L848" i="4" s="1"/>
  <c r="O848" i="4" s="1"/>
  <c r="J848" i="4" a="1"/>
  <c r="J848" i="4" s="1"/>
  <c r="J752" i="4" a="1"/>
  <c r="J752" i="4" s="1"/>
  <c r="K752" i="4"/>
  <c r="L752" i="4" s="1"/>
  <c r="O752" i="4" s="1"/>
  <c r="J716" i="4" a="1"/>
  <c r="J716" i="4" s="1"/>
  <c r="K716" i="4"/>
  <c r="L716" i="4" s="1"/>
  <c r="O716" i="4" s="1"/>
  <c r="K440" i="4"/>
  <c r="N440" i="4" s="1" a="1"/>
  <c r="N440" i="4" s="1"/>
  <c r="J440" i="4" a="1"/>
  <c r="J440" i="4" s="1"/>
  <c r="J8" i="4" a="1"/>
  <c r="J8" i="4" s="1"/>
  <c r="K898" i="4"/>
  <c r="L898" i="4" s="1"/>
  <c r="O898" i="4" s="1"/>
  <c r="K572" i="4"/>
  <c r="N572" i="4" s="1" a="1"/>
  <c r="N572" i="4" s="1"/>
  <c r="K931" i="4"/>
  <c r="L931" i="4" s="1"/>
  <c r="O931" i="4" s="1"/>
  <c r="J931" i="4" a="1"/>
  <c r="J931" i="4" s="1"/>
  <c r="K787" i="4"/>
  <c r="J787" i="4" a="1"/>
  <c r="J787" i="4" s="1"/>
  <c r="K715" i="4"/>
  <c r="N715" i="4" s="1" a="1"/>
  <c r="N715" i="4" s="1"/>
  <c r="J715" i="4" a="1"/>
  <c r="J715" i="4" s="1"/>
  <c r="K691" i="4"/>
  <c r="N691" i="4" s="1" a="1"/>
  <c r="N691" i="4" s="1"/>
  <c r="J691" i="4" a="1"/>
  <c r="J691" i="4" s="1"/>
  <c r="J511" i="4" a="1"/>
  <c r="J511" i="4" s="1"/>
  <c r="K511" i="4"/>
  <c r="L511" i="4" s="1"/>
  <c r="O511" i="4" s="1"/>
  <c r="K391" i="4"/>
  <c r="N391" i="4" s="1" a="1"/>
  <c r="N391" i="4" s="1"/>
  <c r="J391" i="4" a="1"/>
  <c r="J391" i="4" s="1"/>
  <c r="K355" i="4"/>
  <c r="J355" i="4" a="1"/>
  <c r="J355" i="4" s="1"/>
  <c r="K319" i="4"/>
  <c r="N319" i="4" s="1" a="1"/>
  <c r="N319" i="4" s="1"/>
  <c r="J319" i="4" a="1"/>
  <c r="J319" i="4" s="1"/>
  <c r="N283" i="4" a="1"/>
  <c r="N283" i="4" s="1"/>
  <c r="L283" i="4"/>
  <c r="O283" i="4" s="1"/>
  <c r="K271" i="4"/>
  <c r="N271" i="4" s="1" a="1"/>
  <c r="N271" i="4" s="1"/>
  <c r="J271" i="4" a="1"/>
  <c r="J271" i="4" s="1"/>
  <c r="K211" i="4"/>
  <c r="N211" i="4" s="1" a="1"/>
  <c r="N211" i="4" s="1"/>
  <c r="J211" i="4" a="1"/>
  <c r="J211" i="4" s="1"/>
  <c r="J67" i="4" a="1"/>
  <c r="J67" i="4" s="1"/>
  <c r="K67" i="4"/>
  <c r="N67" i="4" s="1" a="1"/>
  <c r="N67" i="4" s="1"/>
  <c r="J451" i="4" a="1"/>
  <c r="J451" i="4" s="1"/>
  <c r="J345" i="4" a="1"/>
  <c r="J345" i="4" s="1"/>
  <c r="J115" i="4" a="1"/>
  <c r="J115" i="4" s="1"/>
  <c r="L369" i="4"/>
  <c r="O369" i="4" s="1"/>
  <c r="J332" i="4" a="1"/>
  <c r="J332" i="4" s="1"/>
  <c r="J753" i="4" a="1"/>
  <c r="J753" i="4" s="1"/>
  <c r="J835" i="4" a="1"/>
  <c r="J835" i="4" s="1"/>
  <c r="J751" i="4" a="1"/>
  <c r="J751" i="4" s="1"/>
  <c r="J598" i="4" a="1"/>
  <c r="J598" i="4" s="1"/>
  <c r="J151" i="4" a="1"/>
  <c r="J151" i="4" s="1"/>
  <c r="K7" i="4"/>
  <c r="L7" i="4" s="1"/>
  <c r="O7" i="4" s="1"/>
  <c r="L334" i="4"/>
  <c r="O334" i="4" s="1"/>
  <c r="K539" i="4"/>
  <c r="N539" i="4" s="1" a="1"/>
  <c r="N539" i="4" s="1"/>
  <c r="J539" i="4" a="1"/>
  <c r="J539" i="4" s="1"/>
  <c r="K275" i="4"/>
  <c r="L275" i="4" s="1"/>
  <c r="O275" i="4" s="1"/>
  <c r="J275" i="4" a="1"/>
  <c r="J275" i="4" s="1"/>
  <c r="K251" i="4"/>
  <c r="N251" i="4" s="1" a="1"/>
  <c r="N251" i="4" s="1"/>
  <c r="J251" i="4" a="1"/>
  <c r="J251" i="4" s="1"/>
  <c r="K958" i="4"/>
  <c r="N958" i="4" s="1" a="1"/>
  <c r="N958" i="4" s="1"/>
  <c r="J958" i="4" a="1"/>
  <c r="J958" i="4" s="1"/>
  <c r="N754" i="4" a="1"/>
  <c r="N754" i="4" s="1"/>
  <c r="L754" i="4"/>
  <c r="O754" i="4" s="1"/>
  <c r="L646" i="4"/>
  <c r="O646" i="4" s="1"/>
  <c r="N646" i="4" a="1"/>
  <c r="N646" i="4" s="1"/>
  <c r="J634" i="4" a="1"/>
  <c r="J634" i="4" s="1"/>
  <c r="K634" i="4"/>
  <c r="L634" i="4" s="1"/>
  <c r="O634" i="4" s="1"/>
  <c r="N442" i="4" a="1"/>
  <c r="N442" i="4" s="1"/>
  <c r="L442" i="4"/>
  <c r="O442" i="4" s="1"/>
  <c r="J274" i="4" a="1"/>
  <c r="J274" i="4" s="1"/>
  <c r="K274" i="4"/>
  <c r="N274" i="4" s="1" a="1"/>
  <c r="N274" i="4" s="1"/>
  <c r="K178" i="4"/>
  <c r="N178" i="4" s="1" a="1"/>
  <c r="N178" i="4" s="1"/>
  <c r="J178" i="4" a="1"/>
  <c r="J178" i="4" s="1"/>
  <c r="K22" i="4"/>
  <c r="L22" i="4" s="1"/>
  <c r="O22" i="4" s="1"/>
  <c r="J22" i="4" a="1"/>
  <c r="J22" i="4" s="1"/>
  <c r="K981" i="4"/>
  <c r="N981" i="4" s="1" a="1"/>
  <c r="N981" i="4" s="1"/>
  <c r="J981" i="4" a="1"/>
  <c r="J981" i="4" s="1"/>
  <c r="N801" i="4" a="1"/>
  <c r="N801" i="4" s="1"/>
  <c r="L801" i="4"/>
  <c r="O801" i="4" s="1"/>
  <c r="K513" i="4"/>
  <c r="J513" i="4" a="1"/>
  <c r="J513" i="4" s="1"/>
  <c r="J465" i="4" a="1"/>
  <c r="J465" i="4" s="1"/>
  <c r="K465" i="4"/>
  <c r="L465" i="4" s="1"/>
  <c r="O465" i="4" s="1"/>
  <c r="K441" i="4"/>
  <c r="N441" i="4" s="1" a="1"/>
  <c r="N441" i="4" s="1"/>
  <c r="J441" i="4" a="1"/>
  <c r="J441" i="4" s="1"/>
  <c r="K189" i="4"/>
  <c r="N189" i="4" s="1" a="1"/>
  <c r="N189" i="4" s="1"/>
  <c r="J189" i="4" a="1"/>
  <c r="J189" i="4" s="1"/>
  <c r="K153" i="4"/>
  <c r="J153" i="4" a="1"/>
  <c r="J153" i="4" s="1"/>
  <c r="K129" i="4"/>
  <c r="L129" i="4" s="1"/>
  <c r="O129" i="4" s="1"/>
  <c r="J129" i="4" a="1"/>
  <c r="J129" i="4" s="1"/>
  <c r="K105" i="4"/>
  <c r="N105" i="4" s="1" a="1"/>
  <c r="N105" i="4" s="1"/>
  <c r="J105" i="4" a="1"/>
  <c r="J105" i="4" s="1"/>
  <c r="K69" i="4"/>
  <c r="J69" i="4" a="1"/>
  <c r="J69" i="4" s="1"/>
  <c r="K45" i="4"/>
  <c r="N45" i="4" s="1" a="1"/>
  <c r="N45" i="4" s="1"/>
  <c r="J45" i="4" a="1"/>
  <c r="J45" i="4" s="1"/>
  <c r="K21" i="4"/>
  <c r="J21" i="4" a="1"/>
  <c r="J21" i="4" s="1"/>
  <c r="K9" i="4"/>
  <c r="J9" i="4" a="1"/>
  <c r="J9" i="4" s="1"/>
  <c r="J681" i="4" a="1"/>
  <c r="J681" i="4" s="1"/>
  <c r="J177" i="4" a="1"/>
  <c r="J177" i="4" s="1"/>
  <c r="K477" i="4"/>
  <c r="J991" i="4" a="1"/>
  <c r="J991" i="4" s="1"/>
  <c r="K991" i="4"/>
  <c r="K979" i="4"/>
  <c r="L979" i="4" s="1"/>
  <c r="O979" i="4" s="1"/>
  <c r="J979" i="4" a="1"/>
  <c r="J979" i="4" s="1"/>
  <c r="J919" i="4" a="1"/>
  <c r="J919" i="4" s="1"/>
  <c r="K919" i="4"/>
  <c r="N919" i="4" s="1" a="1"/>
  <c r="N919" i="4" s="1"/>
  <c r="K907" i="4"/>
  <c r="N907" i="4" s="1" a="1"/>
  <c r="N907" i="4" s="1"/>
  <c r="J907" i="4" a="1"/>
  <c r="J907" i="4" s="1"/>
  <c r="K859" i="4"/>
  <c r="N859" i="4" s="1" a="1"/>
  <c r="N859" i="4" s="1"/>
  <c r="J859" i="4" a="1"/>
  <c r="J859" i="4" s="1"/>
  <c r="K763" i="4"/>
  <c r="J763" i="4" a="1"/>
  <c r="J763" i="4" s="1"/>
  <c r="K643" i="4"/>
  <c r="N643" i="4" s="1" a="1"/>
  <c r="N643" i="4" s="1"/>
  <c r="J643" i="4" a="1"/>
  <c r="J643" i="4" s="1"/>
  <c r="J607" i="4" a="1"/>
  <c r="J607" i="4" s="1"/>
  <c r="K607" i="4"/>
  <c r="N607" i="4" s="1" a="1"/>
  <c r="N607" i="4" s="1"/>
  <c r="K595" i="4"/>
  <c r="N595" i="4" s="1" a="1"/>
  <c r="N595" i="4" s="1"/>
  <c r="J595" i="4" a="1"/>
  <c r="J595" i="4" s="1"/>
  <c r="J559" i="4" a="1"/>
  <c r="J559" i="4" s="1"/>
  <c r="K559" i="4"/>
  <c r="N559" i="4" s="1" a="1"/>
  <c r="N559" i="4" s="1"/>
  <c r="K475" i="4"/>
  <c r="L475" i="4" s="1"/>
  <c r="O475" i="4" s="1"/>
  <c r="J475" i="4" a="1"/>
  <c r="J475" i="4" s="1"/>
  <c r="J403" i="4" a="1"/>
  <c r="J403" i="4" s="1"/>
  <c r="K403" i="4"/>
  <c r="N403" i="4" s="1" a="1"/>
  <c r="N403" i="4" s="1"/>
  <c r="K79" i="4"/>
  <c r="L79" i="4" s="1"/>
  <c r="O79" i="4" s="1"/>
  <c r="J79" i="4" a="1"/>
  <c r="J79" i="4" s="1"/>
  <c r="J547" i="4" a="1"/>
  <c r="J547" i="4" s="1"/>
  <c r="J813" i="4" a="1"/>
  <c r="J813" i="4" s="1"/>
  <c r="J406" i="4" a="1"/>
  <c r="J406" i="4" s="1"/>
  <c r="J166" i="4" a="1"/>
  <c r="J166" i="4" s="1"/>
  <c r="K3" i="4"/>
  <c r="L3" i="4" s="1"/>
  <c r="O3" i="4" s="1"/>
  <c r="K537" i="4"/>
  <c r="N537" i="4" s="1" a="1"/>
  <c r="N537" i="4" s="1"/>
  <c r="L718" i="4"/>
  <c r="O718" i="4" s="1"/>
  <c r="K995" i="4"/>
  <c r="L995" i="4" s="1"/>
  <c r="O995" i="4" s="1"/>
  <c r="J801" i="4" a="1"/>
  <c r="J801" i="4" s="1"/>
  <c r="J703" i="4" a="1"/>
  <c r="J703" i="4" s="1"/>
  <c r="J331" i="4" a="1"/>
  <c r="J331" i="4" s="1"/>
  <c r="J429" i="4" a="1"/>
  <c r="J429" i="4" s="1"/>
  <c r="J237" i="4" a="1"/>
  <c r="J237" i="4" s="1"/>
  <c r="K947" i="4"/>
  <c r="N947" i="4" s="1" a="1"/>
  <c r="N947" i="4" s="1"/>
  <c r="K525" i="4"/>
  <c r="L525" i="4" s="1"/>
  <c r="O525" i="4" s="1"/>
  <c r="N970" i="4" a="1"/>
  <c r="N970" i="4" s="1"/>
  <c r="K803" i="4"/>
  <c r="N803" i="4" s="1" a="1"/>
  <c r="N803" i="4" s="1"/>
  <c r="J803" i="4" a="1"/>
  <c r="J803" i="4" s="1"/>
  <c r="K419" i="4"/>
  <c r="N419" i="4" s="1" a="1"/>
  <c r="N419" i="4" s="1"/>
  <c r="J419" i="4" a="1"/>
  <c r="J419" i="4" s="1"/>
  <c r="N263" i="4" a="1"/>
  <c r="N263" i="4" s="1"/>
  <c r="L263" i="4"/>
  <c r="O263" i="4" s="1"/>
  <c r="K922" i="4"/>
  <c r="L922" i="4" s="1"/>
  <c r="O922" i="4" s="1"/>
  <c r="J922" i="4" a="1"/>
  <c r="J922" i="4" s="1"/>
  <c r="K562" i="4"/>
  <c r="N562" i="4" s="1" a="1"/>
  <c r="N562" i="4" s="1"/>
  <c r="J562" i="4" a="1"/>
  <c r="J562" i="4" s="1"/>
  <c r="K538" i="4"/>
  <c r="N538" i="4" s="1" a="1"/>
  <c r="N538" i="4" s="1"/>
  <c r="J538" i="4" a="1"/>
  <c r="J538" i="4" s="1"/>
  <c r="K466" i="4"/>
  <c r="L466" i="4" s="1"/>
  <c r="O466" i="4" s="1"/>
  <c r="J466" i="4" a="1"/>
  <c r="J466" i="4" s="1"/>
  <c r="J454" i="4" a="1"/>
  <c r="J454" i="4" s="1"/>
  <c r="K454" i="4"/>
  <c r="N454" i="4" s="1" a="1"/>
  <c r="N454" i="4" s="1"/>
  <c r="K238" i="4"/>
  <c r="N238" i="4" s="1" a="1"/>
  <c r="N238" i="4" s="1"/>
  <c r="J238" i="4" a="1"/>
  <c r="J238" i="4" s="1"/>
  <c r="J202" i="4" a="1"/>
  <c r="J202" i="4" s="1"/>
  <c r="K202" i="4"/>
  <c r="N202" i="4" s="1" a="1"/>
  <c r="N202" i="4" s="1"/>
  <c r="K957" i="4"/>
  <c r="L957" i="4" s="1"/>
  <c r="O957" i="4" s="1"/>
  <c r="J957" i="4" a="1"/>
  <c r="J957" i="4" s="1"/>
  <c r="K933" i="4"/>
  <c r="L933" i="4" s="1"/>
  <c r="O933" i="4" s="1"/>
  <c r="J933" i="4" a="1"/>
  <c r="J933" i="4" s="1"/>
  <c r="K909" i="4"/>
  <c r="J909" i="4" a="1"/>
  <c r="J909" i="4" s="1"/>
  <c r="J885" i="4" a="1"/>
  <c r="J885" i="4" s="1"/>
  <c r="K885" i="4"/>
  <c r="K861" i="4"/>
  <c r="N861" i="4" s="1" a="1"/>
  <c r="N861" i="4" s="1"/>
  <c r="J861" i="4" a="1"/>
  <c r="J861" i="4" s="1"/>
  <c r="K825" i="4"/>
  <c r="L825" i="4" s="1"/>
  <c r="O825" i="4" s="1"/>
  <c r="J825" i="4" a="1"/>
  <c r="J825" i="4" s="1"/>
  <c r="K789" i="4"/>
  <c r="L789" i="4" s="1"/>
  <c r="O789" i="4" s="1"/>
  <c r="J789" i="4" a="1"/>
  <c r="J789" i="4" s="1"/>
  <c r="K717" i="4"/>
  <c r="J717" i="4" a="1"/>
  <c r="J717" i="4" s="1"/>
  <c r="K693" i="4"/>
  <c r="N693" i="4" s="1" a="1"/>
  <c r="N693" i="4" s="1"/>
  <c r="J693" i="4" a="1"/>
  <c r="J693" i="4" s="1"/>
  <c r="K561" i="4"/>
  <c r="J561" i="4" a="1"/>
  <c r="J561" i="4" s="1"/>
  <c r="K393" i="4"/>
  <c r="N393" i="4" s="1" a="1"/>
  <c r="N393" i="4" s="1"/>
  <c r="J393" i="4" a="1"/>
  <c r="J393" i="4" s="1"/>
  <c r="K273" i="4"/>
  <c r="N273" i="4" s="1" a="1"/>
  <c r="N273" i="4" s="1"/>
  <c r="J273" i="4" a="1"/>
  <c r="J273" i="4" s="1"/>
  <c r="K249" i="4"/>
  <c r="J249" i="4" a="1"/>
  <c r="J249" i="4" s="1"/>
  <c r="K141" i="4"/>
  <c r="L141" i="4" s="1"/>
  <c r="O141" i="4" s="1"/>
  <c r="J141" i="4" a="1"/>
  <c r="J141" i="4" s="1"/>
  <c r="N57" i="4" a="1"/>
  <c r="N57" i="4" s="1"/>
  <c r="L57" i="4"/>
  <c r="O57" i="4" s="1"/>
  <c r="K478" i="4"/>
  <c r="N478" i="4" s="1" a="1"/>
  <c r="N478" i="4" s="1"/>
  <c r="J668" i="4" a="1"/>
  <c r="J668" i="4" s="1"/>
  <c r="K668" i="4"/>
  <c r="N668" i="4" s="1" a="1"/>
  <c r="N668" i="4" s="1"/>
  <c r="K68" i="4"/>
  <c r="N68" i="4" s="1" a="1"/>
  <c r="N68" i="4" s="1"/>
  <c r="J68" i="4" a="1"/>
  <c r="J68" i="4" s="1"/>
  <c r="J969" i="4" a="1"/>
  <c r="J969" i="4" s="1"/>
  <c r="J814" i="4" a="1"/>
  <c r="J814" i="4" s="1"/>
  <c r="J550" i="4" a="1"/>
  <c r="J550" i="4" s="1"/>
  <c r="J453" i="4" a="1"/>
  <c r="J453" i="4" s="1"/>
  <c r="J263" i="4" a="1"/>
  <c r="J263" i="4" s="1"/>
  <c r="J823" i="4" a="1"/>
  <c r="J823" i="4" s="1"/>
  <c r="K823" i="4"/>
  <c r="L823" i="4" s="1"/>
  <c r="O823" i="4" s="1"/>
  <c r="K739" i="4"/>
  <c r="L739" i="4" s="1"/>
  <c r="O739" i="4" s="1"/>
  <c r="J739" i="4" a="1"/>
  <c r="J739" i="4" s="1"/>
  <c r="K667" i="4"/>
  <c r="J667" i="4" a="1"/>
  <c r="J667" i="4" s="1"/>
  <c r="K463" i="4"/>
  <c r="L463" i="4" s="1"/>
  <c r="O463" i="4" s="1"/>
  <c r="J463" i="4" a="1"/>
  <c r="J463" i="4" s="1"/>
  <c r="K415" i="4"/>
  <c r="J415" i="4" a="1"/>
  <c r="J415" i="4" s="1"/>
  <c r="K379" i="4"/>
  <c r="L379" i="4" s="1"/>
  <c r="O379" i="4" s="1"/>
  <c r="J379" i="4" a="1"/>
  <c r="J379" i="4" s="1"/>
  <c r="K295" i="4"/>
  <c r="L295" i="4" s="1"/>
  <c r="O295" i="4" s="1"/>
  <c r="J295" i="4" a="1"/>
  <c r="J295" i="4" s="1"/>
  <c r="J199" i="4" a="1"/>
  <c r="J199" i="4" s="1"/>
  <c r="K199" i="4"/>
  <c r="K187" i="4"/>
  <c r="N187" i="4" s="1" a="1"/>
  <c r="N187" i="4" s="1"/>
  <c r="J187" i="4" a="1"/>
  <c r="J187" i="4" s="1"/>
  <c r="K139" i="4"/>
  <c r="N139" i="4" s="1" a="1"/>
  <c r="N139" i="4" s="1"/>
  <c r="J139" i="4" a="1"/>
  <c r="J139" i="4" s="1"/>
  <c r="K43" i="4"/>
  <c r="L43" i="4" s="1"/>
  <c r="O43" i="4" s="1"/>
  <c r="J43" i="4" a="1"/>
  <c r="J43" i="4" s="1"/>
  <c r="K19" i="4"/>
  <c r="L19" i="4" s="1"/>
  <c r="O19" i="4" s="1"/>
  <c r="J19" i="4" a="1"/>
  <c r="J19" i="4" s="1"/>
  <c r="J967" i="4" a="1"/>
  <c r="J967" i="4" s="1"/>
  <c r="J499" i="4" a="1"/>
  <c r="J499" i="4" s="1"/>
  <c r="J407" i="4" a="1"/>
  <c r="J407" i="4" s="1"/>
  <c r="J175" i="4" a="1"/>
  <c r="J175" i="4" s="1"/>
  <c r="K897" i="4"/>
  <c r="L897" i="4" s="1"/>
  <c r="O897" i="4" s="1"/>
  <c r="J754" i="4" a="1"/>
  <c r="J754" i="4" s="1"/>
  <c r="J333" i="4" a="1"/>
  <c r="J333" i="4" s="1"/>
  <c r="J259" i="4" a="1"/>
  <c r="J259" i="4" s="1"/>
  <c r="J57" i="4" a="1"/>
  <c r="J57" i="4" s="1"/>
  <c r="K895" i="4"/>
  <c r="K694" i="4"/>
  <c r="N694" i="4" s="1" a="1"/>
  <c r="N694" i="4" s="1"/>
  <c r="J55" i="4" a="1"/>
  <c r="J55" i="4" s="1"/>
  <c r="K622" i="4"/>
  <c r="N622" i="4" s="1" a="1"/>
  <c r="N622" i="4" s="1"/>
  <c r="K298" i="4"/>
  <c r="N298" i="4" s="1" a="1"/>
  <c r="N298" i="4" s="1"/>
  <c r="J405" i="4" a="1"/>
  <c r="J405" i="4" s="1"/>
  <c r="J887" i="4" a="1"/>
  <c r="J887" i="4" s="1"/>
  <c r="J646" i="4" a="1"/>
  <c r="J646" i="4" s="1"/>
  <c r="J370" i="4" a="1"/>
  <c r="J370" i="4" s="1"/>
  <c r="J287" i="4" a="1"/>
  <c r="J287" i="4" s="1"/>
  <c r="J94" i="4" a="1"/>
  <c r="J94" i="4" s="1"/>
  <c r="K849" i="4"/>
  <c r="K742" i="4"/>
  <c r="N742" i="4" s="1" a="1"/>
  <c r="N742" i="4" s="1"/>
  <c r="L227" i="4"/>
  <c r="O227" i="4" s="1"/>
  <c r="N934" i="4" a="1"/>
  <c r="N934" i="4" s="1"/>
  <c r="J880" i="4" a="1"/>
  <c r="J880" i="4" s="1"/>
  <c r="J855" i="4" a="1"/>
  <c r="J855" i="4" s="1"/>
  <c r="J809" i="4" a="1"/>
  <c r="J809" i="4" s="1"/>
  <c r="J760" i="4" a="1"/>
  <c r="J760" i="4" s="1"/>
  <c r="J615" i="4" a="1"/>
  <c r="J615" i="4" s="1"/>
  <c r="J594" i="4" a="1"/>
  <c r="J594" i="4" s="1"/>
  <c r="J482" i="4" a="1"/>
  <c r="J482" i="4" s="1"/>
  <c r="J205" i="4" a="1"/>
  <c r="J205" i="4" s="1"/>
  <c r="J161" i="4" a="1"/>
  <c r="J161" i="4" s="1"/>
  <c r="K769" i="4"/>
  <c r="N769" i="4" s="1" a="1"/>
  <c r="N769" i="4" s="1"/>
  <c r="K722" i="4"/>
  <c r="N722" i="4" s="1" a="1"/>
  <c r="N722" i="4" s="1"/>
  <c r="K207" i="4"/>
  <c r="N207" i="4" s="1" a="1"/>
  <c r="N207" i="4" s="1"/>
  <c r="K124" i="4"/>
  <c r="N124" i="4" s="1" a="1"/>
  <c r="N124" i="4" s="1"/>
  <c r="L783" i="4"/>
  <c r="O783" i="4" s="1"/>
  <c r="L482" i="4"/>
  <c r="O482" i="4" s="1"/>
  <c r="L314" i="4"/>
  <c r="O314" i="4" s="1"/>
  <c r="J810" i="4" a="1"/>
  <c r="J810" i="4" s="1"/>
  <c r="J977" i="4" a="1"/>
  <c r="J977" i="4" s="1"/>
  <c r="J925" i="4" a="1"/>
  <c r="J925" i="4" s="1"/>
  <c r="J854" i="4" a="1"/>
  <c r="J854" i="4" s="1"/>
  <c r="J808" i="4" a="1"/>
  <c r="J808" i="4" s="1"/>
  <c r="J661" i="4" a="1"/>
  <c r="J661" i="4" s="1"/>
  <c r="J642" i="4" a="1"/>
  <c r="J642" i="4" s="1"/>
  <c r="J593" i="4" a="1"/>
  <c r="J593" i="4" s="1"/>
  <c r="J461" i="4" a="1"/>
  <c r="J461" i="4" s="1"/>
  <c r="J362" i="4" a="1"/>
  <c r="J362" i="4" s="1"/>
  <c r="J314" i="4" a="1"/>
  <c r="J314" i="4" s="1"/>
  <c r="J159" i="4" a="1"/>
  <c r="J159" i="4" s="1"/>
  <c r="J136" i="4" a="1"/>
  <c r="J136" i="4" s="1"/>
  <c r="K878" i="4"/>
  <c r="N878" i="4" s="1" a="1"/>
  <c r="N878" i="4" s="1"/>
  <c r="K822" i="4"/>
  <c r="N822" i="4" s="1" a="1"/>
  <c r="N822" i="4" s="1"/>
  <c r="K675" i="4"/>
  <c r="N675" i="4" s="1" a="1"/>
  <c r="N675" i="4" s="1"/>
  <c r="K555" i="4"/>
  <c r="N555" i="4" s="1" a="1"/>
  <c r="N555" i="4" s="1"/>
  <c r="K509" i="4"/>
  <c r="N509" i="4" s="1" a="1"/>
  <c r="N509" i="4" s="1"/>
  <c r="K52" i="4"/>
  <c r="L52" i="4" s="1"/>
  <c r="O52" i="4" s="1"/>
  <c r="L963" i="4"/>
  <c r="O963" i="4" s="1"/>
  <c r="N879" i="4" a="1"/>
  <c r="N879" i="4" s="1"/>
  <c r="J853" i="4" a="1"/>
  <c r="J853" i="4" s="1"/>
  <c r="J807" i="4" a="1"/>
  <c r="J807" i="4" s="1"/>
  <c r="J784" i="4" a="1"/>
  <c r="J784" i="4" s="1"/>
  <c r="J759" i="4" a="1"/>
  <c r="J759" i="4" s="1"/>
  <c r="J735" i="4" a="1"/>
  <c r="J735" i="4" s="1"/>
  <c r="J712" i="4" a="1"/>
  <c r="J712" i="4" s="1"/>
  <c r="J640" i="4" a="1"/>
  <c r="J640" i="4" s="1"/>
  <c r="J460" i="4" a="1"/>
  <c r="J460" i="4" s="1"/>
  <c r="J14" i="4" a="1"/>
  <c r="J14" i="4" s="1"/>
  <c r="K917" i="4"/>
  <c r="L917" i="4" s="1"/>
  <c r="O917" i="4" s="1"/>
  <c r="K877" i="4"/>
  <c r="N877" i="4" s="1" a="1"/>
  <c r="N877" i="4" s="1"/>
  <c r="K820" i="4"/>
  <c r="K637" i="4"/>
  <c r="N637" i="4" s="1" a="1"/>
  <c r="N637" i="4" s="1"/>
  <c r="K544" i="4"/>
  <c r="L544" i="4" s="1"/>
  <c r="O544" i="4" s="1"/>
  <c r="K325" i="4"/>
  <c r="N325" i="4" s="1" a="1"/>
  <c r="N325" i="4" s="1"/>
  <c r="K267" i="4"/>
  <c r="N267" i="4" s="1" a="1"/>
  <c r="N267" i="4" s="1"/>
  <c r="K122" i="4"/>
  <c r="N122" i="4" s="1" a="1"/>
  <c r="N122" i="4" s="1"/>
  <c r="K50" i="4"/>
  <c r="N50" i="4" s="1" a="1"/>
  <c r="N50" i="4" s="1"/>
  <c r="L757" i="4"/>
  <c r="O757" i="4" s="1"/>
  <c r="L615" i="4"/>
  <c r="O615" i="4" s="1"/>
  <c r="N857" i="4" a="1"/>
  <c r="N857" i="4" s="1"/>
  <c r="J1001" i="4" a="1"/>
  <c r="J1001" i="4" s="1"/>
  <c r="J975" i="4" a="1"/>
  <c r="J975" i="4" s="1"/>
  <c r="J954" i="4" a="1"/>
  <c r="J954" i="4" s="1"/>
  <c r="J783" i="4" a="1"/>
  <c r="J783" i="4" s="1"/>
  <c r="J758" i="4" a="1"/>
  <c r="J758" i="4" s="1"/>
  <c r="J711" i="4" a="1"/>
  <c r="J711" i="4" s="1"/>
  <c r="J606" i="4" a="1"/>
  <c r="J606" i="4" s="1"/>
  <c r="J554" i="4" a="1"/>
  <c r="J554" i="4" s="1"/>
  <c r="J506" i="4" a="1"/>
  <c r="J506" i="4" s="1"/>
  <c r="J459" i="4" a="1"/>
  <c r="J459" i="4" s="1"/>
  <c r="J434" i="4" a="1"/>
  <c r="J434" i="4" s="1"/>
  <c r="J241" i="4" a="1"/>
  <c r="J241" i="4" s="1"/>
  <c r="J158" i="4" a="1"/>
  <c r="J158" i="4" s="1"/>
  <c r="J133" i="4" a="1"/>
  <c r="J133" i="4" s="1"/>
  <c r="J41" i="4" a="1"/>
  <c r="J41" i="4" s="1"/>
  <c r="J13" i="4" a="1"/>
  <c r="J13" i="4" s="1"/>
  <c r="K962" i="4"/>
  <c r="N962" i="4" s="1" a="1"/>
  <c r="N962" i="4" s="1"/>
  <c r="K543" i="4"/>
  <c r="N543" i="4" s="1" a="1"/>
  <c r="N543" i="4" s="1"/>
  <c r="K447" i="4"/>
  <c r="N447" i="4" s="1" a="1"/>
  <c r="N447" i="4" s="1"/>
  <c r="K387" i="4"/>
  <c r="L387" i="4" s="1"/>
  <c r="O387" i="4" s="1"/>
  <c r="K315" i="4"/>
  <c r="L315" i="4" s="1"/>
  <c r="O315" i="4" s="1"/>
  <c r="L930" i="4"/>
  <c r="O930" i="4" s="1"/>
  <c r="N457" i="4" a="1"/>
  <c r="N457" i="4" s="1"/>
  <c r="J997" i="4" a="1"/>
  <c r="J997" i="4" s="1"/>
  <c r="J757" i="4" a="1"/>
  <c r="J757" i="4" s="1"/>
  <c r="J605" i="4" a="1"/>
  <c r="J605" i="4" s="1"/>
  <c r="J553" i="4" a="1"/>
  <c r="J553" i="4" s="1"/>
  <c r="J457" i="4" a="1"/>
  <c r="J457" i="4" s="1"/>
  <c r="J411" i="4" a="1"/>
  <c r="J411" i="4" s="1"/>
  <c r="J354" i="4" a="1"/>
  <c r="J354" i="4" s="1"/>
  <c r="J266" i="4" a="1"/>
  <c r="J266" i="4" s="1"/>
  <c r="J101" i="4" a="1"/>
  <c r="J101" i="4" s="1"/>
  <c r="K870" i="4"/>
  <c r="N870" i="4" s="1" a="1"/>
  <c r="N870" i="4" s="1"/>
  <c r="K542" i="4"/>
  <c r="N542" i="4" s="1" a="1"/>
  <c r="N542" i="4" s="1"/>
  <c r="K436" i="4"/>
  <c r="L436" i="4" s="1"/>
  <c r="O436" i="4" s="1"/>
  <c r="K182" i="4"/>
  <c r="N182" i="4" s="1" a="1"/>
  <c r="N182" i="4" s="1"/>
  <c r="K28" i="4"/>
  <c r="L28" i="4" s="1"/>
  <c r="O28" i="4" s="1"/>
  <c r="L926" i="4"/>
  <c r="O926" i="4" s="1"/>
  <c r="L780" i="4"/>
  <c r="O780" i="4" s="1"/>
  <c r="N780" i="4" a="1"/>
  <c r="N780" i="4" s="1"/>
  <c r="J828" i="4" a="1"/>
  <c r="J828" i="4" s="1"/>
  <c r="K828" i="4"/>
  <c r="J792" i="4" a="1"/>
  <c r="J792" i="4" s="1"/>
  <c r="K792" i="4"/>
  <c r="J756" i="4" a="1"/>
  <c r="J756" i="4" s="1"/>
  <c r="K756" i="4"/>
  <c r="J708" i="4" a="1"/>
  <c r="J708" i="4" s="1"/>
  <c r="K708" i="4"/>
  <c r="N648" i="4" a="1"/>
  <c r="N648" i="4" s="1"/>
  <c r="L648" i="4"/>
  <c r="O648" i="4" s="1"/>
  <c r="K624" i="4"/>
  <c r="J624" i="4" a="1"/>
  <c r="J624" i="4" s="1"/>
  <c r="K600" i="4"/>
  <c r="J600" i="4" a="1"/>
  <c r="J600" i="4" s="1"/>
  <c r="K552" i="4"/>
  <c r="J552" i="4" a="1"/>
  <c r="J552" i="4" s="1"/>
  <c r="J528" i="4" a="1"/>
  <c r="J528" i="4" s="1"/>
  <c r="K528" i="4"/>
  <c r="K504" i="4"/>
  <c r="J504" i="4" a="1"/>
  <c r="J504" i="4" s="1"/>
  <c r="J480" i="4" a="1"/>
  <c r="J480" i="4" s="1"/>
  <c r="K480" i="4"/>
  <c r="K444" i="4"/>
  <c r="J444" i="4" a="1"/>
  <c r="J444" i="4" s="1"/>
  <c r="K408" i="4"/>
  <c r="J408" i="4" a="1"/>
  <c r="J408" i="4" s="1"/>
  <c r="N360" i="4" a="1"/>
  <c r="N360" i="4" s="1"/>
  <c r="L360" i="4"/>
  <c r="O360" i="4" s="1"/>
  <c r="K324" i="4"/>
  <c r="J324" i="4" a="1"/>
  <c r="J324" i="4" s="1"/>
  <c r="J276" i="4" a="1"/>
  <c r="J276" i="4" s="1"/>
  <c r="K276" i="4"/>
  <c r="J240" i="4" a="1"/>
  <c r="J240" i="4" s="1"/>
  <c r="K240" i="4"/>
  <c r="J168" i="4" a="1"/>
  <c r="J168" i="4" s="1"/>
  <c r="K168" i="4"/>
  <c r="N1000" i="4" a="1"/>
  <c r="N1000" i="4" s="1"/>
  <c r="L1000" i="4"/>
  <c r="O1000" i="4" s="1"/>
  <c r="L880" i="4"/>
  <c r="O880" i="4" s="1"/>
  <c r="N880" i="4" a="1"/>
  <c r="N880" i="4" s="1"/>
  <c r="L784" i="4"/>
  <c r="O784" i="4" s="1"/>
  <c r="N784" i="4" a="1"/>
  <c r="N784" i="4" s="1"/>
  <c r="L712" i="4"/>
  <c r="O712" i="4" s="1"/>
  <c r="N712" i="4" a="1"/>
  <c r="N712" i="4" s="1"/>
  <c r="N520" i="4" a="1"/>
  <c r="N520" i="4" s="1"/>
  <c r="L520" i="4"/>
  <c r="O520" i="4" s="1"/>
  <c r="N459" i="4" a="1"/>
  <c r="N459" i="4" s="1"/>
  <c r="L459" i="4"/>
  <c r="O459" i="4" s="1"/>
  <c r="N411" i="4" a="1"/>
  <c r="N411" i="4" s="1"/>
  <c r="L411" i="4"/>
  <c r="O411" i="4" s="1"/>
  <c r="N111" i="4" a="1"/>
  <c r="N111" i="4" s="1"/>
  <c r="L111" i="4"/>
  <c r="O111" i="4" s="1"/>
  <c r="J936" i="4" a="1"/>
  <c r="J936" i="4" s="1"/>
  <c r="J888" i="4" a="1"/>
  <c r="J888" i="4" s="1"/>
  <c r="J780" i="4" a="1"/>
  <c r="J780" i="4" s="1"/>
  <c r="J252" i="4" a="1"/>
  <c r="J252" i="4" s="1"/>
  <c r="N649" i="4" a="1"/>
  <c r="N649" i="4" s="1"/>
  <c r="N146" i="4" a="1"/>
  <c r="N146" i="4" s="1"/>
  <c r="L146" i="4"/>
  <c r="O146" i="4" s="1"/>
  <c r="N950" i="4" a="1"/>
  <c r="N950" i="4" s="1"/>
  <c r="L950" i="4"/>
  <c r="O950" i="4" s="1"/>
  <c r="N854" i="4" a="1"/>
  <c r="N854" i="4" s="1"/>
  <c r="L854" i="4"/>
  <c r="O854" i="4" s="1"/>
  <c r="N806" i="4" a="1"/>
  <c r="N806" i="4" s="1"/>
  <c r="L806" i="4"/>
  <c r="O806" i="4" s="1"/>
  <c r="N650" i="4" a="1"/>
  <c r="N650" i="4" s="1"/>
  <c r="L650" i="4"/>
  <c r="O650" i="4" s="1"/>
  <c r="N26" i="4" a="1"/>
  <c r="N26" i="4" s="1"/>
  <c r="L26" i="4"/>
  <c r="O26" i="4" s="1"/>
  <c r="J648" i="4" a="1"/>
  <c r="J648" i="4" s="1"/>
  <c r="L997" i="4"/>
  <c r="O997" i="4" s="1"/>
  <c r="N997" i="4" a="1"/>
  <c r="N997" i="4" s="1"/>
  <c r="N973" i="4" a="1"/>
  <c r="N973" i="4" s="1"/>
  <c r="L973" i="4"/>
  <c r="O973" i="4" s="1"/>
  <c r="N925" i="4" a="1"/>
  <c r="N925" i="4" s="1"/>
  <c r="L925" i="4"/>
  <c r="O925" i="4" s="1"/>
  <c r="N553" i="4" a="1"/>
  <c r="N553" i="4" s="1"/>
  <c r="L553" i="4"/>
  <c r="O553" i="4" s="1"/>
  <c r="N349" i="4" a="1"/>
  <c r="N349" i="4" s="1"/>
  <c r="L349" i="4"/>
  <c r="O349" i="4" s="1"/>
  <c r="L871" i="4"/>
  <c r="O871" i="4" s="1"/>
  <c r="N871" i="4" a="1"/>
  <c r="N871" i="4" s="1"/>
  <c r="N406" i="4" a="1"/>
  <c r="N406" i="4" s="1"/>
  <c r="L406" i="4"/>
  <c r="O406" i="4" s="1"/>
  <c r="N862" i="4" a="1"/>
  <c r="N862" i="4" s="1"/>
  <c r="L862" i="4"/>
  <c r="O862" i="4" s="1"/>
  <c r="N814" i="4" a="1"/>
  <c r="N814" i="4" s="1"/>
  <c r="L814" i="4"/>
  <c r="O814" i="4" s="1"/>
  <c r="N574" i="4" a="1"/>
  <c r="N574" i="4" s="1"/>
  <c r="L574" i="4"/>
  <c r="O574" i="4" s="1"/>
  <c r="N550" i="4" a="1"/>
  <c r="N550" i="4" s="1"/>
  <c r="L550" i="4"/>
  <c r="O550" i="4" s="1"/>
  <c r="J900" i="4" a="1"/>
  <c r="J900" i="4" s="1"/>
  <c r="J384" i="4" a="1"/>
  <c r="J384" i="4" s="1"/>
  <c r="J980" i="4" a="1"/>
  <c r="J980" i="4" s="1"/>
  <c r="K980" i="4"/>
  <c r="N944" i="4" a="1"/>
  <c r="N944" i="4" s="1"/>
  <c r="L944" i="4"/>
  <c r="O944" i="4" s="1"/>
  <c r="K920" i="4"/>
  <c r="J920" i="4" a="1"/>
  <c r="J920" i="4" s="1"/>
  <c r="K896" i="4"/>
  <c r="J896" i="4" a="1"/>
  <c r="J896" i="4" s="1"/>
  <c r="K824" i="4"/>
  <c r="J824" i="4" a="1"/>
  <c r="J824" i="4" s="1"/>
  <c r="J740" i="4" a="1"/>
  <c r="J740" i="4" s="1"/>
  <c r="K740" i="4"/>
  <c r="J728" i="4" a="1"/>
  <c r="J728" i="4" s="1"/>
  <c r="K728" i="4"/>
  <c r="K704" i="4"/>
  <c r="J704" i="4" a="1"/>
  <c r="J704" i="4" s="1"/>
  <c r="K692" i="4"/>
  <c r="J692" i="4" a="1"/>
  <c r="J692" i="4" s="1"/>
  <c r="K680" i="4"/>
  <c r="J680" i="4" a="1"/>
  <c r="J680" i="4" s="1"/>
  <c r="K656" i="4"/>
  <c r="J656" i="4" a="1"/>
  <c r="J656" i="4" s="1"/>
  <c r="J644" i="4" a="1"/>
  <c r="J644" i="4" s="1"/>
  <c r="K644" i="4"/>
  <c r="J620" i="4" a="1"/>
  <c r="J620" i="4" s="1"/>
  <c r="K620" i="4"/>
  <c r="K608" i="4"/>
  <c r="J608" i="4" a="1"/>
  <c r="J608" i="4" s="1"/>
  <c r="K596" i="4"/>
  <c r="J596" i="4" a="1"/>
  <c r="J596" i="4" s="1"/>
  <c r="K584" i="4"/>
  <c r="J584" i="4" a="1"/>
  <c r="J584" i="4" s="1"/>
  <c r="K560" i="4"/>
  <c r="J560" i="4" a="1"/>
  <c r="J560" i="4" s="1"/>
  <c r="K536" i="4"/>
  <c r="J536" i="4" a="1"/>
  <c r="J536" i="4" s="1"/>
  <c r="J512" i="4" a="1"/>
  <c r="J512" i="4" s="1"/>
  <c r="K512" i="4"/>
  <c r="J500" i="4" a="1"/>
  <c r="J500" i="4" s="1"/>
  <c r="K500" i="4"/>
  <c r="J476" i="4" a="1"/>
  <c r="J476" i="4" s="1"/>
  <c r="K476" i="4"/>
  <c r="K452" i="4"/>
  <c r="J452" i="4" a="1"/>
  <c r="J452" i="4" s="1"/>
  <c r="K428" i="4"/>
  <c r="J428" i="4" a="1"/>
  <c r="J428" i="4" s="1"/>
  <c r="K416" i="4"/>
  <c r="J416" i="4" a="1"/>
  <c r="J416" i="4" s="1"/>
  <c r="J392" i="4" a="1"/>
  <c r="J392" i="4" s="1"/>
  <c r="K392" i="4"/>
  <c r="J368" i="4" a="1"/>
  <c r="J368" i="4" s="1"/>
  <c r="K368" i="4"/>
  <c r="J344" i="4" a="1"/>
  <c r="J344" i="4" s="1"/>
  <c r="K344" i="4"/>
  <c r="N320" i="4" a="1"/>
  <c r="N320" i="4" s="1"/>
  <c r="L320" i="4"/>
  <c r="O320" i="4" s="1"/>
  <c r="J296" i="4" a="1"/>
  <c r="J296" i="4" s="1"/>
  <c r="K296" i="4"/>
  <c r="K272" i="4"/>
  <c r="J272" i="4" a="1"/>
  <c r="J272" i="4" s="1"/>
  <c r="J236" i="4" a="1"/>
  <c r="J236" i="4" s="1"/>
  <c r="K236" i="4"/>
  <c r="J212" i="4" a="1"/>
  <c r="J212" i="4" s="1"/>
  <c r="K212" i="4"/>
  <c r="J188" i="4" a="1"/>
  <c r="J188" i="4" s="1"/>
  <c r="K188" i="4"/>
  <c r="K164" i="4"/>
  <c r="J164" i="4" a="1"/>
  <c r="J164" i="4" s="1"/>
  <c r="J140" i="4" a="1"/>
  <c r="J140" i="4" s="1"/>
  <c r="K140" i="4"/>
  <c r="J104" i="4" a="1"/>
  <c r="J104" i="4" s="1"/>
  <c r="K104" i="4"/>
  <c r="J44" i="4" a="1"/>
  <c r="J44" i="4" s="1"/>
  <c r="K44" i="4"/>
  <c r="J984" i="4" a="1"/>
  <c r="J984" i="4" s="1"/>
  <c r="K984" i="4"/>
  <c r="K960" i="4"/>
  <c r="J960" i="4" a="1"/>
  <c r="J960" i="4" s="1"/>
  <c r="J948" i="4" a="1"/>
  <c r="J948" i="4" s="1"/>
  <c r="K948" i="4"/>
  <c r="N900" i="4" a="1"/>
  <c r="N900" i="4" s="1"/>
  <c r="L900" i="4"/>
  <c r="O900" i="4" s="1"/>
  <c r="J876" i="4" a="1"/>
  <c r="J876" i="4" s="1"/>
  <c r="K876" i="4"/>
  <c r="K768" i="4"/>
  <c r="J768" i="4" a="1"/>
  <c r="J768" i="4" s="1"/>
  <c r="K744" i="4"/>
  <c r="J744" i="4" a="1"/>
  <c r="J744" i="4" s="1"/>
  <c r="K720" i="4"/>
  <c r="J720" i="4" a="1"/>
  <c r="J720" i="4" s="1"/>
  <c r="J684" i="4" a="1"/>
  <c r="J684" i="4" s="1"/>
  <c r="K684" i="4"/>
  <c r="K660" i="4"/>
  <c r="J660" i="4" a="1"/>
  <c r="J660" i="4" s="1"/>
  <c r="J612" i="4" a="1"/>
  <c r="J612" i="4" s="1"/>
  <c r="K612" i="4"/>
  <c r="K576" i="4"/>
  <c r="J576" i="4" a="1"/>
  <c r="J576" i="4" s="1"/>
  <c r="K456" i="4"/>
  <c r="J456" i="4" a="1"/>
  <c r="J456" i="4" s="1"/>
  <c r="K420" i="4"/>
  <c r="J420" i="4" a="1"/>
  <c r="J420" i="4" s="1"/>
  <c r="J396" i="4" a="1"/>
  <c r="J396" i="4" s="1"/>
  <c r="K396" i="4"/>
  <c r="K372" i="4"/>
  <c r="J372" i="4" a="1"/>
  <c r="J372" i="4" s="1"/>
  <c r="K336" i="4"/>
  <c r="J336" i="4" a="1"/>
  <c r="J336" i="4" s="1"/>
  <c r="K300" i="4"/>
  <c r="J300" i="4" a="1"/>
  <c r="J300" i="4" s="1"/>
  <c r="N252" i="4" a="1"/>
  <c r="N252" i="4" s="1"/>
  <c r="L252" i="4"/>
  <c r="O252" i="4" s="1"/>
  <c r="J216" i="4" a="1"/>
  <c r="J216" i="4" s="1"/>
  <c r="K216" i="4"/>
  <c r="J180" i="4" a="1"/>
  <c r="J180" i="4" s="1"/>
  <c r="K180" i="4"/>
  <c r="K156" i="4"/>
  <c r="J156" i="4" a="1"/>
  <c r="J156" i="4" s="1"/>
  <c r="K132" i="4"/>
  <c r="J132" i="4" a="1"/>
  <c r="J132" i="4" s="1"/>
  <c r="K108" i="4"/>
  <c r="J108" i="4" a="1"/>
  <c r="J108" i="4" s="1"/>
  <c r="J84" i="4" a="1"/>
  <c r="J84" i="4" s="1"/>
  <c r="K84" i="4"/>
  <c r="J72" i="4" a="1"/>
  <c r="J72" i="4" s="1"/>
  <c r="K72" i="4"/>
  <c r="K60" i="4"/>
  <c r="J60" i="4" a="1"/>
  <c r="J60" i="4" s="1"/>
  <c r="J48" i="4" a="1"/>
  <c r="J48" i="4" s="1"/>
  <c r="K48" i="4"/>
  <c r="K24" i="4"/>
  <c r="J24" i="4" a="1"/>
  <c r="J24" i="4" s="1"/>
  <c r="N345" i="4" a="1"/>
  <c r="N345" i="4" s="1"/>
  <c r="L345" i="4"/>
  <c r="O345" i="4" s="1"/>
  <c r="N983" i="4" a="1"/>
  <c r="N983" i="4" s="1"/>
  <c r="L983" i="4"/>
  <c r="O983" i="4" s="1"/>
  <c r="N791" i="4" a="1"/>
  <c r="N791" i="4" s="1"/>
  <c r="L791" i="4"/>
  <c r="O791" i="4" s="1"/>
  <c r="K804" i="4"/>
  <c r="L604" i="4"/>
  <c r="O604" i="4" s="1"/>
  <c r="N604" i="4" a="1"/>
  <c r="N604" i="4" s="1"/>
  <c r="K852" i="4"/>
  <c r="N941" i="4" a="1"/>
  <c r="N941" i="4" s="1"/>
  <c r="L941" i="4"/>
  <c r="O941" i="4" s="1"/>
  <c r="N703" i="4" a="1"/>
  <c r="N703" i="4" s="1"/>
  <c r="L703" i="4"/>
  <c r="O703" i="4" s="1"/>
  <c r="N109" i="4" a="1"/>
  <c r="N109" i="4" s="1"/>
  <c r="L109" i="4"/>
  <c r="O109" i="4" s="1"/>
  <c r="K992" i="4"/>
  <c r="J992" i="4" a="1"/>
  <c r="J992" i="4" s="1"/>
  <c r="K968" i="4"/>
  <c r="J968" i="4" a="1"/>
  <c r="J968" i="4" s="1"/>
  <c r="K956" i="4"/>
  <c r="J956" i="4" a="1"/>
  <c r="J956" i="4" s="1"/>
  <c r="K932" i="4"/>
  <c r="J932" i="4" a="1"/>
  <c r="J932" i="4" s="1"/>
  <c r="J908" i="4" a="1"/>
  <c r="J908" i="4" s="1"/>
  <c r="K908" i="4"/>
  <c r="K884" i="4"/>
  <c r="J884" i="4" a="1"/>
  <c r="J884" i="4" s="1"/>
  <c r="J872" i="4" a="1"/>
  <c r="J872" i="4" s="1"/>
  <c r="K872" i="4"/>
  <c r="J860" i="4" a="1"/>
  <c r="J860" i="4" s="1"/>
  <c r="K860" i="4"/>
  <c r="K836" i="4"/>
  <c r="J836" i="4" a="1"/>
  <c r="J836" i="4" s="1"/>
  <c r="K812" i="4"/>
  <c r="J812" i="4" a="1"/>
  <c r="J812" i="4" s="1"/>
  <c r="J800" i="4" a="1"/>
  <c r="J800" i="4" s="1"/>
  <c r="K800" i="4"/>
  <c r="J788" i="4" a="1"/>
  <c r="J788" i="4" s="1"/>
  <c r="K788" i="4"/>
  <c r="J776" i="4" a="1"/>
  <c r="J776" i="4" s="1"/>
  <c r="K776" i="4"/>
  <c r="K764" i="4"/>
  <c r="J764" i="4" a="1"/>
  <c r="J764" i="4" s="1"/>
  <c r="K632" i="4"/>
  <c r="J632" i="4" a="1"/>
  <c r="J632" i="4" s="1"/>
  <c r="K548" i="4"/>
  <c r="J548" i="4" a="1"/>
  <c r="J548" i="4" s="1"/>
  <c r="J524" i="4" a="1"/>
  <c r="J524" i="4" s="1"/>
  <c r="K524" i="4"/>
  <c r="N488" i="4" a="1"/>
  <c r="N488" i="4" s="1"/>
  <c r="L488" i="4"/>
  <c r="O488" i="4" s="1"/>
  <c r="J464" i="4" a="1"/>
  <c r="J464" i="4" s="1"/>
  <c r="K464" i="4"/>
  <c r="N404" i="4" a="1"/>
  <c r="N404" i="4" s="1"/>
  <c r="L404" i="4"/>
  <c r="O404" i="4" s="1"/>
  <c r="K380" i="4"/>
  <c r="J380" i="4" a="1"/>
  <c r="J380" i="4" s="1"/>
  <c r="K356" i="4"/>
  <c r="J356" i="4" a="1"/>
  <c r="J356" i="4" s="1"/>
  <c r="N332" i="4" a="1"/>
  <c r="N332" i="4" s="1"/>
  <c r="L332" i="4"/>
  <c r="O332" i="4" s="1"/>
  <c r="J308" i="4" a="1"/>
  <c r="J308" i="4" s="1"/>
  <c r="K308" i="4"/>
  <c r="K284" i="4"/>
  <c r="J284" i="4" a="1"/>
  <c r="J284" i="4" s="1"/>
  <c r="J260" i="4" a="1"/>
  <c r="J260" i="4" s="1"/>
  <c r="K260" i="4"/>
  <c r="K248" i="4"/>
  <c r="J248" i="4" a="1"/>
  <c r="J248" i="4" s="1"/>
  <c r="K224" i="4"/>
  <c r="J224" i="4" a="1"/>
  <c r="J224" i="4" s="1"/>
  <c r="K200" i="4"/>
  <c r="J200" i="4" a="1"/>
  <c r="J200" i="4" s="1"/>
  <c r="K176" i="4"/>
  <c r="J176" i="4" a="1"/>
  <c r="J176" i="4" s="1"/>
  <c r="K152" i="4"/>
  <c r="J152" i="4" a="1"/>
  <c r="J152" i="4" s="1"/>
  <c r="K128" i="4"/>
  <c r="J128" i="4" a="1"/>
  <c r="J128" i="4" s="1"/>
  <c r="J116" i="4" a="1"/>
  <c r="J116" i="4" s="1"/>
  <c r="K116" i="4"/>
  <c r="J92" i="4" a="1"/>
  <c r="J92" i="4" s="1"/>
  <c r="K92" i="4"/>
  <c r="J80" i="4" a="1"/>
  <c r="J80" i="4" s="1"/>
  <c r="K80" i="4"/>
  <c r="K56" i="4"/>
  <c r="J56" i="4" a="1"/>
  <c r="J56" i="4" s="1"/>
  <c r="K32" i="4"/>
  <c r="J32" i="4" a="1"/>
  <c r="J32" i="4" s="1"/>
  <c r="J20" i="4" a="1"/>
  <c r="J20" i="4" s="1"/>
  <c r="K20" i="4"/>
  <c r="J360" i="4" a="1"/>
  <c r="J360" i="4" s="1"/>
  <c r="K492" i="4"/>
  <c r="N255" i="4" a="1"/>
  <c r="N255" i="4" s="1"/>
  <c r="L255" i="4"/>
  <c r="O255" i="4" s="1"/>
  <c r="J944" i="4" a="1"/>
  <c r="J944" i="4" s="1"/>
  <c r="J488" i="4" a="1"/>
  <c r="J488" i="4" s="1"/>
  <c r="N625" i="4" a="1"/>
  <c r="N625" i="4" s="1"/>
  <c r="L625" i="4"/>
  <c r="O625" i="4" s="1"/>
  <c r="K36" i="4"/>
  <c r="K204" i="4"/>
  <c r="J204" i="4" a="1"/>
  <c r="J204" i="4" s="1"/>
  <c r="N954" i="4" a="1"/>
  <c r="N954" i="4" s="1"/>
  <c r="L954" i="4"/>
  <c r="O954" i="4" s="1"/>
  <c r="L858" i="4"/>
  <c r="O858" i="4" s="1"/>
  <c r="N858" i="4" a="1"/>
  <c r="N858" i="4" s="1"/>
  <c r="L810" i="4"/>
  <c r="O810" i="4" s="1"/>
  <c r="N810" i="4" a="1"/>
  <c r="N810" i="4" s="1"/>
  <c r="N738" i="4" a="1"/>
  <c r="N738" i="4" s="1"/>
  <c r="L738" i="4"/>
  <c r="O738" i="4" s="1"/>
  <c r="N606" i="4" a="1"/>
  <c r="N606" i="4" s="1"/>
  <c r="L606" i="4"/>
  <c r="O606" i="4" s="1"/>
  <c r="N594" i="4" a="1"/>
  <c r="N594" i="4" s="1"/>
  <c r="L594" i="4"/>
  <c r="O594" i="4" s="1"/>
  <c r="N546" i="4" a="1"/>
  <c r="N546" i="4" s="1"/>
  <c r="L546" i="4"/>
  <c r="O546" i="4" s="1"/>
  <c r="N498" i="4" a="1"/>
  <c r="N498" i="4" s="1"/>
  <c r="L498" i="4"/>
  <c r="O498" i="4" s="1"/>
  <c r="N438" i="4" a="1"/>
  <c r="N438" i="4" s="1"/>
  <c r="L438" i="4"/>
  <c r="O438" i="4" s="1"/>
  <c r="L402" i="4"/>
  <c r="O402" i="4" s="1"/>
  <c r="N402" i="4" a="1"/>
  <c r="N402" i="4" s="1"/>
  <c r="N354" i="4" a="1"/>
  <c r="N354" i="4" s="1"/>
  <c r="L354" i="4"/>
  <c r="O354" i="4" s="1"/>
  <c r="N318" i="4" a="1"/>
  <c r="N318" i="4" s="1"/>
  <c r="L318" i="4"/>
  <c r="O318" i="4" s="1"/>
  <c r="N258" i="4" a="1"/>
  <c r="N258" i="4" s="1"/>
  <c r="L258" i="4"/>
  <c r="O258" i="4" s="1"/>
  <c r="N114" i="4" a="1"/>
  <c r="N114" i="4" s="1"/>
  <c r="L114" i="4"/>
  <c r="O114" i="4" s="1"/>
  <c r="J588" i="4" a="1"/>
  <c r="J588" i="4" s="1"/>
  <c r="J320" i="4" a="1"/>
  <c r="J320" i="4" s="1"/>
  <c r="K996" i="4"/>
  <c r="J996" i="4" a="1"/>
  <c r="J996" i="4" s="1"/>
  <c r="K972" i="4"/>
  <c r="J972" i="4" a="1"/>
  <c r="J972" i="4" s="1"/>
  <c r="L936" i="4"/>
  <c r="O936" i="4" s="1"/>
  <c r="N936" i="4" a="1"/>
  <c r="N936" i="4" s="1"/>
  <c r="J912" i="4" a="1"/>
  <c r="J912" i="4" s="1"/>
  <c r="K912" i="4"/>
  <c r="L888" i="4"/>
  <c r="O888" i="4" s="1"/>
  <c r="N888" i="4" a="1"/>
  <c r="N888" i="4" s="1"/>
  <c r="J864" i="4" a="1"/>
  <c r="J864" i="4" s="1"/>
  <c r="K864" i="4"/>
  <c r="J840" i="4" a="1"/>
  <c r="J840" i="4" s="1"/>
  <c r="K840" i="4"/>
  <c r="J816" i="4" a="1"/>
  <c r="J816" i="4" s="1"/>
  <c r="K816" i="4"/>
  <c r="J732" i="4" a="1"/>
  <c r="J732" i="4" s="1"/>
  <c r="K732" i="4"/>
  <c r="K696" i="4"/>
  <c r="J696" i="4" a="1"/>
  <c r="J696" i="4" s="1"/>
  <c r="K672" i="4"/>
  <c r="J672" i="4" a="1"/>
  <c r="J672" i="4" s="1"/>
  <c r="K636" i="4"/>
  <c r="J636" i="4" a="1"/>
  <c r="J636" i="4" s="1"/>
  <c r="N588" i="4" a="1"/>
  <c r="N588" i="4" s="1"/>
  <c r="L588" i="4"/>
  <c r="O588" i="4" s="1"/>
  <c r="K564" i="4"/>
  <c r="J564" i="4" a="1"/>
  <c r="J564" i="4" s="1"/>
  <c r="K540" i="4"/>
  <c r="J540" i="4" a="1"/>
  <c r="J540" i="4" s="1"/>
  <c r="J516" i="4" a="1"/>
  <c r="J516" i="4" s="1"/>
  <c r="K516" i="4"/>
  <c r="K468" i="4"/>
  <c r="J468" i="4" a="1"/>
  <c r="J468" i="4" s="1"/>
  <c r="K432" i="4"/>
  <c r="J432" i="4" a="1"/>
  <c r="J432" i="4" s="1"/>
  <c r="N384" i="4" a="1"/>
  <c r="N384" i="4" s="1"/>
  <c r="L384" i="4"/>
  <c r="O384" i="4" s="1"/>
  <c r="K348" i="4"/>
  <c r="J348" i="4" a="1"/>
  <c r="J348" i="4" s="1"/>
  <c r="K312" i="4"/>
  <c r="J312" i="4" a="1"/>
  <c r="J312" i="4" s="1"/>
  <c r="K288" i="4"/>
  <c r="J288" i="4" a="1"/>
  <c r="J288" i="4" s="1"/>
  <c r="K264" i="4"/>
  <c r="J264" i="4" a="1"/>
  <c r="J264" i="4" s="1"/>
  <c r="J228" i="4" a="1"/>
  <c r="J228" i="4" s="1"/>
  <c r="K228" i="4"/>
  <c r="K192" i="4"/>
  <c r="J192" i="4" a="1"/>
  <c r="J192" i="4" s="1"/>
  <c r="J144" i="4" a="1"/>
  <c r="J144" i="4" s="1"/>
  <c r="K144" i="4"/>
  <c r="K120" i="4"/>
  <c r="J120" i="4" a="1"/>
  <c r="J120" i="4" s="1"/>
  <c r="K96" i="4"/>
  <c r="J96" i="4" a="1"/>
  <c r="J96" i="4" s="1"/>
  <c r="K12" i="4"/>
  <c r="J12" i="4" a="1"/>
  <c r="J12" i="4" s="1"/>
  <c r="L977" i="4"/>
  <c r="O977" i="4" s="1"/>
  <c r="N977" i="4" a="1"/>
  <c r="N977" i="4" s="1"/>
  <c r="N965" i="4" a="1"/>
  <c r="N965" i="4" s="1"/>
  <c r="L965" i="4"/>
  <c r="O965" i="4" s="1"/>
  <c r="N905" i="4" a="1"/>
  <c r="N905" i="4" s="1"/>
  <c r="L905" i="4"/>
  <c r="O905" i="4" s="1"/>
  <c r="N677" i="4" a="1"/>
  <c r="N677" i="4" s="1"/>
  <c r="L677" i="4"/>
  <c r="O677" i="4" s="1"/>
  <c r="N605" i="4" a="1"/>
  <c r="N605" i="4" s="1"/>
  <c r="L605" i="4"/>
  <c r="O605" i="4" s="1"/>
  <c r="N485" i="4" a="1"/>
  <c r="N485" i="4" s="1"/>
  <c r="L485" i="4"/>
  <c r="O485" i="4" s="1"/>
  <c r="N461" i="4" a="1"/>
  <c r="N461" i="4" s="1"/>
  <c r="L461" i="4"/>
  <c r="O461" i="4" s="1"/>
  <c r="J404" i="4" a="1"/>
  <c r="J404" i="4" s="1"/>
  <c r="K924" i="4"/>
  <c r="J911" i="4" a="1"/>
  <c r="J911" i="4" s="1"/>
  <c r="K911" i="4"/>
  <c r="K899" i="4"/>
  <c r="J899" i="4" a="1"/>
  <c r="J899" i="4" s="1"/>
  <c r="N887" i="4" a="1"/>
  <c r="N887" i="4" s="1"/>
  <c r="L887" i="4"/>
  <c r="O887" i="4" s="1"/>
  <c r="K875" i="4"/>
  <c r="J875" i="4" a="1"/>
  <c r="J875" i="4" s="1"/>
  <c r="N863" i="4" a="1"/>
  <c r="N863" i="4" s="1"/>
  <c r="L863" i="4"/>
  <c r="O863" i="4" s="1"/>
  <c r="N839" i="4" a="1"/>
  <c r="N839" i="4" s="1"/>
  <c r="L839" i="4"/>
  <c r="O839" i="4" s="1"/>
  <c r="N827" i="4" a="1"/>
  <c r="N827" i="4" s="1"/>
  <c r="L827" i="4"/>
  <c r="O827" i="4" s="1"/>
  <c r="K815" i="4"/>
  <c r="J815" i="4" a="1"/>
  <c r="J815" i="4" s="1"/>
  <c r="K779" i="4"/>
  <c r="J779" i="4" a="1"/>
  <c r="J779" i="4" s="1"/>
  <c r="N767" i="4" a="1"/>
  <c r="N767" i="4" s="1"/>
  <c r="L767" i="4"/>
  <c r="O767" i="4" s="1"/>
  <c r="K755" i="4"/>
  <c r="J755" i="4" a="1"/>
  <c r="J755" i="4" s="1"/>
  <c r="N743" i="4" a="1"/>
  <c r="N743" i="4" s="1"/>
  <c r="L743" i="4"/>
  <c r="O743" i="4" s="1"/>
  <c r="N731" i="4" a="1"/>
  <c r="N731" i="4" s="1"/>
  <c r="L731" i="4"/>
  <c r="O731" i="4" s="1"/>
  <c r="K719" i="4"/>
  <c r="J719" i="4" a="1"/>
  <c r="J719" i="4" s="1"/>
  <c r="K707" i="4"/>
  <c r="J707" i="4" a="1"/>
  <c r="J707" i="4" s="1"/>
  <c r="N695" i="4" a="1"/>
  <c r="N695" i="4" s="1"/>
  <c r="L695" i="4"/>
  <c r="O695" i="4" s="1"/>
  <c r="N683" i="4" a="1"/>
  <c r="N683" i="4" s="1"/>
  <c r="L683" i="4"/>
  <c r="O683" i="4" s="1"/>
  <c r="K671" i="4"/>
  <c r="J671" i="4" a="1"/>
  <c r="J671" i="4" s="1"/>
  <c r="N659" i="4" a="1"/>
  <c r="N659" i="4" s="1"/>
  <c r="L659" i="4"/>
  <c r="O659" i="4" s="1"/>
  <c r="K647" i="4"/>
  <c r="J647" i="4" a="1"/>
  <c r="J647" i="4" s="1"/>
  <c r="N623" i="4" a="1"/>
  <c r="N623" i="4" s="1"/>
  <c r="L623" i="4"/>
  <c r="O623" i="4" s="1"/>
  <c r="N611" i="4" a="1"/>
  <c r="N611" i="4" s="1"/>
  <c r="L611" i="4"/>
  <c r="O611" i="4" s="1"/>
  <c r="K599" i="4"/>
  <c r="J599" i="4" a="1"/>
  <c r="J599" i="4" s="1"/>
  <c r="N587" i="4" a="1"/>
  <c r="N587" i="4" s="1"/>
  <c r="L587" i="4"/>
  <c r="O587" i="4" s="1"/>
  <c r="K575" i="4"/>
  <c r="J575" i="4" a="1"/>
  <c r="J575" i="4" s="1"/>
  <c r="N563" i="4" a="1"/>
  <c r="N563" i="4" s="1"/>
  <c r="L563" i="4"/>
  <c r="O563" i="4" s="1"/>
  <c r="K551" i="4"/>
  <c r="J551" i="4" a="1"/>
  <c r="J551" i="4" s="1"/>
  <c r="N515" i="4" a="1"/>
  <c r="N515" i="4" s="1"/>
  <c r="L515" i="4"/>
  <c r="O515" i="4" s="1"/>
  <c r="N503" i="4" a="1"/>
  <c r="N503" i="4" s="1"/>
  <c r="L503" i="4"/>
  <c r="O503" i="4" s="1"/>
  <c r="K479" i="4"/>
  <c r="J479" i="4" a="1"/>
  <c r="J479" i="4" s="1"/>
  <c r="N467" i="4" a="1"/>
  <c r="N467" i="4" s="1"/>
  <c r="L467" i="4"/>
  <c r="O467" i="4" s="1"/>
  <c r="N455" i="4" a="1"/>
  <c r="N455" i="4" s="1"/>
  <c r="L455" i="4"/>
  <c r="O455" i="4" s="1"/>
  <c r="N443" i="4" a="1"/>
  <c r="N443" i="4" s="1"/>
  <c r="L443" i="4"/>
  <c r="O443" i="4" s="1"/>
  <c r="K431" i="4"/>
  <c r="J431" i="4" a="1"/>
  <c r="J431" i="4" s="1"/>
  <c r="N395" i="4" a="1"/>
  <c r="N395" i="4" s="1"/>
  <c r="L395" i="4"/>
  <c r="O395" i="4" s="1"/>
  <c r="K383" i="4"/>
  <c r="J383" i="4" a="1"/>
  <c r="J383" i="4" s="1"/>
  <c r="N371" i="4" a="1"/>
  <c r="N371" i="4" s="1"/>
  <c r="L371" i="4"/>
  <c r="O371" i="4" s="1"/>
  <c r="K359" i="4"/>
  <c r="J359" i="4" a="1"/>
  <c r="J359" i="4" s="1"/>
  <c r="L347" i="4"/>
  <c r="O347" i="4" s="1"/>
  <c r="N347" i="4" a="1"/>
  <c r="N347" i="4" s="1"/>
  <c r="N335" i="4" a="1"/>
  <c r="N335" i="4" s="1"/>
  <c r="L335" i="4"/>
  <c r="O335" i="4" s="1"/>
  <c r="N323" i="4" a="1"/>
  <c r="N323" i="4" s="1"/>
  <c r="L323" i="4"/>
  <c r="O323" i="4" s="1"/>
  <c r="N311" i="4" a="1"/>
  <c r="N311" i="4" s="1"/>
  <c r="L311" i="4"/>
  <c r="O311" i="4" s="1"/>
  <c r="K299" i="4"/>
  <c r="J299" i="4" a="1"/>
  <c r="J299" i="4" s="1"/>
  <c r="N287" i="4" a="1"/>
  <c r="N287" i="4" s="1"/>
  <c r="L287" i="4"/>
  <c r="O287" i="4" s="1"/>
  <c r="K239" i="4"/>
  <c r="J239" i="4" a="1"/>
  <c r="J239" i="4" s="1"/>
  <c r="L215" i="4"/>
  <c r="O215" i="4" s="1"/>
  <c r="N215" i="4" a="1"/>
  <c r="N215" i="4" s="1"/>
  <c r="K203" i="4"/>
  <c r="J203" i="4" a="1"/>
  <c r="J203" i="4" s="1"/>
  <c r="N191" i="4" a="1"/>
  <c r="N191" i="4" s="1"/>
  <c r="L191" i="4"/>
  <c r="O191" i="4" s="1"/>
  <c r="K179" i="4"/>
  <c r="J179" i="4" a="1"/>
  <c r="J179" i="4" s="1"/>
  <c r="K167" i="4"/>
  <c r="J167" i="4" a="1"/>
  <c r="J167" i="4" s="1"/>
  <c r="K155" i="4"/>
  <c r="J155" i="4" a="1"/>
  <c r="J155" i="4" s="1"/>
  <c r="K143" i="4"/>
  <c r="J143" i="4" a="1"/>
  <c r="J143" i="4" s="1"/>
  <c r="N131" i="4" a="1"/>
  <c r="N131" i="4" s="1"/>
  <c r="L131" i="4"/>
  <c r="O131" i="4" s="1"/>
  <c r="N119" i="4" a="1"/>
  <c r="N119" i="4" s="1"/>
  <c r="L119" i="4"/>
  <c r="O119" i="4" s="1"/>
  <c r="N107" i="4" a="1"/>
  <c r="N107" i="4" s="1"/>
  <c r="L107" i="4"/>
  <c r="O107" i="4" s="1"/>
  <c r="N95" i="4" a="1"/>
  <c r="N95" i="4" s="1"/>
  <c r="L95" i="4"/>
  <c r="O95" i="4" s="1"/>
  <c r="N83" i="4" a="1"/>
  <c r="N83" i="4" s="1"/>
  <c r="L83" i="4"/>
  <c r="O83" i="4" s="1"/>
  <c r="N71" i="4" a="1"/>
  <c r="N71" i="4" s="1"/>
  <c r="L71" i="4"/>
  <c r="O71" i="4" s="1"/>
  <c r="K59" i="4"/>
  <c r="J59" i="4" a="1"/>
  <c r="J59" i="4" s="1"/>
  <c r="N47" i="4" a="1"/>
  <c r="N47" i="4" s="1"/>
  <c r="L47" i="4"/>
  <c r="O47" i="4" s="1"/>
  <c r="K35" i="4"/>
  <c r="J35" i="4" a="1"/>
  <c r="J35" i="4" s="1"/>
  <c r="N23" i="4" a="1"/>
  <c r="N23" i="4" s="1"/>
  <c r="L23" i="4"/>
  <c r="O23" i="4" s="1"/>
  <c r="J990" i="4" a="1"/>
  <c r="J990" i="4" s="1"/>
  <c r="J935" i="4" a="1"/>
  <c r="J935" i="4" s="1"/>
  <c r="J858" i="4" a="1"/>
  <c r="J858" i="4" s="1"/>
  <c r="J750" i="4" a="1"/>
  <c r="J750" i="4" s="1"/>
  <c r="J738" i="4" a="1"/>
  <c r="J738" i="4" s="1"/>
  <c r="J695" i="4" a="1"/>
  <c r="J695" i="4" s="1"/>
  <c r="J683" i="4" a="1"/>
  <c r="J683" i="4" s="1"/>
  <c r="J587" i="4" a="1"/>
  <c r="J587" i="4" s="1"/>
  <c r="J498" i="4" a="1"/>
  <c r="J498" i="4" s="1"/>
  <c r="J438" i="4" a="1"/>
  <c r="J438" i="4" s="1"/>
  <c r="J395" i="4" a="1"/>
  <c r="J395" i="4" s="1"/>
  <c r="J347" i="4" a="1"/>
  <c r="J347" i="4" s="1"/>
  <c r="J335" i="4" a="1"/>
  <c r="J335" i="4" s="1"/>
  <c r="J71" i="4" a="1"/>
  <c r="J71" i="4" s="1"/>
  <c r="N969" i="4" a="1"/>
  <c r="N969" i="4" s="1"/>
  <c r="L969" i="4"/>
  <c r="O969" i="4" s="1"/>
  <c r="K923" i="4"/>
  <c r="K851" i="4"/>
  <c r="L700" i="4"/>
  <c r="O700" i="4" s="1"/>
  <c r="N700" i="4" a="1"/>
  <c r="N700" i="4" s="1"/>
  <c r="N598" i="4" a="1"/>
  <c r="N598" i="4" s="1"/>
  <c r="L598" i="4"/>
  <c r="O598" i="4" s="1"/>
  <c r="K462" i="4"/>
  <c r="L990" i="4"/>
  <c r="O990" i="4" s="1"/>
  <c r="L223" i="4"/>
  <c r="O223" i="4" s="1"/>
  <c r="N535" i="4" a="1"/>
  <c r="N535" i="4" s="1"/>
  <c r="L994" i="4"/>
  <c r="O994" i="4" s="1"/>
  <c r="N994" i="4" a="1"/>
  <c r="N994" i="4" s="1"/>
  <c r="L982" i="4"/>
  <c r="O982" i="4" s="1"/>
  <c r="N982" i="4" a="1"/>
  <c r="N982" i="4" s="1"/>
  <c r="J946" i="4" a="1"/>
  <c r="J946" i="4" s="1"/>
  <c r="K946" i="4"/>
  <c r="J790" i="4" a="1"/>
  <c r="J790" i="4" s="1"/>
  <c r="K790" i="4"/>
  <c r="K730" i="4"/>
  <c r="J730" i="4" a="1"/>
  <c r="J730" i="4" s="1"/>
  <c r="K706" i="4"/>
  <c r="J706" i="4" a="1"/>
  <c r="J706" i="4" s="1"/>
  <c r="N682" i="4" a="1"/>
  <c r="N682" i="4" s="1"/>
  <c r="L682" i="4"/>
  <c r="O682" i="4" s="1"/>
  <c r="N610" i="4" a="1"/>
  <c r="N610" i="4" s="1"/>
  <c r="L610" i="4"/>
  <c r="O610" i="4" s="1"/>
  <c r="K586" i="4"/>
  <c r="J586" i="4" a="1"/>
  <c r="J586" i="4" s="1"/>
  <c r="J514" i="4" a="1"/>
  <c r="J514" i="4" s="1"/>
  <c r="K514" i="4"/>
  <c r="K490" i="4"/>
  <c r="J490" i="4" a="1"/>
  <c r="J490" i="4" s="1"/>
  <c r="N370" i="4" a="1"/>
  <c r="N370" i="4" s="1"/>
  <c r="L370" i="4"/>
  <c r="O370" i="4" s="1"/>
  <c r="K310" i="4"/>
  <c r="J310" i="4" a="1"/>
  <c r="J310" i="4" s="1"/>
  <c r="L214" i="4"/>
  <c r="O214" i="4" s="1"/>
  <c r="N214" i="4" a="1"/>
  <c r="N214" i="4" s="1"/>
  <c r="N190" i="4" a="1"/>
  <c r="N190" i="4" s="1"/>
  <c r="L190" i="4"/>
  <c r="O190" i="4" s="1"/>
  <c r="N166" i="4" a="1"/>
  <c r="N166" i="4" s="1"/>
  <c r="L166" i="4"/>
  <c r="O166" i="4" s="1"/>
  <c r="K142" i="4"/>
  <c r="J142" i="4" a="1"/>
  <c r="J142" i="4" s="1"/>
  <c r="J130" i="4" a="1"/>
  <c r="J130" i="4" s="1"/>
  <c r="K130" i="4"/>
  <c r="K118" i="4"/>
  <c r="J118" i="4" a="1"/>
  <c r="J118" i="4" s="1"/>
  <c r="J82" i="4" a="1"/>
  <c r="J82" i="4" s="1"/>
  <c r="K82" i="4"/>
  <c r="K70" i="4"/>
  <c r="J70" i="4" a="1"/>
  <c r="J70" i="4" s="1"/>
  <c r="N34" i="4" a="1"/>
  <c r="N34" i="4" s="1"/>
  <c r="L34" i="4"/>
  <c r="O34" i="4" s="1"/>
  <c r="J1000" i="4" a="1"/>
  <c r="J1000" i="4" s="1"/>
  <c r="J934" i="4" a="1"/>
  <c r="J934" i="4" s="1"/>
  <c r="J869" i="4" a="1"/>
  <c r="J869" i="4" s="1"/>
  <c r="J857" i="4" a="1"/>
  <c r="J857" i="4" s="1"/>
  <c r="J845" i="4" a="1"/>
  <c r="J845" i="4" s="1"/>
  <c r="J737" i="4" a="1"/>
  <c r="J737" i="4" s="1"/>
  <c r="J682" i="4" a="1"/>
  <c r="J682" i="4" s="1"/>
  <c r="J437" i="4" a="1"/>
  <c r="J437" i="4" s="1"/>
  <c r="J334" i="4" a="1"/>
  <c r="J334" i="4" s="1"/>
  <c r="J323" i="4" a="1"/>
  <c r="J323" i="4" s="1"/>
  <c r="J227" i="4" a="1"/>
  <c r="J227" i="4" s="1"/>
  <c r="J215" i="4" a="1"/>
  <c r="J215" i="4" s="1"/>
  <c r="J191" i="4" a="1"/>
  <c r="J191" i="4" s="1"/>
  <c r="J113" i="4" a="1"/>
  <c r="J113" i="4" s="1"/>
  <c r="J83" i="4" a="1"/>
  <c r="J83" i="4" s="1"/>
  <c r="J30" i="4" a="1"/>
  <c r="J30" i="4" s="1"/>
  <c r="L967" i="4"/>
  <c r="O967" i="4" s="1"/>
  <c r="N967" i="4" a="1"/>
  <c r="N967" i="4" s="1"/>
  <c r="K850" i="4"/>
  <c r="K826" i="4"/>
  <c r="K749" i="4"/>
  <c r="K670" i="4"/>
  <c r="K568" i="4"/>
  <c r="K342" i="4"/>
  <c r="K250" i="4"/>
  <c r="K172" i="4"/>
  <c r="K66" i="4"/>
  <c r="L986" i="4"/>
  <c r="O986" i="4" s="1"/>
  <c r="L939" i="4"/>
  <c r="O939" i="4" s="1"/>
  <c r="L221" i="4"/>
  <c r="O221" i="4" s="1"/>
  <c r="L11" i="4"/>
  <c r="O11" i="4" s="1"/>
  <c r="N635" i="4" a="1"/>
  <c r="N635" i="4" s="1"/>
  <c r="J999" i="4" a="1"/>
  <c r="J999" i="4" s="1"/>
  <c r="J879" i="4" a="1"/>
  <c r="J879" i="4" s="1"/>
  <c r="J833" i="4" a="1"/>
  <c r="J833" i="4" s="1"/>
  <c r="J791" i="4" a="1"/>
  <c r="J791" i="4" s="1"/>
  <c r="J659" i="4" a="1"/>
  <c r="J659" i="4" s="1"/>
  <c r="J639" i="4" a="1"/>
  <c r="J639" i="4" s="1"/>
  <c r="J574" i="4" a="1"/>
  <c r="J574" i="4" s="1"/>
  <c r="J563" i="4" a="1"/>
  <c r="J563" i="4" s="1"/>
  <c r="J530" i="4" a="1"/>
  <c r="J530" i="4" s="1"/>
  <c r="J497" i="4" a="1"/>
  <c r="J497" i="4" s="1"/>
  <c r="J485" i="4" a="1"/>
  <c r="J485" i="4" s="1"/>
  <c r="J311" i="4" a="1"/>
  <c r="J311" i="4" s="1"/>
  <c r="J214" i="4" a="1"/>
  <c r="J214" i="4" s="1"/>
  <c r="J190" i="4" a="1"/>
  <c r="J190" i="4" s="1"/>
  <c r="J111" i="4" a="1"/>
  <c r="J111" i="4" s="1"/>
  <c r="J95" i="4" a="1"/>
  <c r="J95" i="4" s="1"/>
  <c r="J11" i="4" a="1"/>
  <c r="J11" i="4" s="1"/>
  <c r="K989" i="4"/>
  <c r="N775" i="4" a="1"/>
  <c r="N775" i="4" s="1"/>
  <c r="L775" i="4"/>
  <c r="O775" i="4" s="1"/>
  <c r="K747" i="4"/>
  <c r="K698" i="4"/>
  <c r="K566" i="4"/>
  <c r="K430" i="4"/>
  <c r="K397" i="4"/>
  <c r="N367" i="4" a="1"/>
  <c r="N367" i="4" s="1"/>
  <c r="L367" i="4"/>
  <c r="O367" i="4" s="1"/>
  <c r="K337" i="4"/>
  <c r="N307" i="4" a="1"/>
  <c r="N307" i="4" s="1"/>
  <c r="L307" i="4"/>
  <c r="O307" i="4" s="1"/>
  <c r="K210" i="4"/>
  <c r="K170" i="4"/>
  <c r="K58" i="4"/>
  <c r="L935" i="4"/>
  <c r="O935" i="4" s="1"/>
  <c r="L571" i="4"/>
  <c r="O571" i="4" s="1"/>
  <c r="L527" i="4"/>
  <c r="O527" i="4" s="1"/>
  <c r="L151" i="4"/>
  <c r="O151" i="4" s="1"/>
  <c r="N405" i="4" a="1"/>
  <c r="N405" i="4" s="1"/>
  <c r="L481" i="4"/>
  <c r="O481" i="4" s="1"/>
  <c r="N333" i="4" a="1"/>
  <c r="N333" i="4" s="1"/>
  <c r="L333" i="4"/>
  <c r="O333" i="4" s="1"/>
  <c r="N31" i="4" a="1"/>
  <c r="N31" i="4" s="1"/>
  <c r="L31" i="4"/>
  <c r="O31" i="4" s="1"/>
  <c r="N966" i="4" a="1"/>
  <c r="N966" i="4" s="1"/>
  <c r="L966" i="4"/>
  <c r="O966" i="4" s="1"/>
  <c r="K942" i="4"/>
  <c r="J942" i="4" a="1"/>
  <c r="J942" i="4" s="1"/>
  <c r="N786" i="4" a="1"/>
  <c r="N786" i="4" s="1"/>
  <c r="L786" i="4"/>
  <c r="O786" i="4" s="1"/>
  <c r="N750" i="4" a="1"/>
  <c r="N750" i="4" s="1"/>
  <c r="L750" i="4"/>
  <c r="O750" i="4" s="1"/>
  <c r="K702" i="4"/>
  <c r="J702" i="4" a="1"/>
  <c r="J702" i="4" s="1"/>
  <c r="N654" i="4" a="1"/>
  <c r="N654" i="4" s="1"/>
  <c r="L654" i="4"/>
  <c r="O654" i="4" s="1"/>
  <c r="K630" i="4"/>
  <c r="J630" i="4" a="1"/>
  <c r="J630" i="4" s="1"/>
  <c r="J570" i="4" a="1"/>
  <c r="J570" i="4" s="1"/>
  <c r="K570" i="4"/>
  <c r="K522" i="4"/>
  <c r="J522" i="4" a="1"/>
  <c r="J522" i="4" s="1"/>
  <c r="L186" i="4"/>
  <c r="O186" i="4" s="1"/>
  <c r="N186" i="4" a="1"/>
  <c r="N186" i="4" s="1"/>
  <c r="K126" i="4"/>
  <c r="J126" i="4" a="1"/>
  <c r="J126" i="4" s="1"/>
  <c r="N90" i="4" a="1"/>
  <c r="N90" i="4" s="1"/>
  <c r="L90" i="4"/>
  <c r="O90" i="4" s="1"/>
  <c r="L30" i="4"/>
  <c r="O30" i="4" s="1"/>
  <c r="N30" i="4" a="1"/>
  <c r="N30" i="4" s="1"/>
  <c r="J174" i="4" a="1"/>
  <c r="J174" i="4" s="1"/>
  <c r="K330" i="4"/>
  <c r="N869" i="4" a="1"/>
  <c r="N869" i="4" s="1"/>
  <c r="L869" i="4"/>
  <c r="O869" i="4" s="1"/>
  <c r="N845" i="4" a="1"/>
  <c r="N845" i="4" s="1"/>
  <c r="L845" i="4"/>
  <c r="O845" i="4" s="1"/>
  <c r="K821" i="4"/>
  <c r="J821" i="4" a="1"/>
  <c r="J821" i="4" s="1"/>
  <c r="N785" i="4" a="1"/>
  <c r="N785" i="4" s="1"/>
  <c r="L785" i="4"/>
  <c r="O785" i="4" s="1"/>
  <c r="N569" i="4" a="1"/>
  <c r="N569" i="4" s="1"/>
  <c r="L569" i="4"/>
  <c r="O569" i="4" s="1"/>
  <c r="K545" i="4"/>
  <c r="J545" i="4" a="1"/>
  <c r="J545" i="4" s="1"/>
  <c r="K521" i="4"/>
  <c r="J521" i="4" a="1"/>
  <c r="J521" i="4" s="1"/>
  <c r="N437" i="4" a="1"/>
  <c r="N437" i="4" s="1"/>
  <c r="L437" i="4"/>
  <c r="O437" i="4" s="1"/>
  <c r="K413" i="4"/>
  <c r="J413" i="4" a="1"/>
  <c r="J413" i="4" s="1"/>
  <c r="N377" i="4" a="1"/>
  <c r="N377" i="4" s="1"/>
  <c r="L377" i="4"/>
  <c r="O377" i="4" s="1"/>
  <c r="K305" i="4"/>
  <c r="J305" i="4" a="1"/>
  <c r="J305" i="4" s="1"/>
  <c r="K269" i="4"/>
  <c r="J269" i="4" a="1"/>
  <c r="J269" i="4" s="1"/>
  <c r="K257" i="4"/>
  <c r="J257" i="4" a="1"/>
  <c r="J257" i="4" s="1"/>
  <c r="K209" i="4"/>
  <c r="J209" i="4" a="1"/>
  <c r="J209" i="4" s="1"/>
  <c r="N161" i="4" a="1"/>
  <c r="N161" i="4" s="1"/>
  <c r="L161" i="4"/>
  <c r="O161" i="4" s="1"/>
  <c r="K125" i="4"/>
  <c r="J125" i="4" a="1"/>
  <c r="J125" i="4" s="1"/>
  <c r="N89" i="4" a="1"/>
  <c r="N89" i="4" s="1"/>
  <c r="L89" i="4"/>
  <c r="O89" i="4" s="1"/>
  <c r="K29" i="4"/>
  <c r="J29" i="4" a="1"/>
  <c r="J29" i="4" s="1"/>
  <c r="J767" i="4" a="1"/>
  <c r="J767" i="4" s="1"/>
  <c r="J353" i="4" a="1"/>
  <c r="J353" i="4" s="1"/>
  <c r="K838" i="4"/>
  <c r="K713" i="4"/>
  <c r="K557" i="4"/>
  <c r="N123" i="4" a="1"/>
  <c r="N123" i="4" s="1"/>
  <c r="L123" i="4"/>
  <c r="O123" i="4" s="1"/>
  <c r="K988" i="4"/>
  <c r="J988" i="4" a="1"/>
  <c r="J988" i="4" s="1"/>
  <c r="K868" i="4"/>
  <c r="J868" i="4" a="1"/>
  <c r="J868" i="4" s="1"/>
  <c r="K832" i="4"/>
  <c r="J832" i="4" a="1"/>
  <c r="J832" i="4" s="1"/>
  <c r="L796" i="4"/>
  <c r="O796" i="4" s="1"/>
  <c r="N796" i="4" a="1"/>
  <c r="N796" i="4" s="1"/>
  <c r="J748" i="4" a="1"/>
  <c r="J748" i="4" s="1"/>
  <c r="K748" i="4"/>
  <c r="N664" i="4" a="1"/>
  <c r="N664" i="4" s="1"/>
  <c r="L664" i="4"/>
  <c r="O664" i="4" s="1"/>
  <c r="K628" i="4"/>
  <c r="J628" i="4" a="1"/>
  <c r="J628" i="4" s="1"/>
  <c r="K484" i="4"/>
  <c r="J484" i="4" a="1"/>
  <c r="J484" i="4" s="1"/>
  <c r="K340" i="4"/>
  <c r="J340" i="4" a="1"/>
  <c r="J340" i="4" s="1"/>
  <c r="L304" i="4"/>
  <c r="O304" i="4" s="1"/>
  <c r="N304" i="4" a="1"/>
  <c r="N304" i="4" s="1"/>
  <c r="K232" i="4"/>
  <c r="J232" i="4" a="1"/>
  <c r="J232" i="4" s="1"/>
  <c r="K160" i="4"/>
  <c r="J160" i="4" a="1"/>
  <c r="J160" i="4" s="1"/>
  <c r="J100" i="4" a="1"/>
  <c r="J100" i="4" s="1"/>
  <c r="K100" i="4"/>
  <c r="K4" i="4"/>
  <c r="J4" i="4" a="1"/>
  <c r="J4" i="4" s="1"/>
  <c r="J918" i="4" a="1"/>
  <c r="J918" i="4" s="1"/>
  <c r="J677" i="4" a="1"/>
  <c r="J677" i="4" s="1"/>
  <c r="J569" i="4" a="1"/>
  <c r="J569" i="4" s="1"/>
  <c r="J388" i="4" a="1"/>
  <c r="J388" i="4" s="1"/>
  <c r="J352" i="4" a="1"/>
  <c r="J352" i="4" s="1"/>
  <c r="J221" i="4" a="1"/>
  <c r="J221" i="4" s="1"/>
  <c r="J185" i="4" a="1"/>
  <c r="J185" i="4" s="1"/>
  <c r="K526" i="4"/>
  <c r="K162" i="4"/>
  <c r="N975" i="4" a="1"/>
  <c r="N975" i="4" s="1"/>
  <c r="L975" i="4"/>
  <c r="O975" i="4" s="1"/>
  <c r="K951" i="4"/>
  <c r="J951" i="4" a="1"/>
  <c r="J951" i="4" s="1"/>
  <c r="N927" i="4" a="1"/>
  <c r="N927" i="4" s="1"/>
  <c r="L927" i="4"/>
  <c r="O927" i="4" s="1"/>
  <c r="K903" i="4"/>
  <c r="J903" i="4" a="1"/>
  <c r="J903" i="4" s="1"/>
  <c r="K867" i="4"/>
  <c r="J867" i="4" a="1"/>
  <c r="J867" i="4" s="1"/>
  <c r="K843" i="4"/>
  <c r="J843" i="4" a="1"/>
  <c r="J843" i="4" s="1"/>
  <c r="N831" i="4" a="1"/>
  <c r="N831" i="4" s="1"/>
  <c r="L831" i="4"/>
  <c r="O831" i="4" s="1"/>
  <c r="L807" i="4"/>
  <c r="O807" i="4" s="1"/>
  <c r="N807" i="4" a="1"/>
  <c r="N807" i="4" s="1"/>
  <c r="K795" i="4"/>
  <c r="J795" i="4" a="1"/>
  <c r="J795" i="4" s="1"/>
  <c r="N771" i="4" a="1"/>
  <c r="N771" i="4" s="1"/>
  <c r="L771" i="4"/>
  <c r="O771" i="4" s="1"/>
  <c r="N759" i="4" a="1"/>
  <c r="N759" i="4" s="1"/>
  <c r="L759" i="4"/>
  <c r="O759" i="4" s="1"/>
  <c r="K723" i="4"/>
  <c r="J723" i="4" a="1"/>
  <c r="J723" i="4" s="1"/>
  <c r="N711" i="4" a="1"/>
  <c r="N711" i="4" s="1"/>
  <c r="L711" i="4"/>
  <c r="O711" i="4" s="1"/>
  <c r="K663" i="4"/>
  <c r="J663" i="4" a="1"/>
  <c r="J663" i="4" s="1"/>
  <c r="N639" i="4" a="1"/>
  <c r="N639" i="4" s="1"/>
  <c r="L639" i="4"/>
  <c r="O639" i="4" s="1"/>
  <c r="N603" i="4" a="1"/>
  <c r="N603" i="4" s="1"/>
  <c r="L603" i="4"/>
  <c r="O603" i="4" s="1"/>
  <c r="J591" i="4" a="1"/>
  <c r="J591" i="4" s="1"/>
  <c r="K591" i="4"/>
  <c r="N567" i="4" a="1"/>
  <c r="N567" i="4" s="1"/>
  <c r="L567" i="4"/>
  <c r="O567" i="4" s="1"/>
  <c r="K519" i="4"/>
  <c r="J519" i="4" a="1"/>
  <c r="J519" i="4" s="1"/>
  <c r="J507" i="4" a="1"/>
  <c r="J507" i="4" s="1"/>
  <c r="K507" i="4"/>
  <c r="N495" i="4" a="1"/>
  <c r="N495" i="4" s="1"/>
  <c r="L495" i="4"/>
  <c r="O495" i="4" s="1"/>
  <c r="N471" i="4" a="1"/>
  <c r="N471" i="4" s="1"/>
  <c r="L471" i="4"/>
  <c r="O471" i="4" s="1"/>
  <c r="N399" i="4" a="1"/>
  <c r="N399" i="4" s="1"/>
  <c r="L399" i="4"/>
  <c r="O399" i="4" s="1"/>
  <c r="N339" i="4" a="1"/>
  <c r="N339" i="4" s="1"/>
  <c r="L339" i="4"/>
  <c r="O339" i="4" s="1"/>
  <c r="N327" i="4" a="1"/>
  <c r="N327" i="4" s="1"/>
  <c r="L327" i="4"/>
  <c r="O327" i="4" s="1"/>
  <c r="K243" i="4"/>
  <c r="J243" i="4" a="1"/>
  <c r="J243" i="4" s="1"/>
  <c r="N219" i="4" a="1"/>
  <c r="N219" i="4" s="1"/>
  <c r="L219" i="4"/>
  <c r="O219" i="4" s="1"/>
  <c r="N195" i="4" a="1"/>
  <c r="N195" i="4" s="1"/>
  <c r="L195" i="4"/>
  <c r="O195" i="4" s="1"/>
  <c r="K171" i="4"/>
  <c r="J171" i="4" a="1"/>
  <c r="J171" i="4" s="1"/>
  <c r="N159" i="4" a="1"/>
  <c r="N159" i="4" s="1"/>
  <c r="L159" i="4"/>
  <c r="O159" i="4" s="1"/>
  <c r="L147" i="4"/>
  <c r="O147" i="4" s="1"/>
  <c r="N147" i="4" a="1"/>
  <c r="N147" i="4" s="1"/>
  <c r="N99" i="4" a="1"/>
  <c r="N99" i="4" s="1"/>
  <c r="L99" i="4"/>
  <c r="O99" i="4" s="1"/>
  <c r="N75" i="4" a="1"/>
  <c r="N75" i="4" s="1"/>
  <c r="L75" i="4"/>
  <c r="O75" i="4" s="1"/>
  <c r="J63" i="4" a="1"/>
  <c r="J63" i="4" s="1"/>
  <c r="K63" i="4"/>
  <c r="J51" i="4" a="1"/>
  <c r="J51" i="4" s="1"/>
  <c r="K51" i="4"/>
  <c r="J973" i="4" a="1"/>
  <c r="J973" i="4" s="1"/>
  <c r="J950" i="4" a="1"/>
  <c r="J950" i="4" s="1"/>
  <c r="J939" i="4" a="1"/>
  <c r="J939" i="4" s="1"/>
  <c r="J862" i="4" a="1"/>
  <c r="J862" i="4" s="1"/>
  <c r="J817" i="4" a="1"/>
  <c r="J817" i="4" s="1"/>
  <c r="J806" i="4" a="1"/>
  <c r="J806" i="4" s="1"/>
  <c r="J743" i="4" a="1"/>
  <c r="J743" i="4" s="1"/>
  <c r="J731" i="4" a="1"/>
  <c r="J731" i="4" s="1"/>
  <c r="J709" i="4" a="1"/>
  <c r="J709" i="4" s="1"/>
  <c r="J665" i="4" a="1"/>
  <c r="J665" i="4" s="1"/>
  <c r="J654" i="4" a="1"/>
  <c r="J654" i="4" s="1"/>
  <c r="J580" i="4" a="1"/>
  <c r="J580" i="4" s="1"/>
  <c r="J546" i="4" a="1"/>
  <c r="J546" i="4" s="1"/>
  <c r="J503" i="4" a="1"/>
  <c r="J503" i="4" s="1"/>
  <c r="J491" i="4" a="1"/>
  <c r="J491" i="4" s="1"/>
  <c r="J469" i="4" a="1"/>
  <c r="J469" i="4" s="1"/>
  <c r="J442" i="4" a="1"/>
  <c r="J442" i="4" s="1"/>
  <c r="J409" i="4" a="1"/>
  <c r="J409" i="4" s="1"/>
  <c r="J399" i="4" a="1"/>
  <c r="J399" i="4" s="1"/>
  <c r="J339" i="4" a="1"/>
  <c r="J339" i="4" s="1"/>
  <c r="J327" i="4" a="1"/>
  <c r="J327" i="4" s="1"/>
  <c r="J317" i="4" a="1"/>
  <c r="J317" i="4" s="1"/>
  <c r="J304" i="4" a="1"/>
  <c r="J304" i="4" s="1"/>
  <c r="J293" i="4" a="1"/>
  <c r="J293" i="4" s="1"/>
  <c r="J246" i="4" a="1"/>
  <c r="J246" i="4" s="1"/>
  <c r="J234" i="4" a="1"/>
  <c r="J234" i="4" s="1"/>
  <c r="J219" i="4" a="1"/>
  <c r="J219" i="4" s="1"/>
  <c r="J208" i="4" a="1"/>
  <c r="J208" i="4" s="1"/>
  <c r="J197" i="4" a="1"/>
  <c r="J197" i="4" s="1"/>
  <c r="J131" i="4" a="1"/>
  <c r="J131" i="4" s="1"/>
  <c r="J90" i="4" a="1"/>
  <c r="J90" i="4" s="1"/>
  <c r="J77" i="4" a="1"/>
  <c r="J77" i="4" s="1"/>
  <c r="K761" i="4"/>
  <c r="K710" i="4"/>
  <c r="K581" i="4"/>
  <c r="K414" i="4"/>
  <c r="K382" i="4"/>
  <c r="K351" i="4"/>
  <c r="K322" i="4"/>
  <c r="K291" i="4"/>
  <c r="K194" i="4"/>
  <c r="K154" i="4"/>
  <c r="N6" i="4" a="1"/>
  <c r="N6" i="4" s="1"/>
  <c r="L6" i="4"/>
  <c r="O6" i="4" s="1"/>
  <c r="L642" i="4"/>
  <c r="O642" i="4" s="1"/>
  <c r="L593" i="4"/>
  <c r="O593" i="4" s="1"/>
  <c r="L409" i="4"/>
  <c r="O409" i="4" s="1"/>
  <c r="N1001" i="4" a="1"/>
  <c r="N1001" i="4" s="1"/>
  <c r="N894" i="4" a="1"/>
  <c r="N894" i="4" s="1"/>
  <c r="N511" i="4" a="1"/>
  <c r="N511" i="4" s="1"/>
  <c r="N366" i="4" a="1"/>
  <c r="N366" i="4" s="1"/>
  <c r="L366" i="4"/>
  <c r="O366" i="4" s="1"/>
  <c r="N55" i="4" a="1"/>
  <c r="N55" i="4" s="1"/>
  <c r="L55" i="4"/>
  <c r="O55" i="4" s="1"/>
  <c r="N499" i="4" a="1"/>
  <c r="N499" i="4" s="1"/>
  <c r="L499" i="4"/>
  <c r="O499" i="4" s="1"/>
  <c r="N451" i="4" a="1"/>
  <c r="N451" i="4" s="1"/>
  <c r="L451" i="4"/>
  <c r="O451" i="4" s="1"/>
  <c r="N175" i="4" a="1"/>
  <c r="N175" i="4" s="1"/>
  <c r="L175" i="4"/>
  <c r="O175" i="4" s="1"/>
  <c r="N127" i="4" a="1"/>
  <c r="N127" i="4" s="1"/>
  <c r="L127" i="4"/>
  <c r="O127" i="4" s="1"/>
  <c r="N423" i="4" a="1"/>
  <c r="N423" i="4" s="1"/>
  <c r="L423" i="4"/>
  <c r="O423" i="4" s="1"/>
  <c r="N54" i="4" a="1"/>
  <c r="N54" i="4" s="1"/>
  <c r="L54" i="4"/>
  <c r="O54" i="4" s="1"/>
  <c r="N78" i="4" a="1"/>
  <c r="N78" i="4" s="1"/>
  <c r="L78" i="4"/>
  <c r="O78" i="4" s="1"/>
  <c r="J18" i="4" a="1"/>
  <c r="J18" i="4" s="1"/>
  <c r="K18" i="4"/>
  <c r="J582" i="4" a="1"/>
  <c r="J582" i="4" s="1"/>
  <c r="J527" i="4" a="1"/>
  <c r="J527" i="4" s="1"/>
  <c r="J186" i="4" a="1"/>
  <c r="J186" i="4" s="1"/>
  <c r="L616" i="4"/>
  <c r="O616" i="4" s="1"/>
  <c r="N616" i="4" a="1"/>
  <c r="N616" i="4" s="1"/>
  <c r="N505" i="4" a="1"/>
  <c r="N505" i="4" s="1"/>
  <c r="L505" i="4"/>
  <c r="O505" i="4" s="1"/>
  <c r="K953" i="4"/>
  <c r="J953" i="4" a="1"/>
  <c r="J953" i="4" s="1"/>
  <c r="K929" i="4"/>
  <c r="J929" i="4" a="1"/>
  <c r="J929" i="4" s="1"/>
  <c r="K881" i="4"/>
  <c r="J881" i="4" a="1"/>
  <c r="J881" i="4" s="1"/>
  <c r="N809" i="4" a="1"/>
  <c r="N809" i="4" s="1"/>
  <c r="L809" i="4"/>
  <c r="O809" i="4" s="1"/>
  <c r="N737" i="4" a="1"/>
  <c r="N737" i="4" s="1"/>
  <c r="L737" i="4"/>
  <c r="O737" i="4" s="1"/>
  <c r="L653" i="4"/>
  <c r="O653" i="4" s="1"/>
  <c r="N653" i="4" a="1"/>
  <c r="N653" i="4" s="1"/>
  <c r="K641" i="4"/>
  <c r="J641" i="4" a="1"/>
  <c r="J641" i="4" s="1"/>
  <c r="K617" i="4"/>
  <c r="J617" i="4" a="1"/>
  <c r="J617" i="4" s="1"/>
  <c r="N497" i="4" a="1"/>
  <c r="N497" i="4" s="1"/>
  <c r="L497" i="4"/>
  <c r="O497" i="4" s="1"/>
  <c r="K449" i="4"/>
  <c r="J449" i="4" a="1"/>
  <c r="J449" i="4" s="1"/>
  <c r="N341" i="4" a="1"/>
  <c r="N341" i="4" s="1"/>
  <c r="L341" i="4"/>
  <c r="O341" i="4" s="1"/>
  <c r="N293" i="4" a="1"/>
  <c r="N293" i="4" s="1"/>
  <c r="L293" i="4"/>
  <c r="O293" i="4" s="1"/>
  <c r="N245" i="4" a="1"/>
  <c r="N245" i="4" s="1"/>
  <c r="L245" i="4"/>
  <c r="O245" i="4" s="1"/>
  <c r="K149" i="4"/>
  <c r="J149" i="4" a="1"/>
  <c r="J149" i="4" s="1"/>
  <c r="L77" i="4"/>
  <c r="O77" i="4" s="1"/>
  <c r="N77" i="4" a="1"/>
  <c r="N77" i="4" s="1"/>
  <c r="N41" i="4" a="1"/>
  <c r="N41" i="4" s="1"/>
  <c r="L41" i="4"/>
  <c r="O41" i="4" s="1"/>
  <c r="J5" i="4" a="1"/>
  <c r="J5" i="4" s="1"/>
  <c r="K5" i="4"/>
  <c r="J678" i="4" a="1"/>
  <c r="J678" i="4" s="1"/>
  <c r="J515" i="4" a="1"/>
  <c r="J515" i="4" s="1"/>
  <c r="J222" i="4" a="1"/>
  <c r="J222" i="4" s="1"/>
  <c r="K910" i="4"/>
  <c r="L736" i="4"/>
  <c r="O736" i="4" s="1"/>
  <c r="L185" i="4"/>
  <c r="O185" i="4" s="1"/>
  <c r="L844" i="4"/>
  <c r="O844" i="4" s="1"/>
  <c r="N844" i="4" a="1"/>
  <c r="N844" i="4" s="1"/>
  <c r="L808" i="4"/>
  <c r="O808" i="4" s="1"/>
  <c r="N808" i="4" a="1"/>
  <c r="N808" i="4" s="1"/>
  <c r="N772" i="4" a="1"/>
  <c r="N772" i="4" s="1"/>
  <c r="L772" i="4"/>
  <c r="O772" i="4" s="1"/>
  <c r="N640" i="4" a="1"/>
  <c r="N640" i="4" s="1"/>
  <c r="L640" i="4"/>
  <c r="O640" i="4" s="1"/>
  <c r="J556" i="4" a="1"/>
  <c r="J556" i="4" s="1"/>
  <c r="K556" i="4"/>
  <c r="N496" i="4" a="1"/>
  <c r="N496" i="4" s="1"/>
  <c r="L496" i="4"/>
  <c r="O496" i="4" s="1"/>
  <c r="N472" i="4" a="1"/>
  <c r="N472" i="4" s="1"/>
  <c r="L472" i="4"/>
  <c r="O472" i="4" s="1"/>
  <c r="L388" i="4"/>
  <c r="O388" i="4" s="1"/>
  <c r="N388" i="4" a="1"/>
  <c r="N388" i="4" s="1"/>
  <c r="J364" i="4" a="1"/>
  <c r="J364" i="4" s="1"/>
  <c r="K364" i="4"/>
  <c r="K328" i="4"/>
  <c r="J328" i="4" a="1"/>
  <c r="J328" i="4" s="1"/>
  <c r="N292" i="4" a="1"/>
  <c r="N292" i="4" s="1"/>
  <c r="L292" i="4"/>
  <c r="O292" i="4" s="1"/>
  <c r="N196" i="4" a="1"/>
  <c r="N196" i="4" s="1"/>
  <c r="L196" i="4"/>
  <c r="O196" i="4" s="1"/>
  <c r="J112" i="4" a="1"/>
  <c r="J112" i="4" s="1"/>
  <c r="K112" i="4"/>
  <c r="K88" i="4"/>
  <c r="J88" i="4" a="1"/>
  <c r="J88" i="4" s="1"/>
  <c r="K40" i="4"/>
  <c r="J40" i="4" a="1"/>
  <c r="J40" i="4" s="1"/>
  <c r="K16" i="4"/>
  <c r="J16" i="4" a="1"/>
  <c r="J16" i="4" s="1"/>
  <c r="J994" i="4" a="1"/>
  <c r="J994" i="4" s="1"/>
  <c r="J983" i="4" a="1"/>
  <c r="J983" i="4" s="1"/>
  <c r="J863" i="4" a="1"/>
  <c r="J863" i="4" s="1"/>
  <c r="J796" i="4" a="1"/>
  <c r="J796" i="4" s="1"/>
  <c r="J635" i="4" a="1"/>
  <c r="J635" i="4" s="1"/>
  <c r="J329" i="4" a="1"/>
  <c r="J329" i="4" s="1"/>
  <c r="J119" i="4" a="1"/>
  <c r="J119" i="4" s="1"/>
  <c r="K978" i="4"/>
  <c r="N582" i="4" a="1"/>
  <c r="N582" i="4" s="1"/>
  <c r="K902" i="4"/>
  <c r="J902" i="4" a="1"/>
  <c r="J902" i="4" s="1"/>
  <c r="K842" i="4"/>
  <c r="J842" i="4" a="1"/>
  <c r="J842" i="4" s="1"/>
  <c r="K770" i="4"/>
  <c r="J770" i="4" a="1"/>
  <c r="J770" i="4" s="1"/>
  <c r="N758" i="4" a="1"/>
  <c r="N758" i="4" s="1"/>
  <c r="L758" i="4"/>
  <c r="O758" i="4" s="1"/>
  <c r="N746" i="4" a="1"/>
  <c r="N746" i="4" s="1"/>
  <c r="L746" i="4"/>
  <c r="O746" i="4" s="1"/>
  <c r="N674" i="4" a="1"/>
  <c r="N674" i="4" s="1"/>
  <c r="L674" i="4"/>
  <c r="O674" i="4" s="1"/>
  <c r="K638" i="4"/>
  <c r="J638" i="4" a="1"/>
  <c r="J638" i="4" s="1"/>
  <c r="K614" i="4"/>
  <c r="J614" i="4" a="1"/>
  <c r="J614" i="4" s="1"/>
  <c r="N578" i="4" a="1"/>
  <c r="N578" i="4" s="1"/>
  <c r="L578" i="4"/>
  <c r="O578" i="4" s="1"/>
  <c r="N554" i="4" a="1"/>
  <c r="N554" i="4" s="1"/>
  <c r="L554" i="4"/>
  <c r="O554" i="4" s="1"/>
  <c r="N530" i="4" a="1"/>
  <c r="N530" i="4" s="1"/>
  <c r="L530" i="4"/>
  <c r="O530" i="4" s="1"/>
  <c r="K458" i="4"/>
  <c r="J458" i="4" a="1"/>
  <c r="J458" i="4" s="1"/>
  <c r="N434" i="4" a="1"/>
  <c r="N434" i="4" s="1"/>
  <c r="L434" i="4"/>
  <c r="O434" i="4" s="1"/>
  <c r="K422" i="4"/>
  <c r="J422" i="4" a="1"/>
  <c r="J422" i="4" s="1"/>
  <c r="N398" i="4" a="1"/>
  <c r="N398" i="4" s="1"/>
  <c r="L398" i="4"/>
  <c r="O398" i="4" s="1"/>
  <c r="N386" i="4" a="1"/>
  <c r="N386" i="4" s="1"/>
  <c r="L386" i="4"/>
  <c r="O386" i="4" s="1"/>
  <c r="K374" i="4"/>
  <c r="J374" i="4" a="1"/>
  <c r="J374" i="4" s="1"/>
  <c r="J350" i="4" a="1"/>
  <c r="J350" i="4" s="1"/>
  <c r="K350" i="4"/>
  <c r="N338" i="4" a="1"/>
  <c r="N338" i="4" s="1"/>
  <c r="L338" i="4"/>
  <c r="O338" i="4" s="1"/>
  <c r="N302" i="4" a="1"/>
  <c r="N302" i="4" s="1"/>
  <c r="L302" i="4"/>
  <c r="O302" i="4" s="1"/>
  <c r="J290" i="4" a="1"/>
  <c r="J290" i="4" s="1"/>
  <c r="K290" i="4"/>
  <c r="N266" i="4" a="1"/>
  <c r="N266" i="4" s="1"/>
  <c r="L266" i="4"/>
  <c r="O266" i="4" s="1"/>
  <c r="K242" i="4"/>
  <c r="J242" i="4" a="1"/>
  <c r="J242" i="4" s="1"/>
  <c r="K230" i="4"/>
  <c r="J230" i="4" a="1"/>
  <c r="J230" i="4" s="1"/>
  <c r="K206" i="4"/>
  <c r="J206" i="4" a="1"/>
  <c r="J206" i="4" s="1"/>
  <c r="N158" i="4" a="1"/>
  <c r="N158" i="4" s="1"/>
  <c r="L158" i="4"/>
  <c r="O158" i="4" s="1"/>
  <c r="K134" i="4"/>
  <c r="J134" i="4" a="1"/>
  <c r="J134" i="4" s="1"/>
  <c r="K110" i="4"/>
  <c r="J110" i="4" a="1"/>
  <c r="J110" i="4" s="1"/>
  <c r="J74" i="4" a="1"/>
  <c r="J74" i="4" s="1"/>
  <c r="K74" i="4"/>
  <c r="N14" i="4" a="1"/>
  <c r="N14" i="4" s="1"/>
  <c r="L14" i="4"/>
  <c r="O14" i="4" s="1"/>
  <c r="J982" i="4" a="1"/>
  <c r="J982" i="4" s="1"/>
  <c r="J927" i="4" a="1"/>
  <c r="J927" i="4" s="1"/>
  <c r="J905" i="4" a="1"/>
  <c r="J905" i="4" s="1"/>
  <c r="J894" i="4" a="1"/>
  <c r="J894" i="4" s="1"/>
  <c r="J827" i="4" a="1"/>
  <c r="J827" i="4" s="1"/>
  <c r="J786" i="4" a="1"/>
  <c r="J786" i="4" s="1"/>
  <c r="J718" i="4" a="1"/>
  <c r="J718" i="4" s="1"/>
  <c r="J697" i="4" a="1"/>
  <c r="J697" i="4" s="1"/>
  <c r="J664" i="4" a="1"/>
  <c r="J664" i="4" s="1"/>
  <c r="J653" i="4" a="1"/>
  <c r="J653" i="4" s="1"/>
  <c r="J623" i="4" a="1"/>
  <c r="J623" i="4" s="1"/>
  <c r="J611" i="4" a="1"/>
  <c r="J611" i="4" s="1"/>
  <c r="J601" i="4" a="1"/>
  <c r="J601" i="4" s="1"/>
  <c r="J589" i="4" a="1"/>
  <c r="J589" i="4" s="1"/>
  <c r="J567" i="4" a="1"/>
  <c r="J567" i="4" s="1"/>
  <c r="J455" i="4" a="1"/>
  <c r="J455" i="4" s="1"/>
  <c r="J386" i="4" a="1"/>
  <c r="J386" i="4" s="1"/>
  <c r="J349" i="4" a="1"/>
  <c r="J349" i="4" s="1"/>
  <c r="J338" i="4" a="1"/>
  <c r="J338" i="4" s="1"/>
  <c r="J326" i="4" a="1"/>
  <c r="J326" i="4" s="1"/>
  <c r="J316" i="4" a="1"/>
  <c r="J316" i="4" s="1"/>
  <c r="J292" i="4" a="1"/>
  <c r="J292" i="4" s="1"/>
  <c r="J281" i="4" a="1"/>
  <c r="J281" i="4" s="1"/>
  <c r="J258" i="4" a="1"/>
  <c r="J258" i="4" s="1"/>
  <c r="J245" i="4" a="1"/>
  <c r="J245" i="4" s="1"/>
  <c r="J233" i="4" a="1"/>
  <c r="J233" i="4" s="1"/>
  <c r="J196" i="4" a="1"/>
  <c r="J196" i="4" s="1"/>
  <c r="J89" i="4" a="1"/>
  <c r="J89" i="4" s="1"/>
  <c r="J75" i="4" a="1"/>
  <c r="J75" i="4" s="1"/>
  <c r="J61" i="4" a="1"/>
  <c r="J61" i="4" s="1"/>
  <c r="J47" i="4" a="1"/>
  <c r="J47" i="4" s="1"/>
  <c r="J34" i="4" a="1"/>
  <c r="J34" i="4" s="1"/>
  <c r="J17" i="4" a="1"/>
  <c r="J17" i="4" s="1"/>
  <c r="K976" i="4"/>
  <c r="K928" i="4"/>
  <c r="K906" i="4"/>
  <c r="N835" i="4" a="1"/>
  <c r="N835" i="4" s="1"/>
  <c r="L835" i="4"/>
  <c r="O835" i="4" s="1"/>
  <c r="N681" i="4" a="1"/>
  <c r="N681" i="4" s="1"/>
  <c r="L681" i="4"/>
  <c r="O681" i="4" s="1"/>
  <c r="K651" i="4"/>
  <c r="K629" i="4"/>
  <c r="K579" i="4"/>
  <c r="K76" i="4"/>
  <c r="K39" i="4"/>
  <c r="L999" i="4"/>
  <c r="O999" i="4" s="1"/>
  <c r="L631" i="4"/>
  <c r="O631" i="4" s="1"/>
  <c r="L234" i="4"/>
  <c r="O234" i="4" s="1"/>
  <c r="L174" i="4"/>
  <c r="O174" i="4" s="1"/>
  <c r="N751" i="4" a="1"/>
  <c r="N751" i="4" s="1"/>
  <c r="N113" i="4" a="1"/>
  <c r="N113" i="4" s="1"/>
  <c r="L679" i="4"/>
  <c r="O679" i="4" s="1"/>
  <c r="N679" i="4" a="1"/>
  <c r="N679" i="4" s="1"/>
  <c r="N475" i="4" a="1"/>
  <c r="N475" i="4" s="1"/>
  <c r="N439" i="4" a="1"/>
  <c r="N439" i="4" s="1"/>
  <c r="L439" i="4"/>
  <c r="O439" i="4" s="1"/>
  <c r="N115" i="4" a="1"/>
  <c r="N115" i="4" s="1"/>
  <c r="L115" i="4"/>
  <c r="O115" i="4" s="1"/>
  <c r="N892" i="4" a="1"/>
  <c r="N892" i="4" s="1"/>
  <c r="L892" i="4"/>
  <c r="O892" i="4" s="1"/>
  <c r="N918" i="4" a="1"/>
  <c r="N918" i="4" s="1"/>
  <c r="L918" i="4"/>
  <c r="O918" i="4" s="1"/>
  <c r="L882" i="4"/>
  <c r="O882" i="4" s="1"/>
  <c r="N882" i="4" a="1"/>
  <c r="N882" i="4" s="1"/>
  <c r="K774" i="4"/>
  <c r="J774" i="4" a="1"/>
  <c r="J774" i="4" s="1"/>
  <c r="J726" i="4" a="1"/>
  <c r="J726" i="4" s="1"/>
  <c r="K726" i="4"/>
  <c r="K558" i="4"/>
  <c r="J558" i="4" a="1"/>
  <c r="J558" i="4" s="1"/>
  <c r="K534" i="4"/>
  <c r="J534" i="4" a="1"/>
  <c r="J534" i="4" s="1"/>
  <c r="K510" i="4"/>
  <c r="J510" i="4" a="1"/>
  <c r="J510" i="4" s="1"/>
  <c r="J486" i="4" a="1"/>
  <c r="J486" i="4" s="1"/>
  <c r="K486" i="4"/>
  <c r="K450" i="4"/>
  <c r="J450" i="4" a="1"/>
  <c r="J450" i="4" s="1"/>
  <c r="J306" i="4" a="1"/>
  <c r="J306" i="4" s="1"/>
  <c r="K306" i="4"/>
  <c r="K270" i="4"/>
  <c r="J270" i="4" a="1"/>
  <c r="J270" i="4" s="1"/>
  <c r="N246" i="4" a="1"/>
  <c r="N246" i="4" s="1"/>
  <c r="L246" i="4"/>
  <c r="O246" i="4" s="1"/>
  <c r="N222" i="4" a="1"/>
  <c r="N222" i="4" s="1"/>
  <c r="L222" i="4"/>
  <c r="O222" i="4" s="1"/>
  <c r="K138" i="4"/>
  <c r="J138" i="4" a="1"/>
  <c r="J138" i="4" s="1"/>
  <c r="N102" i="4" a="1"/>
  <c r="N102" i="4" s="1"/>
  <c r="L102" i="4"/>
  <c r="O102" i="4" s="1"/>
  <c r="K42" i="4"/>
  <c r="J42" i="4" a="1"/>
  <c r="J42" i="4" s="1"/>
  <c r="J107" i="4" a="1"/>
  <c r="J107" i="4" s="1"/>
  <c r="J23" i="4" a="1"/>
  <c r="J23" i="4" s="1"/>
  <c r="K959" i="4"/>
  <c r="N866" i="4" a="1"/>
  <c r="N866" i="4" s="1"/>
  <c r="L866" i="4"/>
  <c r="O866" i="4" s="1"/>
  <c r="K714" i="4"/>
  <c r="K797" i="4"/>
  <c r="J797" i="4" a="1"/>
  <c r="J797" i="4" s="1"/>
  <c r="N665" i="4" a="1"/>
  <c r="N665" i="4" s="1"/>
  <c r="L665" i="4"/>
  <c r="O665" i="4" s="1"/>
  <c r="N533" i="4" a="1"/>
  <c r="N533" i="4" s="1"/>
  <c r="L533" i="4"/>
  <c r="O533" i="4" s="1"/>
  <c r="K473" i="4"/>
  <c r="J473" i="4" a="1"/>
  <c r="J473" i="4" s="1"/>
  <c r="N401" i="4" a="1"/>
  <c r="N401" i="4" s="1"/>
  <c r="L401" i="4"/>
  <c r="O401" i="4" s="1"/>
  <c r="K389" i="4"/>
  <c r="J389" i="4" a="1"/>
  <c r="J389" i="4" s="1"/>
  <c r="N353" i="4" a="1"/>
  <c r="N353" i="4" s="1"/>
  <c r="L353" i="4"/>
  <c r="O353" i="4" s="1"/>
  <c r="N329" i="4" a="1"/>
  <c r="N329" i="4" s="1"/>
  <c r="L329" i="4"/>
  <c r="O329" i="4" s="1"/>
  <c r="N233" i="4" a="1"/>
  <c r="N233" i="4" s="1"/>
  <c r="L233" i="4"/>
  <c r="O233" i="4" s="1"/>
  <c r="K173" i="4"/>
  <c r="J173" i="4" a="1"/>
  <c r="J173" i="4" s="1"/>
  <c r="K137" i="4"/>
  <c r="J137" i="4" a="1"/>
  <c r="J137" i="4" s="1"/>
  <c r="N101" i="4" a="1"/>
  <c r="N101" i="4" s="1"/>
  <c r="L101" i="4"/>
  <c r="O101" i="4" s="1"/>
  <c r="K65" i="4"/>
  <c r="J65" i="4" a="1"/>
  <c r="J65" i="4" s="1"/>
  <c r="L17" i="4"/>
  <c r="O17" i="4" s="1"/>
  <c r="N17" i="4" a="1"/>
  <c r="N17" i="4" s="1"/>
  <c r="J401" i="4" a="1"/>
  <c r="J401" i="4" s="1"/>
  <c r="J377" i="4" a="1"/>
  <c r="J377" i="4" s="1"/>
  <c r="J341" i="4" a="1"/>
  <c r="J341" i="4" s="1"/>
  <c r="J318" i="4" a="1"/>
  <c r="J318" i="4" s="1"/>
  <c r="J78" i="4" a="1"/>
  <c r="J78" i="4" s="1"/>
  <c r="L688" i="4"/>
  <c r="O688" i="4" s="1"/>
  <c r="N688" i="4" a="1"/>
  <c r="N688" i="4" s="1"/>
  <c r="L448" i="4"/>
  <c r="O448" i="4" s="1"/>
  <c r="N448" i="4" a="1"/>
  <c r="N448" i="4" s="1"/>
  <c r="K390" i="4"/>
  <c r="L365" i="4"/>
  <c r="O365" i="4" s="1"/>
  <c r="J964" i="4" a="1"/>
  <c r="J964" i="4" s="1"/>
  <c r="K964" i="4"/>
  <c r="L940" i="4"/>
  <c r="O940" i="4" s="1"/>
  <c r="N940" i="4" a="1"/>
  <c r="N940" i="4" s="1"/>
  <c r="K916" i="4"/>
  <c r="J916" i="4" a="1"/>
  <c r="J916" i="4" s="1"/>
  <c r="K856" i="4"/>
  <c r="J856" i="4" a="1"/>
  <c r="J856" i="4" s="1"/>
  <c r="N760" i="4" a="1"/>
  <c r="N760" i="4" s="1"/>
  <c r="L760" i="4"/>
  <c r="O760" i="4" s="1"/>
  <c r="N724" i="4" a="1"/>
  <c r="N724" i="4" s="1"/>
  <c r="L724" i="4"/>
  <c r="O724" i="4" s="1"/>
  <c r="K676" i="4"/>
  <c r="J676" i="4" a="1"/>
  <c r="J676" i="4" s="1"/>
  <c r="L652" i="4"/>
  <c r="O652" i="4" s="1"/>
  <c r="N652" i="4" a="1"/>
  <c r="N652" i="4" s="1"/>
  <c r="L580" i="4"/>
  <c r="O580" i="4" s="1"/>
  <c r="N580" i="4" a="1"/>
  <c r="N580" i="4" s="1"/>
  <c r="K508" i="4"/>
  <c r="J508" i="4" a="1"/>
  <c r="J508" i="4" s="1"/>
  <c r="L460" i="4"/>
  <c r="O460" i="4" s="1"/>
  <c r="N460" i="4" a="1"/>
  <c r="N460" i="4" s="1"/>
  <c r="K412" i="4"/>
  <c r="J412" i="4" a="1"/>
  <c r="J412" i="4" s="1"/>
  <c r="K400" i="4"/>
  <c r="J400" i="4" a="1"/>
  <c r="J400" i="4" s="1"/>
  <c r="L352" i="4"/>
  <c r="O352" i="4" s="1"/>
  <c r="N352" i="4" a="1"/>
  <c r="N352" i="4" s="1"/>
  <c r="N316" i="4" a="1"/>
  <c r="N316" i="4" s="1"/>
  <c r="L316" i="4"/>
  <c r="O316" i="4" s="1"/>
  <c r="N280" i="4" a="1"/>
  <c r="N280" i="4" s="1"/>
  <c r="L280" i="4"/>
  <c r="O280" i="4" s="1"/>
  <c r="K268" i="4"/>
  <c r="J268" i="4" a="1"/>
  <c r="J268" i="4" s="1"/>
  <c r="L208" i="4"/>
  <c r="O208" i="4" s="1"/>
  <c r="N208" i="4" a="1"/>
  <c r="N208" i="4" s="1"/>
  <c r="K184" i="4"/>
  <c r="J184" i="4" a="1"/>
  <c r="J184" i="4" s="1"/>
  <c r="L136" i="4"/>
  <c r="O136" i="4" s="1"/>
  <c r="N136" i="4" a="1"/>
  <c r="N136" i="4" s="1"/>
  <c r="J930" i="4" a="1"/>
  <c r="J930" i="4" s="1"/>
  <c r="J839" i="4" a="1"/>
  <c r="J839" i="4" s="1"/>
  <c r="J443" i="4" a="1"/>
  <c r="J443" i="4" s="1"/>
  <c r="K1002" i="4"/>
  <c r="K886" i="4"/>
  <c r="N813" i="4" a="1"/>
  <c r="N813" i="4" s="1"/>
  <c r="L813" i="4"/>
  <c r="O813" i="4" s="1"/>
  <c r="K762" i="4"/>
  <c r="K294" i="4"/>
  <c r="K262" i="4"/>
  <c r="K198" i="4"/>
  <c r="L46" i="4"/>
  <c r="O46" i="4" s="1"/>
  <c r="J998" i="4" a="1"/>
  <c r="J998" i="4" s="1"/>
  <c r="K998" i="4"/>
  <c r="N937" i="4" a="1"/>
  <c r="N937" i="4" s="1"/>
  <c r="L937" i="4"/>
  <c r="O937" i="4" s="1"/>
  <c r="K913" i="4"/>
  <c r="J913" i="4" a="1"/>
  <c r="J913" i="4" s="1"/>
  <c r="L865" i="4"/>
  <c r="O865" i="4" s="1"/>
  <c r="N865" i="4" a="1"/>
  <c r="N865" i="4" s="1"/>
  <c r="L853" i="4"/>
  <c r="O853" i="4" s="1"/>
  <c r="N853" i="4" a="1"/>
  <c r="N853" i="4" s="1"/>
  <c r="N817" i="4" a="1"/>
  <c r="N817" i="4" s="1"/>
  <c r="L817" i="4"/>
  <c r="O817" i="4" s="1"/>
  <c r="J805" i="4" a="1"/>
  <c r="J805" i="4" s="1"/>
  <c r="K805" i="4"/>
  <c r="K781" i="4"/>
  <c r="J781" i="4" a="1"/>
  <c r="J781" i="4" s="1"/>
  <c r="K733" i="4"/>
  <c r="J733" i="4" a="1"/>
  <c r="J733" i="4" s="1"/>
  <c r="N709" i="4" a="1"/>
  <c r="N709" i="4" s="1"/>
  <c r="L709" i="4"/>
  <c r="O709" i="4" s="1"/>
  <c r="J685" i="4" a="1"/>
  <c r="J685" i="4" s="1"/>
  <c r="K685" i="4"/>
  <c r="N661" i="4" a="1"/>
  <c r="N661" i="4" s="1"/>
  <c r="L661" i="4"/>
  <c r="O661" i="4" s="1"/>
  <c r="K613" i="4"/>
  <c r="J613" i="4" a="1"/>
  <c r="J613" i="4" s="1"/>
  <c r="N601" i="4" a="1"/>
  <c r="N601" i="4" s="1"/>
  <c r="L601" i="4"/>
  <c r="O601" i="4" s="1"/>
  <c r="N589" i="4" a="1"/>
  <c r="N589" i="4" s="1"/>
  <c r="L589" i="4"/>
  <c r="O589" i="4" s="1"/>
  <c r="K577" i="4"/>
  <c r="J577" i="4" a="1"/>
  <c r="J577" i="4" s="1"/>
  <c r="J493" i="4" a="1"/>
  <c r="J493" i="4" s="1"/>
  <c r="K493" i="4"/>
  <c r="N469" i="4" a="1"/>
  <c r="N469" i="4" s="1"/>
  <c r="L469" i="4"/>
  <c r="O469" i="4" s="1"/>
  <c r="N385" i="4" a="1"/>
  <c r="N385" i="4" s="1"/>
  <c r="L385" i="4"/>
  <c r="O385" i="4" s="1"/>
  <c r="K313" i="4"/>
  <c r="J313" i="4" a="1"/>
  <c r="J313" i="4" s="1"/>
  <c r="K265" i="4"/>
  <c r="J265" i="4" a="1"/>
  <c r="J265" i="4" s="1"/>
  <c r="N241" i="4" a="1"/>
  <c r="N241" i="4" s="1"/>
  <c r="L241" i="4"/>
  <c r="O241" i="4" s="1"/>
  <c r="J217" i="4" a="1"/>
  <c r="J217" i="4" s="1"/>
  <c r="K217" i="4"/>
  <c r="N205" i="4" a="1"/>
  <c r="N205" i="4" s="1"/>
  <c r="L205" i="4"/>
  <c r="O205" i="4" s="1"/>
  <c r="K193" i="4"/>
  <c r="J193" i="4" a="1"/>
  <c r="J193" i="4" s="1"/>
  <c r="J157" i="4" a="1"/>
  <c r="J157" i="4" s="1"/>
  <c r="K157" i="4"/>
  <c r="N133" i="4" a="1"/>
  <c r="N133" i="4" s="1"/>
  <c r="L133" i="4"/>
  <c r="O133" i="4" s="1"/>
  <c r="J121" i="4" a="1"/>
  <c r="J121" i="4" s="1"/>
  <c r="K121" i="4"/>
  <c r="K97" i="4"/>
  <c r="J97" i="4" a="1"/>
  <c r="J97" i="4" s="1"/>
  <c r="N61" i="4" a="1"/>
  <c r="N61" i="4" s="1"/>
  <c r="L61" i="4"/>
  <c r="O61" i="4" s="1"/>
  <c r="K49" i="4"/>
  <c r="J49" i="4" a="1"/>
  <c r="J49" i="4" s="1"/>
  <c r="N13" i="4" a="1"/>
  <c r="N13" i="4" s="1"/>
  <c r="L13" i="4"/>
  <c r="O13" i="4" s="1"/>
  <c r="J970" i="4" a="1"/>
  <c r="J970" i="4" s="1"/>
  <c r="J937" i="4" a="1"/>
  <c r="J937" i="4" s="1"/>
  <c r="J926" i="4" a="1"/>
  <c r="J926" i="4" s="1"/>
  <c r="J904" i="4" a="1"/>
  <c r="J904" i="4" s="1"/>
  <c r="J882" i="4" a="1"/>
  <c r="J882" i="4" s="1"/>
  <c r="J785" i="4" a="1"/>
  <c r="J785" i="4" s="1"/>
  <c r="J674" i="4" a="1"/>
  <c r="J674" i="4" s="1"/>
  <c r="J652" i="4" a="1"/>
  <c r="J652" i="4" s="1"/>
  <c r="J610" i="4" a="1"/>
  <c r="J610" i="4" s="1"/>
  <c r="J578" i="4" a="1"/>
  <c r="J578" i="4" s="1"/>
  <c r="J533" i="4" a="1"/>
  <c r="J533" i="4" s="1"/>
  <c r="J467" i="4" a="1"/>
  <c r="J467" i="4" s="1"/>
  <c r="J398" i="4" a="1"/>
  <c r="J398" i="4" s="1"/>
  <c r="J385" i="4" a="1"/>
  <c r="J385" i="4" s="1"/>
  <c r="J371" i="4" a="1"/>
  <c r="J371" i="4" s="1"/>
  <c r="J302" i="4" a="1"/>
  <c r="J302" i="4" s="1"/>
  <c r="J280" i="4" a="1"/>
  <c r="J280" i="4" s="1"/>
  <c r="J195" i="4" a="1"/>
  <c r="J195" i="4" s="1"/>
  <c r="J102" i="4" a="1"/>
  <c r="J102" i="4" s="1"/>
  <c r="J46" i="4" a="1"/>
  <c r="J46" i="4" s="1"/>
  <c r="K949" i="4"/>
  <c r="K834" i="4"/>
  <c r="K782" i="4"/>
  <c r="N753" i="4" a="1"/>
  <c r="N753" i="4" s="1"/>
  <c r="L753" i="4"/>
  <c r="O753" i="4" s="1"/>
  <c r="K627" i="4"/>
  <c r="K494" i="4"/>
  <c r="K410" i="4"/>
  <c r="K378" i="4"/>
  <c r="K346" i="4"/>
  <c r="K286" i="4"/>
  <c r="K226" i="4"/>
  <c r="K183" i="4"/>
  <c r="K150" i="4"/>
  <c r="K73" i="4"/>
  <c r="L678" i="4"/>
  <c r="O678" i="4" s="1"/>
  <c r="L491" i="4"/>
  <c r="O491" i="4" s="1"/>
  <c r="L407" i="4"/>
  <c r="O407" i="4" s="1"/>
  <c r="N745" i="4" a="1"/>
  <c r="N745" i="4" s="1"/>
  <c r="N331" i="4" a="1"/>
  <c r="N331" i="4" s="1"/>
  <c r="N259" i="4" a="1"/>
  <c r="N259" i="4" s="1"/>
  <c r="L259" i="4"/>
  <c r="O259" i="4" s="1"/>
  <c r="L799" i="4"/>
  <c r="O799" i="4" s="1"/>
  <c r="N8" i="4" a="1"/>
  <c r="N8" i="4" s="1"/>
  <c r="L8" i="4"/>
  <c r="O8" i="4" s="1"/>
  <c r="N727" i="4" a="1"/>
  <c r="N727" i="4" s="1"/>
  <c r="L727" i="4"/>
  <c r="O727" i="4" s="1"/>
  <c r="N453" i="4" a="1"/>
  <c r="N453" i="4" s="1"/>
  <c r="L453" i="4"/>
  <c r="O453" i="4" s="1"/>
  <c r="J213" i="4" a="1"/>
  <c r="J213" i="4" s="1"/>
  <c r="K883" i="4"/>
  <c r="K811" i="4"/>
  <c r="K381" i="4"/>
  <c r="K261" i="4"/>
  <c r="L177" i="4"/>
  <c r="O177" i="4" s="1"/>
  <c r="N549" i="4" a="1"/>
  <c r="N549" i="4" s="1"/>
  <c r="L549" i="4"/>
  <c r="O549" i="4" s="1"/>
  <c r="N429" i="4" a="1"/>
  <c r="N429" i="4" s="1"/>
  <c r="L429" i="4"/>
  <c r="O429" i="4" s="1"/>
  <c r="N357" i="4" a="1"/>
  <c r="N357" i="4" s="1"/>
  <c r="L357" i="4"/>
  <c r="O357" i="4" s="1"/>
  <c r="N117" i="4" a="1"/>
  <c r="N117" i="4" s="1"/>
  <c r="L117" i="4"/>
  <c r="O117" i="4" s="1"/>
  <c r="N33" i="4" a="1"/>
  <c r="N33" i="4" s="1"/>
  <c r="L33" i="4"/>
  <c r="O33" i="4" s="1"/>
  <c r="K955" i="4"/>
  <c r="K847" i="4"/>
  <c r="L427" i="4"/>
  <c r="O427" i="4" s="1"/>
  <c r="N523" i="4" a="1"/>
  <c r="N523" i="4" s="1"/>
  <c r="L523" i="4"/>
  <c r="O523" i="4" s="1"/>
  <c r="L343" i="4"/>
  <c r="O343" i="4" s="1"/>
  <c r="N343" i="4" a="1"/>
  <c r="N343" i="4" s="1"/>
  <c r="J549" i="4" a="1"/>
  <c r="J549" i="4" s="1"/>
  <c r="J535" i="4" a="1"/>
  <c r="J535" i="4" s="1"/>
  <c r="J439" i="4" a="1"/>
  <c r="J439" i="4" s="1"/>
  <c r="J357" i="4" a="1"/>
  <c r="J357" i="4" s="1"/>
  <c r="J343" i="4" a="1"/>
  <c r="J343" i="4" s="1"/>
  <c r="J297" i="4" a="1"/>
  <c r="J297" i="4" s="1"/>
  <c r="J283" i="4" a="1"/>
  <c r="J283" i="4" s="1"/>
  <c r="J117" i="4" a="1"/>
  <c r="J117" i="4" s="1"/>
  <c r="L297" i="4"/>
  <c r="O297" i="4" s="1"/>
  <c r="L213" i="4"/>
  <c r="O213" i="4" s="1"/>
  <c r="N592" i="4" l="1" a="1"/>
  <c r="N592" i="4" s="1"/>
  <c r="N829" i="4" a="1"/>
  <c r="N829" i="4" s="1"/>
  <c r="L487" i="4"/>
  <c r="O487" i="4" s="1"/>
  <c r="L189" i="4"/>
  <c r="O189" i="4" s="1"/>
  <c r="L231" i="4"/>
  <c r="O231" i="4" s="1"/>
  <c r="N256" i="4" a="1"/>
  <c r="N256" i="4" s="1"/>
  <c r="L658" i="4"/>
  <c r="O658" i="4" s="1"/>
  <c r="L207" i="4"/>
  <c r="O207" i="4" s="1"/>
  <c r="L15" i="4"/>
  <c r="O15" i="4" s="1"/>
  <c r="L301" i="4"/>
  <c r="O301" i="4" s="1"/>
  <c r="N837" i="4" a="1"/>
  <c r="N837" i="4" s="1"/>
  <c r="L555" i="4"/>
  <c r="O555" i="4" s="1"/>
  <c r="N532" i="4" a="1"/>
  <c r="N532" i="4" s="1"/>
  <c r="L425" i="4"/>
  <c r="O425" i="4" s="1"/>
  <c r="N957" i="4" a="1"/>
  <c r="N957" i="4" s="1"/>
  <c r="L363" i="4"/>
  <c r="O363" i="4" s="1"/>
  <c r="L426" i="4"/>
  <c r="O426" i="4" s="1"/>
  <c r="L145" i="4"/>
  <c r="O145" i="4" s="1"/>
  <c r="N278" i="4" a="1"/>
  <c r="N278" i="4" s="1"/>
  <c r="L87" i="4"/>
  <c r="O87" i="4" s="1"/>
  <c r="L289" i="4"/>
  <c r="O289" i="4" s="1"/>
  <c r="N830" i="4" a="1"/>
  <c r="N830" i="4" s="1"/>
  <c r="N766" i="4" a="1"/>
  <c r="N766" i="4" s="1"/>
  <c r="N436" i="4" a="1"/>
  <c r="N436" i="4" s="1"/>
  <c r="N64" i="4" a="1"/>
  <c r="N64" i="4" s="1"/>
  <c r="N987" i="4" a="1"/>
  <c r="N987" i="4" s="1"/>
  <c r="N373" i="4" a="1"/>
  <c r="N373" i="4" s="1"/>
  <c r="N773" i="4" a="1"/>
  <c r="N773" i="4" s="1"/>
  <c r="L68" i="4"/>
  <c r="O68" i="4" s="1"/>
  <c r="L943" i="4"/>
  <c r="O943" i="4" s="1"/>
  <c r="D7" i="5"/>
  <c r="L105" i="4"/>
  <c r="O105" i="4" s="1"/>
  <c r="L27" i="4"/>
  <c r="O27" i="4" s="1"/>
  <c r="L403" i="4"/>
  <c r="O403" i="4" s="1"/>
  <c r="L643" i="4"/>
  <c r="O643" i="4" s="1"/>
  <c r="L715" i="4"/>
  <c r="O715" i="4" s="1"/>
  <c r="L361" i="4"/>
  <c r="O361" i="4" s="1"/>
  <c r="L502" i="4"/>
  <c r="O502" i="4" s="1"/>
  <c r="N673" i="4" a="1"/>
  <c r="N673" i="4" s="1"/>
  <c r="D5" i="5"/>
  <c r="L163" i="4"/>
  <c r="O163" i="4" s="1"/>
  <c r="D6" i="5"/>
  <c r="L303" i="4"/>
  <c r="O303" i="4" s="1"/>
  <c r="N690" i="4" a="1"/>
  <c r="N690" i="4" s="1"/>
  <c r="L585" i="4"/>
  <c r="O585" i="4" s="1"/>
  <c r="L729" i="4"/>
  <c r="O729" i="4" s="1"/>
  <c r="L622" i="4"/>
  <c r="O622" i="4" s="1"/>
  <c r="L693" i="4"/>
  <c r="O693" i="4" s="1"/>
  <c r="N794" i="4" a="1"/>
  <c r="N794" i="4" s="1"/>
  <c r="L225" i="4"/>
  <c r="O225" i="4" s="1"/>
  <c r="L393" i="4"/>
  <c r="O393" i="4" s="1"/>
  <c r="L298" i="4"/>
  <c r="O298" i="4" s="1"/>
  <c r="N848" i="4" a="1"/>
  <c r="N848" i="4" s="1"/>
  <c r="L220" i="4"/>
  <c r="O220" i="4" s="1"/>
  <c r="N531" i="4" a="1"/>
  <c r="N531" i="4" s="1"/>
  <c r="N655" i="4" a="1"/>
  <c r="N655" i="4" s="1"/>
  <c r="N778" i="4" a="1"/>
  <c r="N778" i="4" s="1"/>
  <c r="N518" i="4" a="1"/>
  <c r="N518" i="4" s="1"/>
  <c r="L517" i="4"/>
  <c r="O517" i="4" s="1"/>
  <c r="L38" i="4"/>
  <c r="O38" i="4" s="1"/>
  <c r="L235" i="4"/>
  <c r="O235" i="4" s="1"/>
  <c r="N135" i="4" a="1"/>
  <c r="N135" i="4" s="1"/>
  <c r="L309" i="4"/>
  <c r="O309" i="4" s="1"/>
  <c r="L725" i="4"/>
  <c r="O725" i="4" s="1"/>
  <c r="N435" i="4" a="1"/>
  <c r="N435" i="4" s="1"/>
  <c r="L877" i="4"/>
  <c r="O877" i="4" s="1"/>
  <c r="L253" i="4"/>
  <c r="O253" i="4" s="1"/>
  <c r="L124" i="4"/>
  <c r="O124" i="4" s="1"/>
  <c r="L421" i="4"/>
  <c r="O421" i="4" s="1"/>
  <c r="L187" i="4"/>
  <c r="O187" i="4" s="1"/>
  <c r="L734" i="4"/>
  <c r="O734" i="4" s="1"/>
  <c r="L769" i="4"/>
  <c r="O769" i="4" s="1"/>
  <c r="N739" i="4" a="1"/>
  <c r="N739" i="4" s="1"/>
  <c r="L602" i="4"/>
  <c r="O602" i="4" s="1"/>
  <c r="L271" i="4"/>
  <c r="O271" i="4" s="1"/>
  <c r="N379" i="4" a="1"/>
  <c r="N379" i="4" s="1"/>
  <c r="L914" i="4"/>
  <c r="O914" i="4" s="1"/>
  <c r="L595" i="4"/>
  <c r="O595" i="4" s="1"/>
  <c r="L489" i="4"/>
  <c r="O489" i="4" s="1"/>
  <c r="L878" i="4"/>
  <c r="O878" i="4" s="1"/>
  <c r="L91" i="4"/>
  <c r="O91" i="4" s="1"/>
  <c r="L25" i="4"/>
  <c r="O25" i="4" s="1"/>
  <c r="L971" i="4"/>
  <c r="O971" i="4" s="1"/>
  <c r="L165" i="4"/>
  <c r="O165" i="4" s="1"/>
  <c r="N79" i="4" a="1"/>
  <c r="N79" i="4" s="1"/>
  <c r="N952" i="4" a="1"/>
  <c r="N952" i="4" s="1"/>
  <c r="N699" i="4" a="1"/>
  <c r="N699" i="4" s="1"/>
  <c r="L721" i="4"/>
  <c r="O721" i="4" s="1"/>
  <c r="N19" i="4" a="1"/>
  <c r="N19" i="4" s="1"/>
  <c r="N254" i="4" a="1"/>
  <c r="N254" i="4" s="1"/>
  <c r="L273" i="4"/>
  <c r="O273" i="4" s="1"/>
  <c r="L861" i="4"/>
  <c r="O861" i="4" s="1"/>
  <c r="L538" i="4"/>
  <c r="O538" i="4" s="1"/>
  <c r="N376" i="4" a="1"/>
  <c r="N376" i="4" s="1"/>
  <c r="L689" i="4"/>
  <c r="O689" i="4" s="1"/>
  <c r="L103" i="4"/>
  <c r="O103" i="4" s="1"/>
  <c r="L666" i="4"/>
  <c r="O666" i="4" s="1"/>
  <c r="L539" i="4"/>
  <c r="O539" i="4" s="1"/>
  <c r="L985" i="4"/>
  <c r="O985" i="4" s="1"/>
  <c r="N901" i="4" a="1"/>
  <c r="N901" i="4" s="1"/>
  <c r="N37" i="4" a="1"/>
  <c r="N37" i="4" s="1"/>
  <c r="L446" i="4"/>
  <c r="O446" i="4" s="1"/>
  <c r="L657" i="4"/>
  <c r="O657" i="4" s="1"/>
  <c r="N974" i="4" a="1"/>
  <c r="N974" i="4" s="1"/>
  <c r="N148" i="4" a="1"/>
  <c r="N148" i="4" s="1"/>
  <c r="L873" i="4"/>
  <c r="O873" i="4" s="1"/>
  <c r="L562" i="4"/>
  <c r="O562" i="4" s="1"/>
  <c r="N275" i="4" a="1"/>
  <c r="N275" i="4" s="1"/>
  <c r="N141" i="4" a="1"/>
  <c r="N141" i="4" s="1"/>
  <c r="L662" i="4"/>
  <c r="O662" i="4" s="1"/>
  <c r="N463" i="4" a="1"/>
  <c r="N463" i="4" s="1"/>
  <c r="N825" i="4" a="1"/>
  <c r="N825" i="4" s="1"/>
  <c r="L819" i="4"/>
  <c r="O819" i="4" s="1"/>
  <c r="N244" i="4" a="1"/>
  <c r="N244" i="4" s="1"/>
  <c r="L247" i="4"/>
  <c r="O247" i="4" s="1"/>
  <c r="L229" i="4"/>
  <c r="O229" i="4" s="1"/>
  <c r="L470" i="4"/>
  <c r="O470" i="4" s="1"/>
  <c r="L282" i="4"/>
  <c r="O282" i="4" s="1"/>
  <c r="L583" i="4"/>
  <c r="O583" i="4" s="1"/>
  <c r="L859" i="4"/>
  <c r="O859" i="4" s="1"/>
  <c r="N917" i="4" a="1"/>
  <c r="N917" i="4" s="1"/>
  <c r="N62" i="4" a="1"/>
  <c r="N62" i="4" s="1"/>
  <c r="L62" i="4"/>
  <c r="O62" i="4" s="1"/>
  <c r="L285" i="4"/>
  <c r="O285" i="4" s="1"/>
  <c r="L509" i="4"/>
  <c r="O509" i="4" s="1"/>
  <c r="L537" i="4"/>
  <c r="O537" i="4" s="1"/>
  <c r="L742" i="4"/>
  <c r="O742" i="4" s="1"/>
  <c r="L572" i="4"/>
  <c r="O572" i="4" s="1"/>
  <c r="L45" i="4"/>
  <c r="O45" i="4" s="1"/>
  <c r="N52" i="4" a="1"/>
  <c r="N52" i="4" s="1"/>
  <c r="L798" i="4"/>
  <c r="O798" i="4" s="1"/>
  <c r="L93" i="4"/>
  <c r="O93" i="4" s="1"/>
  <c r="L445" i="4"/>
  <c r="O445" i="4" s="1"/>
  <c r="N889" i="4" a="1"/>
  <c r="N889" i="4" s="1"/>
  <c r="L907" i="4"/>
  <c r="O907" i="4" s="1"/>
  <c r="N938" i="4" a="1"/>
  <c r="N938" i="4" s="1"/>
  <c r="N483" i="4" a="1"/>
  <c r="N483" i="4" s="1"/>
  <c r="N28" i="4" a="1"/>
  <c r="N28" i="4" s="1"/>
  <c r="L893" i="4"/>
  <c r="O893" i="4" s="1"/>
  <c r="L98" i="4"/>
  <c r="O98" i="4" s="1"/>
  <c r="N626" i="4" a="1"/>
  <c r="N626" i="4" s="1"/>
  <c r="L626" i="4"/>
  <c r="O626" i="4" s="1"/>
  <c r="N573" i="4" a="1"/>
  <c r="N573" i="4" s="1"/>
  <c r="L573" i="4"/>
  <c r="O573" i="4" s="1"/>
  <c r="N465" i="4" a="1"/>
  <c r="N465" i="4" s="1"/>
  <c r="N915" i="4" a="1"/>
  <c r="N915" i="4" s="1"/>
  <c r="L846" i="4"/>
  <c r="O846" i="4" s="1"/>
  <c r="N687" i="4" a="1"/>
  <c r="N687" i="4" s="1"/>
  <c r="L687" i="4"/>
  <c r="O687" i="4" s="1"/>
  <c r="L501" i="4"/>
  <c r="O501" i="4" s="1"/>
  <c r="N525" i="4" a="1"/>
  <c r="N525" i="4" s="1"/>
  <c r="L169" i="4"/>
  <c r="O169" i="4" s="1"/>
  <c r="N789" i="4" a="1"/>
  <c r="N789" i="4" s="1"/>
  <c r="L277" i="4"/>
  <c r="O277" i="4" s="1"/>
  <c r="L722" i="4"/>
  <c r="O722" i="4" s="1"/>
  <c r="N22" i="4" a="1"/>
  <c r="N22" i="4" s="1"/>
  <c r="N466" i="4" a="1"/>
  <c r="N466" i="4" s="1"/>
  <c r="L67" i="4"/>
  <c r="O67" i="4" s="1"/>
  <c r="N898" i="4" a="1"/>
  <c r="N898" i="4" s="1"/>
  <c r="N890" i="4" a="1"/>
  <c r="N890" i="4" s="1"/>
  <c r="L890" i="4"/>
  <c r="O890" i="4" s="1"/>
  <c r="N529" i="4" a="1"/>
  <c r="N529" i="4" s="1"/>
  <c r="L529" i="4"/>
  <c r="O529" i="4" s="1"/>
  <c r="L993" i="4"/>
  <c r="O993" i="4" s="1"/>
  <c r="N7" i="4" a="1"/>
  <c r="N7" i="4" s="1"/>
  <c r="L793" i="4"/>
  <c r="O793" i="4" s="1"/>
  <c r="N931" i="4" a="1"/>
  <c r="N931" i="4" s="1"/>
  <c r="N53" i="4" a="1"/>
  <c r="N53" i="4" s="1"/>
  <c r="L358" i="4"/>
  <c r="O358" i="4" s="1"/>
  <c r="L590" i="4"/>
  <c r="O590" i="4" s="1"/>
  <c r="L565" i="4"/>
  <c r="O565" i="4" s="1"/>
  <c r="L645" i="4"/>
  <c r="O645" i="4" s="1"/>
  <c r="L86" i="4"/>
  <c r="O86" i="4" s="1"/>
  <c r="L705" i="4"/>
  <c r="O705" i="4" s="1"/>
  <c r="L542" i="4"/>
  <c r="O542" i="4" s="1"/>
  <c r="L424" i="4"/>
  <c r="O424" i="4" s="1"/>
  <c r="L618" i="4"/>
  <c r="O618" i="4" s="1"/>
  <c r="L777" i="4"/>
  <c r="O777" i="4" s="1"/>
  <c r="L279" i="4"/>
  <c r="O279" i="4" s="1"/>
  <c r="L803" i="4"/>
  <c r="O803" i="4" s="1"/>
  <c r="L675" i="4"/>
  <c r="O675" i="4" s="1"/>
  <c r="L694" i="4"/>
  <c r="O694" i="4" s="1"/>
  <c r="L541" i="4"/>
  <c r="O541" i="4" s="1"/>
  <c r="L686" i="4"/>
  <c r="O686" i="4" s="1"/>
  <c r="N686" i="4" a="1"/>
  <c r="N686" i="4" s="1"/>
  <c r="L891" i="4"/>
  <c r="O891" i="4" s="1"/>
  <c r="L981" i="4"/>
  <c r="O981" i="4" s="1"/>
  <c r="N295" i="4" a="1"/>
  <c r="N295" i="4" s="1"/>
  <c r="L391" i="4"/>
  <c r="O391" i="4" s="1"/>
  <c r="L474" i="4"/>
  <c r="O474" i="4" s="1"/>
  <c r="N669" i="4" a="1"/>
  <c r="N669" i="4" s="1"/>
  <c r="L106" i="4"/>
  <c r="O106" i="4" s="1"/>
  <c r="L181" i="4"/>
  <c r="O181" i="4" s="1"/>
  <c r="N43" i="4" a="1"/>
  <c r="N43" i="4" s="1"/>
  <c r="N85" i="4" a="1"/>
  <c r="N85" i="4" s="1"/>
  <c r="N3" i="4" a="1"/>
  <c r="N3" i="4" s="1"/>
  <c r="L961" i="4"/>
  <c r="O961" i="4" s="1"/>
  <c r="N933" i="4" a="1"/>
  <c r="N933" i="4" s="1"/>
  <c r="L841" i="4"/>
  <c r="O841" i="4" s="1"/>
  <c r="L919" i="4"/>
  <c r="O919" i="4" s="1"/>
  <c r="L433" i="4"/>
  <c r="O433" i="4" s="1"/>
  <c r="L218" i="4"/>
  <c r="O218" i="4" s="1"/>
  <c r="L945" i="4"/>
  <c r="O945" i="4" s="1"/>
  <c r="L182" i="4"/>
  <c r="O182" i="4" s="1"/>
  <c r="N818" i="4" a="1"/>
  <c r="N818" i="4" s="1"/>
  <c r="N9" i="4" a="1"/>
  <c r="N9" i="4" s="1"/>
  <c r="L9" i="4"/>
  <c r="O9" i="4" s="1"/>
  <c r="N153" i="4" a="1"/>
  <c r="N153" i="4" s="1"/>
  <c r="L153" i="4"/>
  <c r="O153" i="4" s="1"/>
  <c r="N355" i="4" a="1"/>
  <c r="N355" i="4" s="1"/>
  <c r="L355" i="4"/>
  <c r="O355" i="4" s="1"/>
  <c r="N321" i="4" a="1"/>
  <c r="N321" i="4" s="1"/>
  <c r="L321" i="4"/>
  <c r="O321" i="4" s="1"/>
  <c r="L178" i="4"/>
  <c r="O178" i="4" s="1"/>
  <c r="N415" i="4" a="1"/>
  <c r="N415" i="4" s="1"/>
  <c r="L415" i="4"/>
  <c r="O415" i="4" s="1"/>
  <c r="N249" i="4" a="1"/>
  <c r="N249" i="4" s="1"/>
  <c r="L249" i="4"/>
  <c r="O249" i="4" s="1"/>
  <c r="L991" i="4"/>
  <c r="O991" i="4" s="1"/>
  <c r="N991" i="4" a="1"/>
  <c r="N991" i="4" s="1"/>
  <c r="L69" i="4"/>
  <c r="O69" i="4" s="1"/>
  <c r="N69" i="4" a="1"/>
  <c r="N69" i="4" s="1"/>
  <c r="L201" i="4"/>
  <c r="O201" i="4" s="1"/>
  <c r="N201" i="4" a="1"/>
  <c r="N201" i="4" s="1"/>
  <c r="N597" i="4" a="1"/>
  <c r="N597" i="4" s="1"/>
  <c r="L597" i="4"/>
  <c r="O597" i="4" s="1"/>
  <c r="N741" i="4" a="1"/>
  <c r="N741" i="4" s="1"/>
  <c r="L741" i="4"/>
  <c r="O741" i="4" s="1"/>
  <c r="N387" i="4" a="1"/>
  <c r="N387" i="4" s="1"/>
  <c r="N609" i="4" a="1"/>
  <c r="N609" i="4" s="1"/>
  <c r="L609" i="4"/>
  <c r="O609" i="4" s="1"/>
  <c r="L447" i="4"/>
  <c r="O447" i="4" s="1"/>
  <c r="N477" i="4" a="1"/>
  <c r="N477" i="4" s="1"/>
  <c r="L477" i="4"/>
  <c r="O477" i="4" s="1"/>
  <c r="N513" i="4" a="1"/>
  <c r="N513" i="4" s="1"/>
  <c r="L513" i="4"/>
  <c r="O513" i="4" s="1"/>
  <c r="L418" i="4"/>
  <c r="O418" i="4" s="1"/>
  <c r="N544" i="4" a="1"/>
  <c r="N544" i="4" s="1"/>
  <c r="L822" i="4"/>
  <c r="O822" i="4" s="1"/>
  <c r="L667" i="4"/>
  <c r="O667" i="4" s="1"/>
  <c r="N667" i="4" a="1"/>
  <c r="N667" i="4" s="1"/>
  <c r="L691" i="4"/>
  <c r="O691" i="4" s="1"/>
  <c r="L870" i="4"/>
  <c r="O870" i="4" s="1"/>
  <c r="L668" i="4"/>
  <c r="O668" i="4" s="1"/>
  <c r="L787" i="4"/>
  <c r="O787" i="4" s="1"/>
  <c r="N787" i="4" a="1"/>
  <c r="N787" i="4" s="1"/>
  <c r="L633" i="4"/>
  <c r="O633" i="4" s="1"/>
  <c r="N633" i="4" a="1"/>
  <c r="N633" i="4" s="1"/>
  <c r="L267" i="4"/>
  <c r="O267" i="4" s="1"/>
  <c r="N634" i="4" a="1"/>
  <c r="N634" i="4" s="1"/>
  <c r="L607" i="4"/>
  <c r="O607" i="4" s="1"/>
  <c r="L454" i="4"/>
  <c r="O454" i="4" s="1"/>
  <c r="N897" i="4" a="1"/>
  <c r="N897" i="4" s="1"/>
  <c r="N716" i="4" a="1"/>
  <c r="N716" i="4" s="1"/>
  <c r="N129" i="4" a="1"/>
  <c r="N129" i="4" s="1"/>
  <c r="L325" i="4"/>
  <c r="O325" i="4" s="1"/>
  <c r="N979" i="4" a="1"/>
  <c r="N979" i="4" s="1"/>
  <c r="L637" i="4"/>
  <c r="O637" i="4" s="1"/>
  <c r="L478" i="4"/>
  <c r="O478" i="4" s="1"/>
  <c r="L921" i="4"/>
  <c r="O921" i="4" s="1"/>
  <c r="L543" i="4"/>
  <c r="O543" i="4" s="1"/>
  <c r="L251" i="4"/>
  <c r="O251" i="4" s="1"/>
  <c r="L419" i="4"/>
  <c r="O419" i="4" s="1"/>
  <c r="N995" i="4" a="1"/>
  <c r="N995" i="4" s="1"/>
  <c r="L958" i="4"/>
  <c r="O958" i="4" s="1"/>
  <c r="L962" i="4"/>
  <c r="O962" i="4" s="1"/>
  <c r="L909" i="4"/>
  <c r="O909" i="4" s="1"/>
  <c r="N909" i="4" a="1"/>
  <c r="N909" i="4" s="1"/>
  <c r="L274" i="4"/>
  <c r="O274" i="4" s="1"/>
  <c r="L139" i="4"/>
  <c r="O139" i="4" s="1"/>
  <c r="L874" i="4"/>
  <c r="O874" i="4" s="1"/>
  <c r="N922" i="4" a="1"/>
  <c r="N922" i="4" s="1"/>
  <c r="N199" i="4" a="1"/>
  <c r="N199" i="4" s="1"/>
  <c r="L199" i="4"/>
  <c r="O199" i="4" s="1"/>
  <c r="L441" i="4"/>
  <c r="O441" i="4" s="1"/>
  <c r="L202" i="4"/>
  <c r="O202" i="4" s="1"/>
  <c r="L319" i="4"/>
  <c r="O319" i="4" s="1"/>
  <c r="L559" i="4"/>
  <c r="O559" i="4" s="1"/>
  <c r="L50" i="4"/>
  <c r="O50" i="4" s="1"/>
  <c r="L765" i="4"/>
  <c r="O765" i="4" s="1"/>
  <c r="L440" i="4"/>
  <c r="O440" i="4" s="1"/>
  <c r="N752" i="4" a="1"/>
  <c r="N752" i="4" s="1"/>
  <c r="N895" i="4" a="1"/>
  <c r="N895" i="4" s="1"/>
  <c r="L895" i="4"/>
  <c r="O895" i="4" s="1"/>
  <c r="N21" i="4" a="1"/>
  <c r="N21" i="4" s="1"/>
  <c r="L21" i="4"/>
  <c r="O21" i="4" s="1"/>
  <c r="N81" i="4" a="1"/>
  <c r="N81" i="4" s="1"/>
  <c r="L81" i="4"/>
  <c r="O81" i="4" s="1"/>
  <c r="N417" i="4" a="1"/>
  <c r="N417" i="4" s="1"/>
  <c r="L417" i="4"/>
  <c r="O417" i="4" s="1"/>
  <c r="N394" i="4" a="1"/>
  <c r="N394" i="4" s="1"/>
  <c r="L394" i="4"/>
  <c r="O394" i="4" s="1"/>
  <c r="L802" i="4"/>
  <c r="O802" i="4" s="1"/>
  <c r="N315" i="4" a="1"/>
  <c r="N315" i="4" s="1"/>
  <c r="L947" i="4"/>
  <c r="O947" i="4" s="1"/>
  <c r="L122" i="4"/>
  <c r="O122" i="4" s="1"/>
  <c r="N763" i="4" a="1"/>
  <c r="N763" i="4" s="1"/>
  <c r="L763" i="4"/>
  <c r="O763" i="4" s="1"/>
  <c r="L10" i="4"/>
  <c r="O10" i="4" s="1"/>
  <c r="L820" i="4"/>
  <c r="O820" i="4" s="1"/>
  <c r="N820" i="4" a="1"/>
  <c r="N820" i="4" s="1"/>
  <c r="N885" i="4" a="1"/>
  <c r="N885" i="4" s="1"/>
  <c r="L885" i="4"/>
  <c r="O885" i="4" s="1"/>
  <c r="N561" i="4" a="1"/>
  <c r="N561" i="4" s="1"/>
  <c r="L561" i="4"/>
  <c r="O561" i="4" s="1"/>
  <c r="N621" i="4" a="1"/>
  <c r="N621" i="4" s="1"/>
  <c r="L621" i="4"/>
  <c r="O621" i="4" s="1"/>
  <c r="L238" i="4"/>
  <c r="O238" i="4" s="1"/>
  <c r="L211" i="4"/>
  <c r="O211" i="4" s="1"/>
  <c r="N823" i="4" a="1"/>
  <c r="N823" i="4" s="1"/>
  <c r="N849" i="4" a="1"/>
  <c r="N849" i="4" s="1"/>
  <c r="L849" i="4"/>
  <c r="O849" i="4" s="1"/>
  <c r="L717" i="4"/>
  <c r="O717" i="4" s="1"/>
  <c r="N717" i="4" a="1"/>
  <c r="N717" i="4" s="1"/>
  <c r="N782" i="4" a="1"/>
  <c r="N782" i="4" s="1"/>
  <c r="L782" i="4"/>
  <c r="O782" i="4" s="1"/>
  <c r="N964" i="4" a="1"/>
  <c r="N964" i="4" s="1"/>
  <c r="L964" i="4"/>
  <c r="O964" i="4" s="1"/>
  <c r="N142" i="4" a="1"/>
  <c r="N142" i="4" s="1"/>
  <c r="L142" i="4"/>
  <c r="O142" i="4" s="1"/>
  <c r="L708" i="4"/>
  <c r="O708" i="4" s="1"/>
  <c r="N708" i="4" a="1"/>
  <c r="N708" i="4" s="1"/>
  <c r="N581" i="4" a="1"/>
  <c r="N581" i="4" s="1"/>
  <c r="L581" i="4"/>
  <c r="O581" i="4" s="1"/>
  <c r="L243" i="4"/>
  <c r="O243" i="4" s="1"/>
  <c r="N243" i="4" a="1"/>
  <c r="N243" i="4" s="1"/>
  <c r="L795" i="4"/>
  <c r="O795" i="4" s="1"/>
  <c r="N795" i="4" a="1"/>
  <c r="N795" i="4" s="1"/>
  <c r="N160" i="4" a="1"/>
  <c r="N160" i="4" s="1"/>
  <c r="L160" i="4"/>
  <c r="O160" i="4" s="1"/>
  <c r="L628" i="4"/>
  <c r="O628" i="4" s="1"/>
  <c r="N628" i="4" a="1"/>
  <c r="N628" i="4" s="1"/>
  <c r="N330" i="4" a="1"/>
  <c r="N330" i="4" s="1"/>
  <c r="L330" i="4"/>
  <c r="O330" i="4" s="1"/>
  <c r="N570" i="4" a="1"/>
  <c r="N570" i="4" s="1"/>
  <c r="L570" i="4"/>
  <c r="O570" i="4" s="1"/>
  <c r="N210" i="4" a="1"/>
  <c r="N210" i="4" s="1"/>
  <c r="L210" i="4"/>
  <c r="O210" i="4" s="1"/>
  <c r="L228" i="4"/>
  <c r="O228" i="4" s="1"/>
  <c r="N228" i="4" a="1"/>
  <c r="N228" i="4" s="1"/>
  <c r="L864" i="4"/>
  <c r="O864" i="4" s="1"/>
  <c r="N864" i="4" a="1"/>
  <c r="N864" i="4" s="1"/>
  <c r="N248" i="4" a="1"/>
  <c r="N248" i="4" s="1"/>
  <c r="L248" i="4"/>
  <c r="O248" i="4" s="1"/>
  <c r="N380" i="4" a="1"/>
  <c r="N380" i="4" s="1"/>
  <c r="L380" i="4"/>
  <c r="O380" i="4" s="1"/>
  <c r="N548" i="4" a="1"/>
  <c r="N548" i="4" s="1"/>
  <c r="L548" i="4"/>
  <c r="O548" i="4" s="1"/>
  <c r="N812" i="4" a="1"/>
  <c r="N812" i="4" s="1"/>
  <c r="L812" i="4"/>
  <c r="O812" i="4" s="1"/>
  <c r="N932" i="4" a="1"/>
  <c r="N932" i="4" s="1"/>
  <c r="L932" i="4"/>
  <c r="O932" i="4" s="1"/>
  <c r="N24" i="4" a="1"/>
  <c r="N24" i="4" s="1"/>
  <c r="L24" i="4"/>
  <c r="O24" i="4" s="1"/>
  <c r="N132" i="4" a="1"/>
  <c r="N132" i="4" s="1"/>
  <c r="L132" i="4"/>
  <c r="O132" i="4" s="1"/>
  <c r="N336" i="4" a="1"/>
  <c r="N336" i="4" s="1"/>
  <c r="L336" i="4"/>
  <c r="O336" i="4" s="1"/>
  <c r="N104" i="4" a="1"/>
  <c r="N104" i="4" s="1"/>
  <c r="L104" i="4"/>
  <c r="O104" i="4" s="1"/>
  <c r="N644" i="4" a="1"/>
  <c r="N644" i="4" s="1"/>
  <c r="L644" i="4"/>
  <c r="O644" i="4" s="1"/>
  <c r="N740" i="4" a="1"/>
  <c r="N740" i="4" s="1"/>
  <c r="L740" i="4"/>
  <c r="O740" i="4" s="1"/>
  <c r="L980" i="4"/>
  <c r="O980" i="4" s="1"/>
  <c r="N980" i="4" a="1"/>
  <c r="N980" i="4" s="1"/>
  <c r="N504" i="4" a="1"/>
  <c r="N504" i="4" s="1"/>
  <c r="L504" i="4"/>
  <c r="O504" i="4" s="1"/>
  <c r="N847" i="4" a="1"/>
  <c r="N847" i="4" s="1"/>
  <c r="L847" i="4"/>
  <c r="O847" i="4" s="1"/>
  <c r="N381" i="4" a="1"/>
  <c r="N381" i="4" s="1"/>
  <c r="L381" i="4"/>
  <c r="O381" i="4" s="1"/>
  <c r="N286" i="4" a="1"/>
  <c r="N286" i="4" s="1"/>
  <c r="L286" i="4"/>
  <c r="O286" i="4" s="1"/>
  <c r="N949" i="4" a="1"/>
  <c r="N949" i="4" s="1"/>
  <c r="L949" i="4"/>
  <c r="O949" i="4" s="1"/>
  <c r="L49" i="4"/>
  <c r="O49" i="4" s="1"/>
  <c r="N49" i="4" a="1"/>
  <c r="N49" i="4" s="1"/>
  <c r="N313" i="4" a="1"/>
  <c r="N313" i="4" s="1"/>
  <c r="L313" i="4"/>
  <c r="O313" i="4" s="1"/>
  <c r="N577" i="4" a="1"/>
  <c r="N577" i="4" s="1"/>
  <c r="L577" i="4"/>
  <c r="O577" i="4" s="1"/>
  <c r="N762" i="4" a="1"/>
  <c r="N762" i="4" s="1"/>
  <c r="L762" i="4"/>
  <c r="O762" i="4" s="1"/>
  <c r="N473" i="4" a="1"/>
  <c r="N473" i="4" s="1"/>
  <c r="L473" i="4"/>
  <c r="O473" i="4" s="1"/>
  <c r="L976" i="4"/>
  <c r="O976" i="4" s="1"/>
  <c r="N976" i="4" a="1"/>
  <c r="N976" i="4" s="1"/>
  <c r="N449" i="4" a="1"/>
  <c r="N449" i="4" s="1"/>
  <c r="L449" i="4"/>
  <c r="O449" i="4" s="1"/>
  <c r="N507" i="4" a="1"/>
  <c r="N507" i="4" s="1"/>
  <c r="L507" i="4"/>
  <c r="O507" i="4" s="1"/>
  <c r="N305" i="4" a="1"/>
  <c r="N305" i="4" s="1"/>
  <c r="L305" i="4"/>
  <c r="O305" i="4" s="1"/>
  <c r="N942" i="4" a="1"/>
  <c r="N942" i="4" s="1"/>
  <c r="L942" i="4"/>
  <c r="O942" i="4" s="1"/>
  <c r="N698" i="4" a="1"/>
  <c r="N698" i="4" s="1"/>
  <c r="L698" i="4"/>
  <c r="O698" i="4" s="1"/>
  <c r="N66" i="4" a="1"/>
  <c r="N66" i="4" s="1"/>
  <c r="L66" i="4"/>
  <c r="O66" i="4" s="1"/>
  <c r="L568" i="4"/>
  <c r="O568" i="4" s="1"/>
  <c r="N568" i="4" a="1"/>
  <c r="N568" i="4" s="1"/>
  <c r="N490" i="4" a="1"/>
  <c r="N490" i="4" s="1"/>
  <c r="L490" i="4"/>
  <c r="O490" i="4" s="1"/>
  <c r="N155" i="4" a="1"/>
  <c r="N155" i="4" s="1"/>
  <c r="L155" i="4"/>
  <c r="O155" i="4" s="1"/>
  <c r="N239" i="4" a="1"/>
  <c r="N239" i="4" s="1"/>
  <c r="L239" i="4"/>
  <c r="O239" i="4" s="1"/>
  <c r="N479" i="4" a="1"/>
  <c r="N479" i="4" s="1"/>
  <c r="L479" i="4"/>
  <c r="O479" i="4" s="1"/>
  <c r="L575" i="4"/>
  <c r="O575" i="4" s="1"/>
  <c r="N575" i="4" a="1"/>
  <c r="N575" i="4" s="1"/>
  <c r="N815" i="4" a="1"/>
  <c r="N815" i="4" s="1"/>
  <c r="L815" i="4"/>
  <c r="O815" i="4" s="1"/>
  <c r="N899" i="4" a="1"/>
  <c r="N899" i="4" s="1"/>
  <c r="L899" i="4"/>
  <c r="O899" i="4" s="1"/>
  <c r="N432" i="4" a="1"/>
  <c r="N432" i="4" s="1"/>
  <c r="L432" i="4"/>
  <c r="O432" i="4" s="1"/>
  <c r="L636" i="4"/>
  <c r="O636" i="4" s="1"/>
  <c r="N636" i="4" a="1"/>
  <c r="N636" i="4" s="1"/>
  <c r="N204" i="4" a="1"/>
  <c r="N204" i="4" s="1"/>
  <c r="L204" i="4"/>
  <c r="O204" i="4" s="1"/>
  <c r="N20" i="4" a="1"/>
  <c r="N20" i="4" s="1"/>
  <c r="L20" i="4"/>
  <c r="O20" i="4" s="1"/>
  <c r="N260" i="4" a="1"/>
  <c r="N260" i="4" s="1"/>
  <c r="L260" i="4"/>
  <c r="O260" i="4" s="1"/>
  <c r="N48" i="4" a="1"/>
  <c r="N48" i="4" s="1"/>
  <c r="L48" i="4"/>
  <c r="O48" i="4" s="1"/>
  <c r="L272" i="4"/>
  <c r="O272" i="4" s="1"/>
  <c r="N272" i="4" a="1"/>
  <c r="N272" i="4" s="1"/>
  <c r="N416" i="4" a="1"/>
  <c r="N416" i="4" s="1"/>
  <c r="L416" i="4"/>
  <c r="O416" i="4" s="1"/>
  <c r="N536" i="4" a="1"/>
  <c r="N536" i="4" s="1"/>
  <c r="L536" i="4"/>
  <c r="O536" i="4" s="1"/>
  <c r="N528" i="4" a="1"/>
  <c r="N528" i="4" s="1"/>
  <c r="L528" i="4"/>
  <c r="O528" i="4" s="1"/>
  <c r="N756" i="4" a="1"/>
  <c r="N756" i="4" s="1"/>
  <c r="L756" i="4"/>
  <c r="O756" i="4" s="1"/>
  <c r="L955" i="4"/>
  <c r="O955" i="4" s="1"/>
  <c r="N955" i="4" a="1"/>
  <c r="N955" i="4" s="1"/>
  <c r="N811" i="4" a="1"/>
  <c r="N811" i="4" s="1"/>
  <c r="L811" i="4"/>
  <c r="O811" i="4" s="1"/>
  <c r="L346" i="4"/>
  <c r="O346" i="4" s="1"/>
  <c r="N346" i="4" a="1"/>
  <c r="N346" i="4" s="1"/>
  <c r="N412" i="4" a="1"/>
  <c r="N412" i="4" s="1"/>
  <c r="L412" i="4"/>
  <c r="O412" i="4" s="1"/>
  <c r="L510" i="4"/>
  <c r="O510" i="4" s="1"/>
  <c r="N510" i="4" a="1"/>
  <c r="N510" i="4" s="1"/>
  <c r="N579" i="4" a="1"/>
  <c r="N579" i="4" s="1"/>
  <c r="L579" i="4"/>
  <c r="O579" i="4" s="1"/>
  <c r="N230" i="4" a="1"/>
  <c r="N230" i="4" s="1"/>
  <c r="L230" i="4"/>
  <c r="O230" i="4" s="1"/>
  <c r="N422" i="4" a="1"/>
  <c r="N422" i="4" s="1"/>
  <c r="L422" i="4"/>
  <c r="O422" i="4" s="1"/>
  <c r="N770" i="4" a="1"/>
  <c r="N770" i="4" s="1"/>
  <c r="L770" i="4"/>
  <c r="O770" i="4" s="1"/>
  <c r="N663" i="4" a="1"/>
  <c r="N663" i="4" s="1"/>
  <c r="L663" i="4"/>
  <c r="O663" i="4" s="1"/>
  <c r="N232" i="4" a="1"/>
  <c r="N232" i="4" s="1"/>
  <c r="L232" i="4"/>
  <c r="O232" i="4" s="1"/>
  <c r="L988" i="4"/>
  <c r="O988" i="4" s="1"/>
  <c r="N988" i="4" a="1"/>
  <c r="N988" i="4" s="1"/>
  <c r="N713" i="4" a="1"/>
  <c r="N713" i="4" s="1"/>
  <c r="L713" i="4"/>
  <c r="O713" i="4" s="1"/>
  <c r="N747" i="4" a="1"/>
  <c r="N747" i="4" s="1"/>
  <c r="L747" i="4"/>
  <c r="O747" i="4" s="1"/>
  <c r="N514" i="4" a="1"/>
  <c r="N514" i="4" s="1"/>
  <c r="L514" i="4"/>
  <c r="O514" i="4" s="1"/>
  <c r="N851" i="4" a="1"/>
  <c r="N851" i="4" s="1"/>
  <c r="L851" i="4"/>
  <c r="O851" i="4" s="1"/>
  <c r="N911" i="4" a="1"/>
  <c r="N911" i="4" s="1"/>
  <c r="L911" i="4"/>
  <c r="O911" i="4" s="1"/>
  <c r="N36" i="4" a="1"/>
  <c r="N36" i="4" s="1"/>
  <c r="L36" i="4"/>
  <c r="O36" i="4" s="1"/>
  <c r="L128" i="4"/>
  <c r="O128" i="4" s="1"/>
  <c r="N128" i="4" a="1"/>
  <c r="N128" i="4" s="1"/>
  <c r="N632" i="4" a="1"/>
  <c r="N632" i="4" s="1"/>
  <c r="L632" i="4"/>
  <c r="O632" i="4" s="1"/>
  <c r="N836" i="4" a="1"/>
  <c r="N836" i="4" s="1"/>
  <c r="L836" i="4"/>
  <c r="O836" i="4" s="1"/>
  <c r="N956" i="4" a="1"/>
  <c r="N956" i="4" s="1"/>
  <c r="L956" i="4"/>
  <c r="O956" i="4" s="1"/>
  <c r="N804" i="4" a="1"/>
  <c r="N804" i="4" s="1"/>
  <c r="L804" i="4"/>
  <c r="O804" i="4" s="1"/>
  <c r="L156" i="4"/>
  <c r="O156" i="4" s="1"/>
  <c r="N156" i="4" a="1"/>
  <c r="N156" i="4" s="1"/>
  <c r="N372" i="4" a="1"/>
  <c r="N372" i="4" s="1"/>
  <c r="L372" i="4"/>
  <c r="O372" i="4" s="1"/>
  <c r="N660" i="4" a="1"/>
  <c r="N660" i="4" s="1"/>
  <c r="L660" i="4"/>
  <c r="O660" i="4" s="1"/>
  <c r="N140" i="4" a="1"/>
  <c r="N140" i="4" s="1"/>
  <c r="L140" i="4"/>
  <c r="O140" i="4" s="1"/>
  <c r="N296" i="4" a="1"/>
  <c r="N296" i="4" s="1"/>
  <c r="L296" i="4"/>
  <c r="O296" i="4" s="1"/>
  <c r="N324" i="4" a="1"/>
  <c r="N324" i="4" s="1"/>
  <c r="L324" i="4"/>
  <c r="O324" i="4" s="1"/>
  <c r="N486" i="4" a="1"/>
  <c r="N486" i="4" s="1"/>
  <c r="L486" i="4"/>
  <c r="O486" i="4" s="1"/>
  <c r="N526" i="4" a="1"/>
  <c r="N526" i="4" s="1"/>
  <c r="L526" i="4"/>
  <c r="O526" i="4" s="1"/>
  <c r="N170" i="4" a="1"/>
  <c r="N170" i="4" s="1"/>
  <c r="L170" i="4"/>
  <c r="O170" i="4" s="1"/>
  <c r="N719" i="4" a="1"/>
  <c r="N719" i="4" s="1"/>
  <c r="L719" i="4"/>
  <c r="O719" i="4" s="1"/>
  <c r="N996" i="4" a="1"/>
  <c r="N996" i="4" s="1"/>
  <c r="L996" i="4"/>
  <c r="O996" i="4" s="1"/>
  <c r="N612" i="4" a="1"/>
  <c r="N612" i="4" s="1"/>
  <c r="L612" i="4"/>
  <c r="O612" i="4" s="1"/>
  <c r="N276" i="4" a="1"/>
  <c r="N276" i="4" s="1"/>
  <c r="L276" i="4"/>
  <c r="O276" i="4" s="1"/>
  <c r="N261" i="4" a="1"/>
  <c r="N261" i="4" s="1"/>
  <c r="L261" i="4"/>
  <c r="O261" i="4" s="1"/>
  <c r="N226" i="4" a="1"/>
  <c r="N226" i="4" s="1"/>
  <c r="L226" i="4"/>
  <c r="O226" i="4" s="1"/>
  <c r="L184" i="4"/>
  <c r="O184" i="4" s="1"/>
  <c r="N184" i="4" a="1"/>
  <c r="N184" i="4" s="1"/>
  <c r="N193" i="4" a="1"/>
  <c r="N193" i="4" s="1"/>
  <c r="L193" i="4"/>
  <c r="O193" i="4" s="1"/>
  <c r="N70" i="4" a="1"/>
  <c r="N70" i="4" s="1"/>
  <c r="L70" i="4"/>
  <c r="O70" i="4" s="1"/>
  <c r="N706" i="4" a="1"/>
  <c r="N706" i="4" s="1"/>
  <c r="L706" i="4"/>
  <c r="O706" i="4" s="1"/>
  <c r="N180" i="4" a="1"/>
  <c r="N180" i="4" s="1"/>
  <c r="L180" i="4"/>
  <c r="O180" i="4" s="1"/>
  <c r="N684" i="4" a="1"/>
  <c r="N684" i="4" s="1"/>
  <c r="L684" i="4"/>
  <c r="O684" i="4" s="1"/>
  <c r="N948" i="4" a="1"/>
  <c r="N948" i="4" s="1"/>
  <c r="L948" i="4"/>
  <c r="O948" i="4" s="1"/>
  <c r="N428" i="4" a="1"/>
  <c r="N428" i="4" s="1"/>
  <c r="L428" i="4"/>
  <c r="O428" i="4" s="1"/>
  <c r="N268" i="4" a="1"/>
  <c r="N268" i="4" s="1"/>
  <c r="L268" i="4"/>
  <c r="O268" i="4" s="1"/>
  <c r="N390" i="4" a="1"/>
  <c r="N390" i="4" s="1"/>
  <c r="L390" i="4"/>
  <c r="O390" i="4" s="1"/>
  <c r="N670" i="4" a="1"/>
  <c r="N670" i="4" s="1"/>
  <c r="L670" i="4"/>
  <c r="O670" i="4" s="1"/>
  <c r="L82" i="4"/>
  <c r="O82" i="4" s="1"/>
  <c r="N82" i="4" a="1"/>
  <c r="N82" i="4" s="1"/>
  <c r="L710" i="4"/>
  <c r="O710" i="4" s="1"/>
  <c r="N710" i="4" a="1"/>
  <c r="N710" i="4" s="1"/>
  <c r="N51" i="4" a="1"/>
  <c r="N51" i="4" s="1"/>
  <c r="L51" i="4"/>
  <c r="O51" i="4" s="1"/>
  <c r="N413" i="4" a="1"/>
  <c r="N413" i="4" s="1"/>
  <c r="L413" i="4"/>
  <c r="O413" i="4" s="1"/>
  <c r="N337" i="4" a="1"/>
  <c r="N337" i="4" s="1"/>
  <c r="L337" i="4"/>
  <c r="O337" i="4" s="1"/>
  <c r="N464" i="4" a="1"/>
  <c r="N464" i="4" s="1"/>
  <c r="L464" i="4"/>
  <c r="O464" i="4" s="1"/>
  <c r="N872" i="4" a="1"/>
  <c r="N872" i="4" s="1"/>
  <c r="L872" i="4"/>
  <c r="O872" i="4" s="1"/>
  <c r="N216" i="4" a="1"/>
  <c r="N216" i="4" s="1"/>
  <c r="L216" i="4"/>
  <c r="O216" i="4" s="1"/>
  <c r="L584" i="4"/>
  <c r="O584" i="4" s="1"/>
  <c r="N584" i="4" a="1"/>
  <c r="N584" i="4" s="1"/>
  <c r="L680" i="4"/>
  <c r="O680" i="4" s="1"/>
  <c r="N680" i="4" a="1"/>
  <c r="N680" i="4" s="1"/>
  <c r="N805" i="4" a="1"/>
  <c r="N805" i="4" s="1"/>
  <c r="L805" i="4"/>
  <c r="O805" i="4" s="1"/>
  <c r="N294" i="4" a="1"/>
  <c r="N294" i="4" s="1"/>
  <c r="L294" i="4"/>
  <c r="O294" i="4" s="1"/>
  <c r="N856" i="4" a="1"/>
  <c r="N856" i="4" s="1"/>
  <c r="L856" i="4"/>
  <c r="O856" i="4" s="1"/>
  <c r="L270" i="4"/>
  <c r="O270" i="4" s="1"/>
  <c r="N270" i="4" a="1"/>
  <c r="N270" i="4" s="1"/>
  <c r="L558" i="4"/>
  <c r="O558" i="4" s="1"/>
  <c r="N558" i="4" a="1"/>
  <c r="N558" i="4" s="1"/>
  <c r="N110" i="4" a="1"/>
  <c r="N110" i="4" s="1"/>
  <c r="L110" i="4"/>
  <c r="O110" i="4" s="1"/>
  <c r="N843" i="4" a="1"/>
  <c r="N843" i="4" s="1"/>
  <c r="L843" i="4"/>
  <c r="O843" i="4" s="1"/>
  <c r="N56" i="4" a="1"/>
  <c r="N56" i="4" s="1"/>
  <c r="L56" i="4"/>
  <c r="O56" i="4" s="1"/>
  <c r="N992" i="4" a="1"/>
  <c r="N992" i="4" s="1"/>
  <c r="L992" i="4"/>
  <c r="O992" i="4" s="1"/>
  <c r="N408" i="4" a="1"/>
  <c r="N408" i="4" s="1"/>
  <c r="L408" i="4"/>
  <c r="O408" i="4" s="1"/>
  <c r="N494" i="4" a="1"/>
  <c r="N494" i="4" s="1"/>
  <c r="L494" i="4"/>
  <c r="O494" i="4" s="1"/>
  <c r="N613" i="4" a="1"/>
  <c r="N613" i="4" s="1"/>
  <c r="L613" i="4"/>
  <c r="O613" i="4" s="1"/>
  <c r="N913" i="4" a="1"/>
  <c r="N913" i="4" s="1"/>
  <c r="L913" i="4"/>
  <c r="O913" i="4" s="1"/>
  <c r="N389" i="4" a="1"/>
  <c r="N389" i="4" s="1"/>
  <c r="L389" i="4"/>
  <c r="O389" i="4" s="1"/>
  <c r="L797" i="4"/>
  <c r="O797" i="4" s="1"/>
  <c r="N797" i="4" a="1"/>
  <c r="N797" i="4" s="1"/>
  <c r="N306" i="4" a="1"/>
  <c r="N306" i="4" s="1"/>
  <c r="L306" i="4"/>
  <c r="O306" i="4" s="1"/>
  <c r="N726" i="4" a="1"/>
  <c r="N726" i="4" s="1"/>
  <c r="L726" i="4"/>
  <c r="O726" i="4" s="1"/>
  <c r="L328" i="4"/>
  <c r="O328" i="4" s="1"/>
  <c r="N328" i="4" a="1"/>
  <c r="N328" i="4" s="1"/>
  <c r="N641" i="4" a="1"/>
  <c r="N641" i="4" s="1"/>
  <c r="L641" i="4"/>
  <c r="O641" i="4" s="1"/>
  <c r="N953" i="4" a="1"/>
  <c r="N953" i="4" s="1"/>
  <c r="L953" i="4"/>
  <c r="O953" i="4" s="1"/>
  <c r="N351" i="4" a="1"/>
  <c r="N351" i="4" s="1"/>
  <c r="L351" i="4"/>
  <c r="O351" i="4" s="1"/>
  <c r="L63" i="4"/>
  <c r="O63" i="4" s="1"/>
  <c r="N63" i="4" a="1"/>
  <c r="N63" i="4" s="1"/>
  <c r="N591" i="4" a="1"/>
  <c r="N591" i="4" s="1"/>
  <c r="L591" i="4"/>
  <c r="O591" i="4" s="1"/>
  <c r="N209" i="4" a="1"/>
  <c r="N209" i="4" s="1"/>
  <c r="L209" i="4"/>
  <c r="O209" i="4" s="1"/>
  <c r="L126" i="4"/>
  <c r="O126" i="4" s="1"/>
  <c r="N126" i="4" a="1"/>
  <c r="N126" i="4" s="1"/>
  <c r="N702" i="4" a="1"/>
  <c r="N702" i="4" s="1"/>
  <c r="L702" i="4"/>
  <c r="O702" i="4" s="1"/>
  <c r="L989" i="4"/>
  <c r="O989" i="4" s="1"/>
  <c r="N989" i="4" a="1"/>
  <c r="N989" i="4" s="1"/>
  <c r="N118" i="4" a="1"/>
  <c r="N118" i="4" s="1"/>
  <c r="L118" i="4"/>
  <c r="O118" i="4" s="1"/>
  <c r="L310" i="4"/>
  <c r="O310" i="4" s="1"/>
  <c r="N310" i="4" a="1"/>
  <c r="N310" i="4" s="1"/>
  <c r="N359" i="4" a="1"/>
  <c r="N359" i="4" s="1"/>
  <c r="L359" i="4"/>
  <c r="O359" i="4" s="1"/>
  <c r="N120" i="4" a="1"/>
  <c r="N120" i="4" s="1"/>
  <c r="L120" i="4"/>
  <c r="O120" i="4" s="1"/>
  <c r="N312" i="4" a="1"/>
  <c r="N312" i="4" s="1"/>
  <c r="L312" i="4"/>
  <c r="O312" i="4" s="1"/>
  <c r="N540" i="4" a="1"/>
  <c r="N540" i="4" s="1"/>
  <c r="L540" i="4"/>
  <c r="O540" i="4" s="1"/>
  <c r="N492" i="4" a="1"/>
  <c r="N492" i="4" s="1"/>
  <c r="L492" i="4"/>
  <c r="O492" i="4" s="1"/>
  <c r="N80" i="4" a="1"/>
  <c r="N80" i="4" s="1"/>
  <c r="L80" i="4"/>
  <c r="O80" i="4" s="1"/>
  <c r="N788" i="4" a="1"/>
  <c r="N788" i="4" s="1"/>
  <c r="L788" i="4"/>
  <c r="O788" i="4" s="1"/>
  <c r="L852" i="4"/>
  <c r="O852" i="4" s="1"/>
  <c r="N852" i="4" a="1"/>
  <c r="N852" i="4" s="1"/>
  <c r="N84" i="4" a="1"/>
  <c r="N84" i="4" s="1"/>
  <c r="L84" i="4"/>
  <c r="O84" i="4" s="1"/>
  <c r="N984" i="4" a="1"/>
  <c r="N984" i="4" s="1"/>
  <c r="L984" i="4"/>
  <c r="O984" i="4" s="1"/>
  <c r="N596" i="4" a="1"/>
  <c r="N596" i="4" s="1"/>
  <c r="L596" i="4"/>
  <c r="O596" i="4" s="1"/>
  <c r="L692" i="4"/>
  <c r="O692" i="4" s="1"/>
  <c r="N692" i="4" a="1"/>
  <c r="N692" i="4" s="1"/>
  <c r="N896" i="4" a="1"/>
  <c r="N896" i="4" s="1"/>
  <c r="L896" i="4"/>
  <c r="O896" i="4" s="1"/>
  <c r="N168" i="4" a="1"/>
  <c r="N168" i="4" s="1"/>
  <c r="L168" i="4"/>
  <c r="O168" i="4" s="1"/>
  <c r="N183" i="4" a="1"/>
  <c r="N183" i="4" s="1"/>
  <c r="L183" i="4"/>
  <c r="O183" i="4" s="1"/>
  <c r="N906" i="4" a="1"/>
  <c r="N906" i="4" s="1"/>
  <c r="L906" i="4"/>
  <c r="O906" i="4" s="1"/>
  <c r="N269" i="4" a="1"/>
  <c r="N269" i="4" s="1"/>
  <c r="L269" i="4"/>
  <c r="O269" i="4" s="1"/>
  <c r="N522" i="4" a="1"/>
  <c r="N522" i="4" s="1"/>
  <c r="L522" i="4"/>
  <c r="O522" i="4" s="1"/>
  <c r="N157" i="4" a="1"/>
  <c r="N157" i="4" s="1"/>
  <c r="L157" i="4"/>
  <c r="O157" i="4" s="1"/>
  <c r="N928" i="4" a="1"/>
  <c r="N928" i="4" s="1"/>
  <c r="L928" i="4"/>
  <c r="O928" i="4" s="1"/>
  <c r="N206" i="4" a="1"/>
  <c r="N206" i="4" s="1"/>
  <c r="L206" i="4"/>
  <c r="O206" i="4" s="1"/>
  <c r="N883" i="4" a="1"/>
  <c r="N883" i="4" s="1"/>
  <c r="L883" i="4"/>
  <c r="O883" i="4" s="1"/>
  <c r="N378" i="4" a="1"/>
  <c r="N378" i="4" s="1"/>
  <c r="L378" i="4"/>
  <c r="O378" i="4" s="1"/>
  <c r="N74" i="4" a="1"/>
  <c r="N74" i="4" s="1"/>
  <c r="L74" i="4"/>
  <c r="O74" i="4" s="1"/>
  <c r="N154" i="4" a="1"/>
  <c r="N154" i="4" s="1"/>
  <c r="L154" i="4"/>
  <c r="O154" i="4" s="1"/>
  <c r="N838" i="4" a="1"/>
  <c r="N838" i="4" s="1"/>
  <c r="L838" i="4"/>
  <c r="O838" i="4" s="1"/>
  <c r="N264" i="4" a="1"/>
  <c r="N264" i="4" s="1"/>
  <c r="L264" i="4"/>
  <c r="O264" i="4" s="1"/>
  <c r="N396" i="4" a="1"/>
  <c r="N396" i="4" s="1"/>
  <c r="L396" i="4"/>
  <c r="O396" i="4" s="1"/>
  <c r="L656" i="4"/>
  <c r="O656" i="4" s="1"/>
  <c r="N656" i="4" a="1"/>
  <c r="N656" i="4" s="1"/>
  <c r="N824" i="4" a="1"/>
  <c r="N824" i="4" s="1"/>
  <c r="L824" i="4"/>
  <c r="O824" i="4" s="1"/>
  <c r="N792" i="4" a="1"/>
  <c r="N792" i="4" s="1"/>
  <c r="L792" i="4"/>
  <c r="O792" i="4" s="1"/>
  <c r="N886" i="4" a="1"/>
  <c r="N886" i="4" s="1"/>
  <c r="L886" i="4"/>
  <c r="O886" i="4" s="1"/>
  <c r="L959" i="4"/>
  <c r="O959" i="4" s="1"/>
  <c r="N959" i="4" a="1"/>
  <c r="N959" i="4" s="1"/>
  <c r="N534" i="4" a="1"/>
  <c r="N534" i="4" s="1"/>
  <c r="L534" i="4"/>
  <c r="O534" i="4" s="1"/>
  <c r="N242" i="4" a="1"/>
  <c r="N242" i="4" s="1"/>
  <c r="L242" i="4"/>
  <c r="O242" i="4" s="1"/>
  <c r="L172" i="4"/>
  <c r="O172" i="4" s="1"/>
  <c r="N172" i="4" a="1"/>
  <c r="N172" i="4" s="1"/>
  <c r="N968" i="4" a="1"/>
  <c r="N968" i="4" s="1"/>
  <c r="L968" i="4"/>
  <c r="O968" i="4" s="1"/>
  <c r="N262" i="4" a="1"/>
  <c r="N262" i="4" s="1"/>
  <c r="L262" i="4"/>
  <c r="O262" i="4" s="1"/>
  <c r="N291" i="4" a="1"/>
  <c r="N291" i="4" s="1"/>
  <c r="L291" i="4"/>
  <c r="O291" i="4" s="1"/>
  <c r="N821" i="4" a="1"/>
  <c r="N821" i="4" s="1"/>
  <c r="L821" i="4"/>
  <c r="O821" i="4" s="1"/>
  <c r="N923" i="4" a="1"/>
  <c r="N923" i="4" s="1"/>
  <c r="L923" i="4"/>
  <c r="O923" i="4" s="1"/>
  <c r="N35" i="4" a="1"/>
  <c r="N35" i="4" s="1"/>
  <c r="L35" i="4"/>
  <c r="O35" i="4" s="1"/>
  <c r="N179" i="4" a="1"/>
  <c r="N179" i="4" s="1"/>
  <c r="L179" i="4"/>
  <c r="O179" i="4" s="1"/>
  <c r="N599" i="4" a="1"/>
  <c r="N599" i="4" s="1"/>
  <c r="L599" i="4"/>
  <c r="O599" i="4" s="1"/>
  <c r="N288" i="4" a="1"/>
  <c r="N288" i="4" s="1"/>
  <c r="L288" i="4"/>
  <c r="O288" i="4" s="1"/>
  <c r="N696" i="4" a="1"/>
  <c r="N696" i="4" s="1"/>
  <c r="L696" i="4"/>
  <c r="O696" i="4" s="1"/>
  <c r="N308" i="4" a="1"/>
  <c r="N308" i="4" s="1"/>
  <c r="L308" i="4"/>
  <c r="O308" i="4" s="1"/>
  <c r="N776" i="4" a="1"/>
  <c r="N776" i="4" s="1"/>
  <c r="L776" i="4"/>
  <c r="O776" i="4" s="1"/>
  <c r="N72" i="4" a="1"/>
  <c r="N72" i="4" s="1"/>
  <c r="L72" i="4"/>
  <c r="O72" i="4" s="1"/>
  <c r="N452" i="4" a="1"/>
  <c r="N452" i="4" s="1"/>
  <c r="L452" i="4"/>
  <c r="O452" i="4" s="1"/>
  <c r="N217" i="4" a="1"/>
  <c r="N217" i="4" s="1"/>
  <c r="L217" i="4"/>
  <c r="O217" i="4" s="1"/>
  <c r="N638" i="4" a="1"/>
  <c r="N638" i="4" s="1"/>
  <c r="L638" i="4"/>
  <c r="O638" i="4" s="1"/>
  <c r="N978" i="4" a="1"/>
  <c r="N978" i="4" s="1"/>
  <c r="L978" i="4"/>
  <c r="O978" i="4" s="1"/>
  <c r="N556" i="4" a="1"/>
  <c r="N556" i="4" s="1"/>
  <c r="L556" i="4"/>
  <c r="O556" i="4" s="1"/>
  <c r="N322" i="4" a="1"/>
  <c r="N322" i="4" s="1"/>
  <c r="L322" i="4"/>
  <c r="O322" i="4" s="1"/>
  <c r="L420" i="4"/>
  <c r="O420" i="4" s="1"/>
  <c r="N420" i="4" a="1"/>
  <c r="N420" i="4" s="1"/>
  <c r="N188" i="4" a="1"/>
  <c r="N188" i="4" s="1"/>
  <c r="L188" i="4"/>
  <c r="O188" i="4" s="1"/>
  <c r="N627" i="4" a="1"/>
  <c r="N627" i="4" s="1"/>
  <c r="L627" i="4"/>
  <c r="O627" i="4" s="1"/>
  <c r="L493" i="4"/>
  <c r="O493" i="4" s="1"/>
  <c r="N493" i="4" a="1"/>
  <c r="N493" i="4" s="1"/>
  <c r="L916" i="4"/>
  <c r="O916" i="4" s="1"/>
  <c r="N916" i="4" a="1"/>
  <c r="N916" i="4" s="1"/>
  <c r="N42" i="4" a="1"/>
  <c r="N42" i="4" s="1"/>
  <c r="L42" i="4"/>
  <c r="O42" i="4" s="1"/>
  <c r="N39" i="4" a="1"/>
  <c r="N39" i="4" s="1"/>
  <c r="L39" i="4"/>
  <c r="O39" i="4" s="1"/>
  <c r="N134" i="4" a="1"/>
  <c r="N134" i="4" s="1"/>
  <c r="L134" i="4"/>
  <c r="O134" i="4" s="1"/>
  <c r="N374" i="4" a="1"/>
  <c r="N374" i="4" s="1"/>
  <c r="L374" i="4"/>
  <c r="O374" i="4" s="1"/>
  <c r="L364" i="4"/>
  <c r="O364" i="4" s="1"/>
  <c r="N364" i="4" a="1"/>
  <c r="N364" i="4" s="1"/>
  <c r="N382" i="4" a="1"/>
  <c r="N382" i="4" s="1"/>
  <c r="L382" i="4"/>
  <c r="O382" i="4" s="1"/>
  <c r="L867" i="4"/>
  <c r="O867" i="4" s="1"/>
  <c r="N867" i="4" a="1"/>
  <c r="N867" i="4" s="1"/>
  <c r="N4" i="4" a="1"/>
  <c r="N4" i="4" s="1"/>
  <c r="L4" i="4"/>
  <c r="O4" i="4" s="1"/>
  <c r="L340" i="4"/>
  <c r="O340" i="4" s="1"/>
  <c r="N340" i="4" a="1"/>
  <c r="N340" i="4" s="1"/>
  <c r="L832" i="4"/>
  <c r="O832" i="4" s="1"/>
  <c r="N832" i="4" a="1"/>
  <c r="N832" i="4" s="1"/>
  <c r="N58" i="4" a="1"/>
  <c r="N58" i="4" s="1"/>
  <c r="L58" i="4"/>
  <c r="O58" i="4" s="1"/>
  <c r="L397" i="4"/>
  <c r="O397" i="4" s="1"/>
  <c r="N397" i="4" a="1"/>
  <c r="N397" i="4" s="1"/>
  <c r="N342" i="4" a="1"/>
  <c r="N342" i="4" s="1"/>
  <c r="L342" i="4"/>
  <c r="O342" i="4" s="1"/>
  <c r="N130" i="4" a="1"/>
  <c r="N130" i="4" s="1"/>
  <c r="L130" i="4"/>
  <c r="O130" i="4" s="1"/>
  <c r="N790" i="4" a="1"/>
  <c r="N790" i="4" s="1"/>
  <c r="L790" i="4"/>
  <c r="O790" i="4" s="1"/>
  <c r="N144" i="4" a="1"/>
  <c r="N144" i="4" s="1"/>
  <c r="L144" i="4"/>
  <c r="O144" i="4" s="1"/>
  <c r="N816" i="4" a="1"/>
  <c r="N816" i="4" s="1"/>
  <c r="L816" i="4"/>
  <c r="O816" i="4" s="1"/>
  <c r="L200" i="4"/>
  <c r="O200" i="4" s="1"/>
  <c r="N200" i="4" a="1"/>
  <c r="N200" i="4" s="1"/>
  <c r="N884" i="4" a="1"/>
  <c r="N884" i="4" s="1"/>
  <c r="L884" i="4"/>
  <c r="O884" i="4" s="1"/>
  <c r="N456" i="4" a="1"/>
  <c r="N456" i="4" s="1"/>
  <c r="L456" i="4"/>
  <c r="O456" i="4" s="1"/>
  <c r="N744" i="4" a="1"/>
  <c r="N744" i="4" s="1"/>
  <c r="L744" i="4"/>
  <c r="O744" i="4" s="1"/>
  <c r="N212" i="4" a="1"/>
  <c r="N212" i="4" s="1"/>
  <c r="L212" i="4"/>
  <c r="O212" i="4" s="1"/>
  <c r="N368" i="4" a="1"/>
  <c r="N368" i="4" s="1"/>
  <c r="L368" i="4"/>
  <c r="O368" i="4" s="1"/>
  <c r="N500" i="4" a="1"/>
  <c r="N500" i="4" s="1"/>
  <c r="L500" i="4"/>
  <c r="O500" i="4" s="1"/>
  <c r="N444" i="4" a="1"/>
  <c r="N444" i="4" s="1"/>
  <c r="L444" i="4"/>
  <c r="O444" i="4" s="1"/>
  <c r="N624" i="4" a="1"/>
  <c r="N624" i="4" s="1"/>
  <c r="L624" i="4"/>
  <c r="O624" i="4" s="1"/>
  <c r="N265" i="4" a="1"/>
  <c r="N265" i="4" s="1"/>
  <c r="L265" i="4"/>
  <c r="O265" i="4" s="1"/>
  <c r="L173" i="4"/>
  <c r="O173" i="4" s="1"/>
  <c r="N173" i="4" a="1"/>
  <c r="N173" i="4" s="1"/>
  <c r="N290" i="4" a="1"/>
  <c r="N290" i="4" s="1"/>
  <c r="L290" i="4"/>
  <c r="O290" i="4" s="1"/>
  <c r="N545" i="4" a="1"/>
  <c r="N545" i="4" s="1"/>
  <c r="L545" i="4"/>
  <c r="O545" i="4" s="1"/>
  <c r="N850" i="4" a="1"/>
  <c r="N850" i="4" s="1"/>
  <c r="L850" i="4"/>
  <c r="O850" i="4" s="1"/>
  <c r="N192" i="4" a="1"/>
  <c r="N192" i="4" s="1"/>
  <c r="L192" i="4"/>
  <c r="O192" i="4" s="1"/>
  <c r="N116" i="4" a="1"/>
  <c r="N116" i="4" s="1"/>
  <c r="L116" i="4"/>
  <c r="O116" i="4" s="1"/>
  <c r="N733" i="4" a="1"/>
  <c r="N733" i="4" s="1"/>
  <c r="L733" i="4"/>
  <c r="O733" i="4" s="1"/>
  <c r="N881" i="4" a="1"/>
  <c r="N881" i="4" s="1"/>
  <c r="L881" i="4"/>
  <c r="O881" i="4" s="1"/>
  <c r="N748" i="4" a="1"/>
  <c r="N748" i="4" s="1"/>
  <c r="L748" i="4"/>
  <c r="O748" i="4" s="1"/>
  <c r="N125" i="4" a="1"/>
  <c r="N125" i="4" s="1"/>
  <c r="L125" i="4"/>
  <c r="O125" i="4" s="1"/>
  <c r="N630" i="4" a="1"/>
  <c r="N630" i="4" s="1"/>
  <c r="L630" i="4"/>
  <c r="O630" i="4" s="1"/>
  <c r="N671" i="4" a="1"/>
  <c r="N671" i="4" s="1"/>
  <c r="L671" i="4"/>
  <c r="O671" i="4" s="1"/>
  <c r="N468" i="4" a="1"/>
  <c r="N468" i="4" s="1"/>
  <c r="L468" i="4"/>
  <c r="O468" i="4" s="1"/>
  <c r="N410" i="4" a="1"/>
  <c r="N410" i="4" s="1"/>
  <c r="L410" i="4"/>
  <c r="O410" i="4" s="1"/>
  <c r="N651" i="4" a="1"/>
  <c r="N651" i="4" s="1"/>
  <c r="L651" i="4"/>
  <c r="O651" i="4" s="1"/>
  <c r="N842" i="4" a="1"/>
  <c r="N842" i="4" s="1"/>
  <c r="L842" i="4"/>
  <c r="O842" i="4" s="1"/>
  <c r="L924" i="4"/>
  <c r="O924" i="4" s="1"/>
  <c r="N924" i="4" a="1"/>
  <c r="N924" i="4" s="1"/>
  <c r="N516" i="4" a="1"/>
  <c r="N516" i="4" s="1"/>
  <c r="L516" i="4"/>
  <c r="O516" i="4" s="1"/>
  <c r="N912" i="4" a="1"/>
  <c r="N912" i="4" s="1"/>
  <c r="L912" i="4"/>
  <c r="O912" i="4" s="1"/>
  <c r="N284" i="4" a="1"/>
  <c r="N284" i="4" s="1"/>
  <c r="L284" i="4"/>
  <c r="O284" i="4" s="1"/>
  <c r="N552" i="4" a="1"/>
  <c r="N552" i="4" s="1"/>
  <c r="L552" i="4"/>
  <c r="O552" i="4" s="1"/>
  <c r="N1002" i="4" a="1"/>
  <c r="N1002" i="4" s="1"/>
  <c r="L1002" i="4"/>
  <c r="O1002" i="4" s="1"/>
  <c r="N617" i="4" a="1"/>
  <c r="N617" i="4" s="1"/>
  <c r="L617" i="4"/>
  <c r="O617" i="4" s="1"/>
  <c r="N755" i="4" a="1"/>
  <c r="N755" i="4" s="1"/>
  <c r="L755" i="4"/>
  <c r="O755" i="4" s="1"/>
  <c r="N96" i="4" a="1"/>
  <c r="N96" i="4" s="1"/>
  <c r="L96" i="4"/>
  <c r="O96" i="4" s="1"/>
  <c r="N508" i="4" a="1"/>
  <c r="N508" i="4" s="1"/>
  <c r="L508" i="4"/>
  <c r="O508" i="4" s="1"/>
  <c r="N458" i="4" a="1"/>
  <c r="N458" i="4" s="1"/>
  <c r="L458" i="4"/>
  <c r="O458" i="4" s="1"/>
  <c r="L902" i="4"/>
  <c r="O902" i="4" s="1"/>
  <c r="N902" i="4" a="1"/>
  <c r="N902" i="4" s="1"/>
  <c r="N761" i="4" a="1"/>
  <c r="N761" i="4" s="1"/>
  <c r="L761" i="4"/>
  <c r="O761" i="4" s="1"/>
  <c r="N171" i="4" a="1"/>
  <c r="N171" i="4" s="1"/>
  <c r="L171" i="4"/>
  <c r="O171" i="4" s="1"/>
  <c r="N720" i="4" a="1"/>
  <c r="N720" i="4" s="1"/>
  <c r="L720" i="4"/>
  <c r="O720" i="4" s="1"/>
  <c r="N476" i="4" a="1"/>
  <c r="N476" i="4" s="1"/>
  <c r="L476" i="4"/>
  <c r="O476" i="4" s="1"/>
  <c r="N600" i="4" a="1"/>
  <c r="N600" i="4" s="1"/>
  <c r="L600" i="4"/>
  <c r="O600" i="4" s="1"/>
  <c r="N73" i="4" a="1"/>
  <c r="N73" i="4" s="1"/>
  <c r="L73" i="4"/>
  <c r="O73" i="4" s="1"/>
  <c r="L137" i="4"/>
  <c r="O137" i="4" s="1"/>
  <c r="N137" i="4" a="1"/>
  <c r="N137" i="4" s="1"/>
  <c r="N714" i="4" a="1"/>
  <c r="N714" i="4" s="1"/>
  <c r="L714" i="4"/>
  <c r="O714" i="4" s="1"/>
  <c r="L76" i="4"/>
  <c r="O76" i="4" s="1"/>
  <c r="N76" i="4" a="1"/>
  <c r="N76" i="4" s="1"/>
  <c r="N88" i="4" a="1"/>
  <c r="N88" i="4" s="1"/>
  <c r="L88" i="4"/>
  <c r="O88" i="4" s="1"/>
  <c r="N414" i="4" a="1"/>
  <c r="N414" i="4" s="1"/>
  <c r="L414" i="4"/>
  <c r="O414" i="4" s="1"/>
  <c r="N100" i="4" a="1"/>
  <c r="N100" i="4" s="1"/>
  <c r="L100" i="4"/>
  <c r="O100" i="4" s="1"/>
  <c r="N557" i="4" a="1"/>
  <c r="N557" i="4" s="1"/>
  <c r="L557" i="4"/>
  <c r="O557" i="4" s="1"/>
  <c r="N29" i="4" a="1"/>
  <c r="N29" i="4" s="1"/>
  <c r="L29" i="4"/>
  <c r="O29" i="4" s="1"/>
  <c r="N257" i="4" a="1"/>
  <c r="N257" i="4" s="1"/>
  <c r="L257" i="4"/>
  <c r="O257" i="4" s="1"/>
  <c r="N521" i="4" a="1"/>
  <c r="N521" i="4" s="1"/>
  <c r="L521" i="4"/>
  <c r="O521" i="4" s="1"/>
  <c r="N430" i="4" a="1"/>
  <c r="N430" i="4" s="1"/>
  <c r="L430" i="4"/>
  <c r="O430" i="4" s="1"/>
  <c r="N749" i="4" a="1"/>
  <c r="N749" i="4" s="1"/>
  <c r="L749" i="4"/>
  <c r="O749" i="4" s="1"/>
  <c r="N586" i="4" a="1"/>
  <c r="N586" i="4" s="1"/>
  <c r="L586" i="4"/>
  <c r="O586" i="4" s="1"/>
  <c r="N59" i="4" a="1"/>
  <c r="N59" i="4" s="1"/>
  <c r="L59" i="4"/>
  <c r="O59" i="4" s="1"/>
  <c r="N203" i="4" a="1"/>
  <c r="N203" i="4" s="1"/>
  <c r="L203" i="4"/>
  <c r="O203" i="4" s="1"/>
  <c r="N299" i="4" a="1"/>
  <c r="N299" i="4" s="1"/>
  <c r="L299" i="4"/>
  <c r="O299" i="4" s="1"/>
  <c r="L551" i="4"/>
  <c r="O551" i="4" s="1"/>
  <c r="N551" i="4" a="1"/>
  <c r="N551" i="4" s="1"/>
  <c r="N707" i="4" a="1"/>
  <c r="N707" i="4" s="1"/>
  <c r="L707" i="4"/>
  <c r="O707" i="4" s="1"/>
  <c r="L779" i="4"/>
  <c r="O779" i="4" s="1"/>
  <c r="N779" i="4" a="1"/>
  <c r="N779" i="4" s="1"/>
  <c r="L875" i="4"/>
  <c r="O875" i="4" s="1"/>
  <c r="N875" i="4" a="1"/>
  <c r="N875" i="4" s="1"/>
  <c r="N348" i="4" a="1"/>
  <c r="N348" i="4" s="1"/>
  <c r="L348" i="4"/>
  <c r="O348" i="4" s="1"/>
  <c r="N564" i="4" a="1"/>
  <c r="N564" i="4" s="1"/>
  <c r="L564" i="4"/>
  <c r="O564" i="4" s="1"/>
  <c r="N972" i="4" a="1"/>
  <c r="N972" i="4" s="1"/>
  <c r="L972" i="4"/>
  <c r="O972" i="4" s="1"/>
  <c r="N92" i="4" a="1"/>
  <c r="N92" i="4" s="1"/>
  <c r="L92" i="4"/>
  <c r="O92" i="4" s="1"/>
  <c r="N524" i="4" a="1"/>
  <c r="N524" i="4" s="1"/>
  <c r="L524" i="4"/>
  <c r="O524" i="4" s="1"/>
  <c r="N800" i="4" a="1"/>
  <c r="N800" i="4" s="1"/>
  <c r="L800" i="4"/>
  <c r="O800" i="4" s="1"/>
  <c r="N908" i="4" a="1"/>
  <c r="N908" i="4" s="1"/>
  <c r="L908" i="4"/>
  <c r="O908" i="4" s="1"/>
  <c r="N608" i="4" a="1"/>
  <c r="N608" i="4" s="1"/>
  <c r="L608" i="4"/>
  <c r="O608" i="4" s="1"/>
  <c r="N704" i="4" a="1"/>
  <c r="N704" i="4" s="1"/>
  <c r="L704" i="4"/>
  <c r="O704" i="4" s="1"/>
  <c r="N920" i="4" a="1"/>
  <c r="N920" i="4" s="1"/>
  <c r="L920" i="4"/>
  <c r="O920" i="4" s="1"/>
  <c r="N240" i="4" a="1"/>
  <c r="N240" i="4" s="1"/>
  <c r="L240" i="4"/>
  <c r="O240" i="4" s="1"/>
  <c r="N480" i="4" a="1"/>
  <c r="N480" i="4" s="1"/>
  <c r="L480" i="4"/>
  <c r="O480" i="4" s="1"/>
  <c r="N462" i="4" a="1"/>
  <c r="N462" i="4" s="1"/>
  <c r="L462" i="4"/>
  <c r="O462" i="4" s="1"/>
  <c r="N143" i="4" a="1"/>
  <c r="N143" i="4" s="1"/>
  <c r="L143" i="4"/>
  <c r="O143" i="4" s="1"/>
  <c r="N383" i="4" a="1"/>
  <c r="N383" i="4" s="1"/>
  <c r="L383" i="4"/>
  <c r="O383" i="4" s="1"/>
  <c r="N647" i="4" a="1"/>
  <c r="N647" i="4" s="1"/>
  <c r="L647" i="4"/>
  <c r="O647" i="4" s="1"/>
  <c r="L876" i="4"/>
  <c r="O876" i="4" s="1"/>
  <c r="N876" i="4" a="1"/>
  <c r="N876" i="4" s="1"/>
  <c r="N834" i="4" a="1"/>
  <c r="N834" i="4" s="1"/>
  <c r="L834" i="4"/>
  <c r="O834" i="4" s="1"/>
  <c r="N400" i="4" a="1"/>
  <c r="N400" i="4" s="1"/>
  <c r="L400" i="4"/>
  <c r="O400" i="4" s="1"/>
  <c r="L676" i="4"/>
  <c r="O676" i="4" s="1"/>
  <c r="N676" i="4" a="1"/>
  <c r="N676" i="4" s="1"/>
  <c r="N138" i="4" a="1"/>
  <c r="N138" i="4" s="1"/>
  <c r="L138" i="4"/>
  <c r="O138" i="4" s="1"/>
  <c r="N629" i="4" a="1"/>
  <c r="N629" i="4" s="1"/>
  <c r="L629" i="4"/>
  <c r="O629" i="4" s="1"/>
  <c r="N16" i="4" a="1"/>
  <c r="N16" i="4" s="1"/>
  <c r="L16" i="4"/>
  <c r="O16" i="4" s="1"/>
  <c r="N167" i="4" a="1"/>
  <c r="N167" i="4" s="1"/>
  <c r="L167" i="4"/>
  <c r="O167" i="4" s="1"/>
  <c r="N12" i="4" a="1"/>
  <c r="N12" i="4" s="1"/>
  <c r="L12" i="4"/>
  <c r="O12" i="4" s="1"/>
  <c r="N672" i="4" a="1"/>
  <c r="N672" i="4" s="1"/>
  <c r="L672" i="4"/>
  <c r="O672" i="4" s="1"/>
  <c r="N860" i="4" a="1"/>
  <c r="N860" i="4" s="1"/>
  <c r="L860" i="4"/>
  <c r="O860" i="4" s="1"/>
  <c r="N560" i="4" a="1"/>
  <c r="N560" i="4" s="1"/>
  <c r="L560" i="4"/>
  <c r="O560" i="4" s="1"/>
  <c r="N198" i="4" a="1"/>
  <c r="N198" i="4" s="1"/>
  <c r="L198" i="4"/>
  <c r="O198" i="4" s="1"/>
  <c r="N614" i="4" a="1"/>
  <c r="N614" i="4" s="1"/>
  <c r="L614" i="4"/>
  <c r="O614" i="4" s="1"/>
  <c r="L910" i="4"/>
  <c r="O910" i="4" s="1"/>
  <c r="N910" i="4" a="1"/>
  <c r="N910" i="4" s="1"/>
  <c r="N194" i="4" a="1"/>
  <c r="N194" i="4" s="1"/>
  <c r="L194" i="4"/>
  <c r="O194" i="4" s="1"/>
  <c r="N519" i="4" a="1"/>
  <c r="N519" i="4" s="1"/>
  <c r="L519" i="4"/>
  <c r="O519" i="4" s="1"/>
  <c r="L951" i="4"/>
  <c r="O951" i="4" s="1"/>
  <c r="N951" i="4" a="1"/>
  <c r="N951" i="4" s="1"/>
  <c r="N32" i="4" a="1"/>
  <c r="N32" i="4" s="1"/>
  <c r="L32" i="4"/>
  <c r="O32" i="4" s="1"/>
  <c r="N152" i="4" a="1"/>
  <c r="N152" i="4" s="1"/>
  <c r="L152" i="4"/>
  <c r="O152" i="4" s="1"/>
  <c r="N764" i="4" a="1"/>
  <c r="N764" i="4" s="1"/>
  <c r="L764" i="4"/>
  <c r="O764" i="4" s="1"/>
  <c r="L60" i="4"/>
  <c r="O60" i="4" s="1"/>
  <c r="N60" i="4" a="1"/>
  <c r="N60" i="4" s="1"/>
  <c r="L97" i="4"/>
  <c r="O97" i="4" s="1"/>
  <c r="N97" i="4" a="1"/>
  <c r="N97" i="4" s="1"/>
  <c r="N781" i="4" a="1"/>
  <c r="N781" i="4" s="1"/>
  <c r="L781" i="4"/>
  <c r="O781" i="4" s="1"/>
  <c r="N65" i="4" a="1"/>
  <c r="N65" i="4" s="1"/>
  <c r="L65" i="4"/>
  <c r="O65" i="4" s="1"/>
  <c r="N350" i="4" a="1"/>
  <c r="N350" i="4" s="1"/>
  <c r="L350" i="4"/>
  <c r="O350" i="4" s="1"/>
  <c r="L40" i="4"/>
  <c r="O40" i="4" s="1"/>
  <c r="N40" i="4" a="1"/>
  <c r="N40" i="4" s="1"/>
  <c r="N149" i="4" a="1"/>
  <c r="N149" i="4" s="1"/>
  <c r="L149" i="4"/>
  <c r="O149" i="4" s="1"/>
  <c r="L929" i="4"/>
  <c r="O929" i="4" s="1"/>
  <c r="N929" i="4" a="1"/>
  <c r="N929" i="4" s="1"/>
  <c r="L250" i="4"/>
  <c r="O250" i="4" s="1"/>
  <c r="N250" i="4" a="1"/>
  <c r="N250" i="4" s="1"/>
  <c r="N730" i="4" a="1"/>
  <c r="N730" i="4" s="1"/>
  <c r="L730" i="4"/>
  <c r="O730" i="4" s="1"/>
  <c r="N431" i="4" a="1"/>
  <c r="N431" i="4" s="1"/>
  <c r="L431" i="4"/>
  <c r="O431" i="4" s="1"/>
  <c r="N164" i="4" a="1"/>
  <c r="N164" i="4" s="1"/>
  <c r="L164" i="4"/>
  <c r="O164" i="4" s="1"/>
  <c r="N828" i="4" a="1"/>
  <c r="N828" i="4" s="1"/>
  <c r="L828" i="4"/>
  <c r="O828" i="4" s="1"/>
  <c r="L121" i="4"/>
  <c r="O121" i="4" s="1"/>
  <c r="N121" i="4" a="1"/>
  <c r="N121" i="4" s="1"/>
  <c r="N723" i="4" a="1"/>
  <c r="N723" i="4" s="1"/>
  <c r="L723" i="4"/>
  <c r="O723" i="4" s="1"/>
  <c r="N732" i="4" a="1"/>
  <c r="N732" i="4" s="1"/>
  <c r="L732" i="4"/>
  <c r="O732" i="4" s="1"/>
  <c r="N176" i="4" a="1"/>
  <c r="N176" i="4" s="1"/>
  <c r="L176" i="4"/>
  <c r="O176" i="4" s="1"/>
  <c r="N960" i="4" a="1"/>
  <c r="N960" i="4" s="1"/>
  <c r="L960" i="4"/>
  <c r="O960" i="4" s="1"/>
  <c r="N344" i="4" a="1"/>
  <c r="N344" i="4" s="1"/>
  <c r="L344" i="4"/>
  <c r="O344" i="4" s="1"/>
  <c r="N150" i="4" a="1"/>
  <c r="N150" i="4" s="1"/>
  <c r="L150" i="4"/>
  <c r="O150" i="4" s="1"/>
  <c r="N685" i="4" a="1"/>
  <c r="N685" i="4" s="1"/>
  <c r="L685" i="4"/>
  <c r="O685" i="4" s="1"/>
  <c r="N998" i="4" a="1"/>
  <c r="N998" i="4" s="1"/>
  <c r="L998" i="4"/>
  <c r="O998" i="4" s="1"/>
  <c r="N450" i="4" a="1"/>
  <c r="N450" i="4" s="1"/>
  <c r="L450" i="4"/>
  <c r="O450" i="4" s="1"/>
  <c r="N774" i="4" a="1"/>
  <c r="N774" i="4" s="1"/>
  <c r="L774" i="4"/>
  <c r="O774" i="4" s="1"/>
  <c r="N112" i="4" a="1"/>
  <c r="N112" i="4" s="1"/>
  <c r="L112" i="4"/>
  <c r="O112" i="4" s="1"/>
  <c r="N5" i="4" a="1"/>
  <c r="N5" i="4" s="1"/>
  <c r="L5" i="4"/>
  <c r="O5" i="4" s="1"/>
  <c r="N18" i="4" a="1"/>
  <c r="N18" i="4" s="1"/>
  <c r="L18" i="4"/>
  <c r="O18" i="4" s="1"/>
  <c r="N903" i="4" a="1"/>
  <c r="N903" i="4" s="1"/>
  <c r="L903" i="4"/>
  <c r="O903" i="4" s="1"/>
  <c r="N162" i="4" a="1"/>
  <c r="N162" i="4" s="1"/>
  <c r="L162" i="4"/>
  <c r="O162" i="4" s="1"/>
  <c r="N484" i="4" a="1"/>
  <c r="N484" i="4" s="1"/>
  <c r="L484" i="4"/>
  <c r="O484" i="4" s="1"/>
  <c r="L868" i="4"/>
  <c r="O868" i="4" s="1"/>
  <c r="N868" i="4" a="1"/>
  <c r="N868" i="4" s="1"/>
  <c r="N566" i="4" a="1"/>
  <c r="N566" i="4" s="1"/>
  <c r="L566" i="4"/>
  <c r="O566" i="4" s="1"/>
  <c r="N826" i="4" a="1"/>
  <c r="N826" i="4" s="1"/>
  <c r="L826" i="4"/>
  <c r="O826" i="4" s="1"/>
  <c r="L946" i="4"/>
  <c r="O946" i="4" s="1"/>
  <c r="N946" i="4" a="1"/>
  <c r="N946" i="4" s="1"/>
  <c r="N840" i="4" a="1"/>
  <c r="N840" i="4" s="1"/>
  <c r="L840" i="4"/>
  <c r="O840" i="4" s="1"/>
  <c r="N224" i="4" a="1"/>
  <c r="N224" i="4" s="1"/>
  <c r="L224" i="4"/>
  <c r="O224" i="4" s="1"/>
  <c r="N356" i="4" a="1"/>
  <c r="N356" i="4" s="1"/>
  <c r="L356" i="4"/>
  <c r="O356" i="4" s="1"/>
  <c r="N108" i="4" a="1"/>
  <c r="N108" i="4" s="1"/>
  <c r="L108" i="4"/>
  <c r="O108" i="4" s="1"/>
  <c r="N300" i="4" a="1"/>
  <c r="N300" i="4" s="1"/>
  <c r="L300" i="4"/>
  <c r="O300" i="4" s="1"/>
  <c r="N576" i="4" a="1"/>
  <c r="N576" i="4" s="1"/>
  <c r="L576" i="4"/>
  <c r="O576" i="4" s="1"/>
  <c r="L768" i="4"/>
  <c r="O768" i="4" s="1"/>
  <c r="N768" i="4" a="1"/>
  <c r="N768" i="4" s="1"/>
  <c r="L44" i="4"/>
  <c r="O44" i="4" s="1"/>
  <c r="N44" i="4" a="1"/>
  <c r="N44" i="4" s="1"/>
  <c r="N236" i="4" a="1"/>
  <c r="N236" i="4" s="1"/>
  <c r="L236" i="4"/>
  <c r="O236" i="4" s="1"/>
  <c r="L392" i="4"/>
  <c r="O392" i="4" s="1"/>
  <c r="N392" i="4" a="1"/>
  <c r="N392" i="4" s="1"/>
  <c r="N512" i="4" a="1"/>
  <c r="N512" i="4" s="1"/>
  <c r="L512" i="4"/>
  <c r="O512" i="4" s="1"/>
  <c r="N620" i="4" a="1"/>
  <c r="N620" i="4" s="1"/>
  <c r="L620" i="4"/>
  <c r="O620" i="4" s="1"/>
  <c r="N728" i="4" a="1"/>
  <c r="N728" i="4" s="1"/>
  <c r="L728" i="4"/>
  <c r="O72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<sst xmlns="http://schemas.openxmlformats.org/spreadsheetml/2006/main" count="9431" uniqueCount="1147">
  <si>
    <t xml:space="preserve">Sr. No. </t>
  </si>
  <si>
    <t xml:space="preserve">Product ID </t>
  </si>
  <si>
    <t>Prdocut Name</t>
  </si>
  <si>
    <t>Category</t>
  </si>
  <si>
    <t>System_Stock_Qty</t>
  </si>
  <si>
    <t>Physical_Stock_Qty</t>
  </si>
  <si>
    <t>Unit_Cost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</si>
  <si>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</si>
  <si>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</si>
  <si>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</si>
  <si>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</si>
  <si>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</si>
  <si>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</si>
  <si>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</si>
  <si>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</si>
  <si>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</si>
  <si>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</si>
  <si>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</si>
  <si>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</si>
  <si>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</si>
  <si>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</si>
  <si>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</si>
  <si>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</si>
  <si>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</si>
  <si>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</si>
  <si>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</si>
  <si>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</si>
  <si>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</si>
  <si>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</si>
  <si>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</si>
  <si>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</si>
  <si>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</si>
  <si>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</si>
  <si>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</si>
  <si>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</si>
  <si>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</si>
  <si>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</si>
  <si>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</si>
  <si>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</si>
  <si>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</si>
  <si>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</si>
  <si>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</si>
  <si>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</si>
  <si>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</si>
  <si>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</si>
  <si>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</si>
  <si>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</si>
  <si>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</si>
  <si>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</si>
  <si>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</si>
  <si>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</si>
  <si>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</si>
  <si>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</si>
  <si>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</si>
  <si>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</si>
  <si>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</si>
  <si>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</si>
  <si>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</si>
  <si>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</si>
  <si>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</si>
  <si>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</si>
  <si>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</si>
  <si>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</si>
  <si>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</si>
  <si>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</si>
  <si>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</si>
  <si>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</si>
  <si>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</si>
  <si>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</si>
  <si>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</si>
  <si>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</si>
  <si>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</si>
  <si>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</si>
  <si>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</si>
  <si>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</si>
  <si>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</si>
  <si>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</si>
  <si>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</si>
  <si>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</si>
  <si>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</si>
  <si>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</si>
  <si>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</si>
  <si>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</si>
  <si>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</si>
  <si>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</si>
  <si>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</si>
  <si>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</si>
  <si>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</si>
  <si>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</si>
  <si>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</si>
  <si>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</si>
  <si>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</si>
  <si>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</si>
  <si>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</si>
  <si>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</si>
  <si>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</si>
  <si>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</si>
  <si>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</si>
  <si>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</si>
  <si>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</si>
  <si>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</si>
  <si>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</si>
  <si>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</si>
  <si>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</si>
  <si>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</si>
  <si>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</si>
  <si>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</si>
  <si>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</si>
  <si>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</si>
  <si>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</si>
  <si>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</si>
  <si>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</si>
  <si>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</si>
  <si>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</si>
  <si>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</si>
  <si>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</si>
  <si>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</si>
  <si>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</si>
  <si>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</si>
  <si>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</si>
  <si>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</si>
  <si>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</si>
  <si>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</si>
  <si>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</si>
  <si>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</si>
  <si>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</si>
  <si>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</si>
  <si>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</si>
  <si>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</si>
  <si>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</si>
  <si>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</si>
  <si>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</si>
  <si>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</si>
  <si>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</si>
  <si>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</si>
  <si>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</si>
  <si>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</si>
  <si>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</si>
  <si>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</si>
  <si>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</si>
  <si>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</si>
  <si>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</si>
  <si>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</si>
  <si>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</si>
  <si>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</si>
  <si>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</si>
  <si>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</si>
  <si>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</si>
  <si>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</si>
  <si>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</si>
  <si>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</si>
  <si>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</si>
  <si>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</si>
  <si>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</si>
  <si>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</si>
  <si>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</si>
  <si>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</si>
  <si>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</si>
  <si>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</si>
  <si>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</si>
  <si>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</si>
  <si>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</si>
  <si>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</si>
  <si>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</si>
  <si>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</si>
  <si>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</si>
  <si>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</si>
  <si>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</si>
  <si>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</si>
  <si>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</si>
  <si>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</si>
  <si>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</si>
  <si>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</si>
  <si>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</si>
  <si>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</si>
  <si>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</si>
  <si>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</si>
  <si>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</si>
  <si>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</si>
  <si>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</si>
  <si>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</si>
  <si>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</si>
  <si>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</si>
  <si>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</si>
  <si>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</si>
  <si>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</si>
  <si>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</si>
  <si>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</si>
  <si>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</si>
  <si>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</si>
  <si>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</si>
  <si>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</si>
  <si>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</si>
  <si>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</si>
  <si>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</si>
  <si>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</si>
  <si>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</si>
  <si>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</si>
  <si>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</si>
  <si>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</si>
  <si>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</si>
  <si>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</si>
  <si>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</si>
  <si>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</si>
  <si>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</si>
  <si>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</si>
  <si>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</si>
  <si>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</si>
  <si>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</si>
  <si>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</si>
  <si>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</si>
  <si>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</si>
  <si>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</si>
  <si>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</si>
  <si>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</si>
  <si>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</si>
  <si>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</si>
  <si>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</si>
  <si>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</si>
  <si>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</si>
  <si>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</si>
  <si>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</si>
  <si>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</si>
  <si>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</si>
  <si>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</si>
  <si>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</si>
  <si>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</si>
  <si>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</si>
  <si>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</si>
  <si>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</si>
  <si>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</si>
  <si>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</si>
  <si>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</si>
  <si>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</si>
  <si>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</si>
  <si>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</si>
  <si>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</si>
  <si>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</si>
  <si>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</si>
  <si>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</si>
  <si>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</si>
  <si>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</si>
  <si>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</si>
  <si>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</si>
  <si>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</si>
  <si>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</si>
  <si>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</si>
  <si>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</si>
  <si>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</si>
  <si>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</si>
  <si>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</si>
  <si>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</si>
  <si>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</si>
  <si>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</si>
  <si>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</si>
  <si>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</si>
  <si>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</si>
  <si>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</si>
  <si>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</si>
  <si>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</si>
  <si>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</si>
  <si>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</si>
  <si>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</si>
  <si>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</si>
  <si>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</si>
  <si>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</si>
  <si>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</si>
  <si>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</si>
  <si>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</si>
  <si>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</si>
  <si>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</si>
  <si>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</si>
  <si>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</si>
  <si>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</si>
  <si>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</si>
  <si>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</si>
  <si>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</si>
  <si>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</si>
  <si>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</si>
  <si>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</si>
  <si>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</si>
  <si>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</si>
  <si>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</si>
  <si>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</si>
  <si>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</si>
  <si>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</si>
  <si>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</si>
  <si>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</si>
  <si>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</si>
  <si>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</si>
  <si>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</si>
  <si>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</si>
  <si>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</si>
  <si>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</si>
  <si>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</si>
  <si>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</si>
  <si>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</si>
  <si>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</si>
  <si>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</si>
  <si>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</si>
  <si>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</si>
  <si>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</si>
  <si>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</si>
  <si>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</si>
  <si>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</si>
  <si>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</si>
  <si>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</si>
  <si>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</si>
  <si>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</si>
  <si>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</si>
  <si>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</si>
  <si>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</si>
  <si>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</si>
  <si>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</si>
  <si>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</si>
  <si>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</si>
  <si>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</si>
  <si>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</si>
  <si>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</si>
  <si>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</si>
  <si>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</si>
  <si>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</si>
  <si>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</si>
  <si>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</si>
  <si>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</si>
  <si>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</si>
  <si>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</si>
  <si>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</si>
  <si>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</si>
  <si>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</si>
  <si>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</si>
  <si>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</si>
  <si>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</si>
  <si>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</si>
  <si>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</si>
  <si>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</si>
  <si>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</si>
  <si>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</si>
  <si>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</si>
  <si>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</si>
  <si>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</si>
  <si>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</si>
  <si>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</si>
  <si>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</si>
  <si>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</si>
  <si>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</si>
  <si>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</si>
  <si>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</si>
  <si>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</si>
  <si>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</si>
  <si>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</si>
  <si>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</si>
  <si>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</si>
  <si>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</si>
  <si>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</si>
  <si>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</si>
  <si>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</si>
  <si>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</si>
  <si>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</si>
  <si>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</si>
  <si>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</si>
  <si>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</si>
  <si>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</si>
  <si>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</si>
  <si>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</si>
  <si>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</si>
  <si>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</si>
  <si>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</si>
  <si>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</si>
  <si>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</si>
  <si>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</si>
  <si>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</si>
  <si>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</si>
  <si>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</si>
  <si>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</si>
  <si>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</si>
  <si>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</si>
  <si>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</si>
  <si>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</si>
  <si>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</si>
  <si>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</si>
  <si>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</si>
  <si>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</si>
  <si>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</si>
  <si>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</si>
  <si>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</si>
  <si>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</si>
  <si>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</si>
  <si>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</si>
  <si>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</si>
  <si>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</si>
  <si>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</si>
  <si>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</si>
  <si>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</si>
  <si>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</si>
  <si>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</si>
  <si>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</si>
  <si>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</si>
  <si>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</si>
  <si>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</si>
  <si>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</si>
  <si>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</si>
  <si>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</si>
  <si>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</si>
  <si>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</si>
  <si>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</si>
  <si>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</si>
  <si>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</si>
  <si>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</si>
  <si>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</si>
  <si>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</si>
  <si>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</si>
  <si>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</si>
  <si>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</si>
  <si>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</si>
  <si>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</si>
  <si>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</si>
  <si>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</si>
  <si>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</si>
  <si>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</si>
  <si>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</si>
  <si>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</si>
  <si>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</si>
  <si>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</si>
  <si>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</si>
  <si>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</si>
  <si>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</si>
  <si>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</si>
  <si>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</si>
  <si>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</si>
  <si>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</si>
  <si>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</si>
  <si>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</si>
  <si>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</si>
  <si>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</si>
  <si>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</si>
  <si>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</si>
  <si>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</si>
  <si>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</si>
  <si>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</si>
  <si>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</si>
  <si>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</si>
  <si>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</si>
  <si>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</si>
  <si>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</si>
  <si>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</si>
  <si>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</si>
  <si>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</si>
  <si>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</si>
  <si>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</si>
  <si>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</si>
  <si>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</si>
  <si>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</si>
  <si>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</si>
  <si>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</si>
  <si>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</si>
  <si>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</si>
  <si>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</si>
  <si>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</si>
  <si>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</si>
  <si>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</si>
  <si>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</si>
  <si>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</si>
  <si>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</si>
  <si>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</si>
  <si>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</si>
  <si>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</si>
  <si>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</si>
  <si>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</si>
  <si>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</si>
  <si>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</si>
  <si>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</si>
  <si>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</si>
  <si>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</si>
  <si>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</si>
  <si>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</si>
  <si>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</si>
  <si>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</si>
  <si>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</si>
  <si>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</si>
  <si>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</si>
  <si>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</si>
  <si>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</si>
  <si>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</si>
  <si>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</si>
  <si>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</si>
  <si>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</si>
  <si>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</si>
  <si>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</si>
  <si>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</si>
  <si>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</si>
  <si>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</si>
  <si>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</si>
  <si>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</si>
  <si>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</si>
  <si>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</si>
  <si>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</si>
  <si>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</si>
  <si>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</si>
  <si>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</si>
  <si>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</si>
  <si>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</si>
  <si>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</si>
  <si>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</si>
  <si>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</si>
  <si>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</si>
  <si>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</si>
  <si>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</si>
  <si>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</si>
  <si>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</si>
  <si>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</si>
  <si>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</si>
  <si>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</si>
  <si>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</si>
  <si>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</si>
  <si>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</si>
  <si>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</si>
  <si>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</si>
  <si>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</si>
  <si>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</si>
  <si>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</si>
  <si>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</si>
  <si>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</si>
  <si>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</si>
  <si>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</si>
  <si>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</si>
  <si>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</si>
  <si>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</si>
  <si>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</si>
  <si>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</si>
  <si>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</si>
  <si>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</si>
  <si>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</si>
  <si>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</si>
  <si>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</si>
  <si>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</si>
  <si>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</si>
  <si>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</si>
  <si>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</si>
  <si>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</si>
  <si>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</si>
  <si>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</si>
  <si>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</si>
  <si>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</si>
  <si>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</si>
  <si>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</si>
  <si>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</si>
  <si>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</si>
  <si>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</si>
  <si>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</si>
  <si>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</si>
  <si>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</si>
  <si>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</si>
  <si>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</si>
  <si>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</si>
  <si>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</si>
  <si>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</si>
  <si>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</si>
  <si>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</si>
  <si>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</si>
  <si>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</si>
  <si>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</si>
  <si>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</si>
  <si>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</si>
  <si>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</si>
  <si>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</si>
  <si>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</si>
  <si>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</si>
  <si>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</si>
  <si>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</si>
  <si>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</si>
  <si>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</si>
  <si>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</si>
  <si>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</si>
  <si>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</si>
  <si>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</si>
  <si>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</si>
  <si>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</si>
  <si>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</si>
  <si>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</si>
  <si>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</si>
  <si>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</si>
  <si>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</si>
  <si>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</si>
  <si>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</si>
  <si>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</si>
  <si>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</si>
  <si>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</si>
  <si>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</si>
  <si>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</si>
  <si>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</si>
  <si>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</si>
  <si>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</si>
  <si>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</si>
  <si>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</si>
  <si>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</si>
  <si>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</si>
  <si>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</si>
  <si>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</si>
  <si>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</si>
  <si>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</si>
  <si>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</si>
  <si>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</si>
  <si>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</si>
  <si>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</si>
  <si>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</si>
  <si>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</si>
  <si>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</si>
  <si>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</si>
  <si>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</si>
  <si>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</si>
  <si>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</si>
  <si>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</si>
  <si>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</si>
  <si>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</si>
  <si>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</si>
  <si>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</si>
  <si>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</si>
  <si>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</si>
  <si>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</si>
  <si>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</si>
  <si>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</si>
  <si>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</si>
  <si>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</si>
  <si>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</si>
  <si>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</si>
  <si>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</si>
  <si>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</si>
  <si>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</si>
  <si>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</si>
  <si>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</si>
  <si>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</si>
  <si>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</si>
  <si>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</si>
  <si>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</si>
  <si>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</si>
  <si>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</si>
  <si>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</si>
  <si>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</si>
  <si>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</si>
  <si>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</si>
  <si>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</si>
  <si>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</si>
  <si>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</si>
  <si>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</si>
  <si>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</si>
  <si>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</si>
  <si>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</si>
  <si>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</si>
  <si>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</si>
  <si>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</si>
  <si>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</si>
  <si>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</si>
  <si>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</si>
  <si>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</si>
  <si>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</si>
  <si>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</si>
  <si>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</si>
  <si>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</si>
  <si>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</si>
  <si>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</si>
  <si>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</si>
  <si>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</si>
  <si>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</si>
  <si>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</si>
  <si>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</si>
  <si>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</si>
  <si>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</si>
  <si>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</si>
  <si>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</si>
  <si>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</si>
  <si>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</si>
  <si>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</si>
  <si>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</si>
  <si>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</si>
  <si>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</si>
  <si>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</si>
  <si>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</si>
  <si>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</si>
  <si>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</si>
  <si>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</si>
  <si>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</si>
  <si>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</si>
  <si>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</si>
  <si>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</si>
  <si>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</si>
  <si>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</si>
  <si>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</si>
  <si>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</si>
  <si>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</si>
  <si>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</si>
  <si>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</si>
  <si>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</si>
  <si>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</si>
  <si>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</si>
  <si>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</si>
  <si>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</si>
  <si>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</si>
  <si>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</si>
  <si>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</si>
  <si>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</si>
  <si>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</si>
  <si>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</si>
  <si>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</si>
  <si>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</si>
  <si>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</si>
  <si>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</si>
  <si>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</si>
  <si>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</si>
  <si>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</si>
  <si>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</si>
  <si>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</si>
  <si>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</si>
  <si>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</si>
  <si>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</si>
  <si>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</si>
  <si>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</si>
  <si>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</si>
  <si>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</si>
  <si>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</si>
  <si>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</si>
  <si>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</si>
  <si>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</si>
  <si>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</si>
  <si>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</si>
  <si>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</si>
  <si>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</si>
  <si>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</si>
  <si>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</si>
  <si>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</si>
  <si>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</si>
  <si>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</si>
  <si>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</si>
  <si>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</si>
  <si>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</si>
  <si>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</si>
  <si>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</si>
  <si>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</si>
  <si>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</si>
  <si>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</si>
  <si>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</si>
  <si>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</si>
  <si>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</si>
  <si>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</si>
  <si>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</si>
  <si>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</si>
  <si>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</si>
  <si>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</si>
  <si>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</si>
  <si>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</si>
  <si>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</si>
  <si>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</si>
  <si>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</si>
  <si>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</si>
  <si>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</si>
  <si>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</si>
  <si>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</si>
  <si>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</si>
  <si>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</si>
  <si>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</si>
  <si>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</si>
  <si>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</si>
  <si>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</si>
  <si>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</si>
  <si>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</si>
  <si>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</si>
  <si>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</si>
  <si>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</si>
  <si>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</si>
  <si>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</si>
  <si>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</si>
  <si>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</si>
  <si>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</si>
  <si>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</si>
  <si>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</si>
  <si>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</si>
  <si>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</si>
  <si>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</si>
  <si>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</si>
  <si>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</si>
  <si>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</si>
  <si>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</si>
  <si>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</si>
  <si>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</si>
  <si>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</si>
  <si>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</si>
  <si>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</si>
  <si>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</si>
  <si>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</si>
  <si>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</si>
  <si>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</si>
  <si>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</si>
  <si>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</si>
  <si>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</si>
  <si>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</si>
  <si>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</si>
  <si>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</si>
  <si>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</si>
  <si>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</si>
  <si>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</si>
  <si>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</si>
  <si>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</si>
  <si>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</si>
  <si>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</si>
  <si>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</si>
  <si>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</si>
  <si>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</si>
  <si>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</si>
  <si>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</si>
  <si>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</si>
  <si>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</si>
  <si>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</si>
  <si>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</si>
  <si>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</si>
  <si>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</si>
  <si>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</si>
  <si>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</si>
  <si>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</si>
  <si>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</si>
  <si>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</si>
  <si>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</si>
  <si>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</si>
  <si>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</si>
  <si>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</si>
  <si>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</si>
  <si>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</si>
  <si>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</si>
  <si>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</si>
  <si>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</si>
  <si>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</si>
  <si>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</si>
  <si>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</si>
  <si>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</si>
  <si>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</si>
  <si>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</si>
  <si>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</si>
  <si>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</si>
  <si>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</si>
  <si>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</si>
  <si>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</si>
  <si>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</si>
  <si>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</si>
  <si>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</si>
  <si>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</si>
  <si>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</si>
  <si>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</si>
  <si>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</si>
  <si>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</si>
  <si>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</si>
  <si>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</si>
  <si>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</si>
  <si>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</si>
  <si>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</si>
  <si>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</si>
  <si>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</si>
  <si>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</si>
  <si>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</si>
  <si>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</si>
  <si>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</si>
  <si>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</si>
  <si>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</si>
  <si>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</si>
  <si>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</si>
  <si>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</si>
  <si>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</si>
  <si>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</si>
  <si>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</si>
  <si>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</si>
  <si>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</si>
  <si>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</si>
  <si>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</si>
  <si>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</si>
  <si>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</si>
  <si>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</si>
  <si>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</si>
  <si>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</si>
  <si>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</si>
  <si>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</si>
  <si>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</si>
  <si>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</si>
  <si>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</si>
  <si>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</si>
  <si>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</si>
  <si>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</si>
  <si>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</si>
  <si>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</si>
  <si>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</si>
  <si>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</si>
  <si>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</si>
  <si>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</si>
  <si>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</si>
  <si>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</si>
  <si>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</si>
  <si>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</si>
  <si>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</si>
  <si>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</si>
  <si>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</si>
  <si>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</si>
  <si>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</si>
  <si>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</si>
  <si>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</si>
  <si>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</si>
  <si>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</si>
  <si>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</si>
  <si>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</si>
  <si>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</si>
  <si>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</si>
  <si>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</si>
  <si>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</si>
  <si>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</si>
  <si>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</si>
  <si>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</si>
  <si>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</si>
  <si>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</si>
  <si>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</si>
  <si>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</si>
  <si>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</si>
  <si>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</si>
  <si>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</si>
  <si>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</si>
  <si>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</si>
  <si>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</si>
  <si>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</si>
  <si>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</si>
  <si>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</si>
  <si>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</si>
  <si>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</si>
  <si>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</si>
  <si>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</si>
  <si>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</si>
  <si>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</si>
  <si>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</si>
  <si>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</si>
  <si>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</si>
  <si>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</si>
  <si>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</si>
  <si>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</si>
  <si>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</si>
  <si>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</si>
  <si>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</si>
  <si>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</si>
  <si>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</si>
  <si>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</si>
  <si>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</si>
  <si>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</si>
  <si>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</si>
  <si>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</si>
  <si>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</si>
  <si>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</si>
  <si>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</si>
  <si>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</si>
  <si>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</si>
  <si>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</si>
  <si>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</si>
  <si>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</si>
  <si>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</si>
  <si>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</si>
  <si>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</si>
  <si>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</si>
  <si>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</si>
  <si>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</si>
  <si>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</si>
  <si>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</si>
  <si>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</si>
  <si>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</si>
  <si>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</si>
  <si>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</si>
  <si>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</si>
  <si>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</si>
  <si>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</si>
  <si>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</si>
  <si>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</si>
  <si>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</si>
  <si>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</si>
  <si>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</si>
  <si>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</si>
  <si>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</si>
  <si>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</si>
  <si>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</si>
  <si>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</si>
  <si>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</si>
  <si>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</si>
  <si>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</si>
  <si>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</si>
  <si>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</si>
  <si>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</si>
  <si>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</si>
  <si>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</si>
  <si>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</si>
  <si>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</si>
  <si>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</si>
  <si>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</si>
  <si>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</si>
  <si>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</si>
  <si>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</si>
  <si>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</si>
  <si>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</si>
  <si>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</si>
  <si>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</si>
  <si>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</si>
  <si>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</si>
  <si>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</si>
  <si>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</si>
  <si>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</si>
  <si>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</si>
  <si>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</si>
  <si>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</si>
  <si>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Furniture</t>
  </si>
  <si>
    <t>Electronics</t>
  </si>
  <si>
    <t>Accessories</t>
  </si>
  <si>
    <t>Stationery</t>
  </si>
  <si>
    <t>Networking</t>
  </si>
  <si>
    <t>Hardware</t>
  </si>
  <si>
    <t>Data Cable, Iphone Charger, Smartphone, Headphone, Ear Buds, Phone case, USB, Pen Drive, Wireless Charger, Phone Mount, Screen Guard, Smartwatch Case, Phone Mount, Bike Mount, Tablet Cover, smartphone Skins</t>
  </si>
  <si>
    <t>fridge, cooler, washing maching, Iphone, Tabs, smartwatch, Apple Watch, Car Play, Dryer, Cameras, Go pro, toster, Microwave, AC set</t>
  </si>
  <si>
    <t>Bed, table, Dressing table, Chairs, Dinning table, Study Table, Doors, Book Shelves</t>
  </si>
  <si>
    <t>Books, Pens, Pencils, Eraser, maps, Cardboard, Whitener, Scratch Book, Colors, Geomatery box, Scales, Compas, Sticky Notes</t>
  </si>
  <si>
    <t>Hammer</t>
  </si>
  <si>
    <t xml:space="preserve"> Drill Machine</t>
  </si>
  <si>
    <t>Hammer, Screwdriver Set, Wrench, Drill Machine, Pilers, Measuring Tape, Chain Saw Blade, Screws</t>
  </si>
  <si>
    <t>Router, Switch, Network Cable (Ethernet), AccessPoint (Wi-Fi AP), Firewall Appliance, Network Interface Card  (NIC), Path Pane, Modem, SFP Module (Fiber Transceiver), Cable Tester, Rack Mount Kit</t>
  </si>
  <si>
    <t>fridge</t>
  </si>
  <si>
    <t xml:space="preserve"> cooler</t>
  </si>
  <si>
    <t xml:space="preserve"> washing maching</t>
  </si>
  <si>
    <t xml:space="preserve"> Iphone</t>
  </si>
  <si>
    <t xml:space="preserve"> Tabs</t>
  </si>
  <si>
    <t xml:space="preserve"> smartwatch</t>
  </si>
  <si>
    <t xml:space="preserve"> Apple Watch</t>
  </si>
  <si>
    <t xml:space="preserve"> Car Play</t>
  </si>
  <si>
    <t xml:space="preserve"> Dryer</t>
  </si>
  <si>
    <t xml:space="preserve"> Cameras</t>
  </si>
  <si>
    <t xml:space="preserve"> Go pro</t>
  </si>
  <si>
    <t xml:space="preserve"> toster</t>
  </si>
  <si>
    <t xml:space="preserve"> Microwave</t>
  </si>
  <si>
    <t xml:space="preserve"> AC set</t>
  </si>
  <si>
    <t>Bed</t>
  </si>
  <si>
    <t xml:space="preserve"> table</t>
  </si>
  <si>
    <t xml:space="preserve"> Dressing table</t>
  </si>
  <si>
    <t xml:space="preserve"> Chairs</t>
  </si>
  <si>
    <t xml:space="preserve"> Dinning table</t>
  </si>
  <si>
    <t xml:space="preserve"> Study Table</t>
  </si>
  <si>
    <t xml:space="preserve"> Doors</t>
  </si>
  <si>
    <t xml:space="preserve"> Book Shelves</t>
  </si>
  <si>
    <t>Books</t>
  </si>
  <si>
    <t xml:space="preserve"> Pens</t>
  </si>
  <si>
    <t xml:space="preserve"> Pencils</t>
  </si>
  <si>
    <t xml:space="preserve"> Eraser</t>
  </si>
  <si>
    <t xml:space="preserve"> maps</t>
  </si>
  <si>
    <t xml:space="preserve"> Cardboard</t>
  </si>
  <si>
    <t xml:space="preserve"> Whitener</t>
  </si>
  <si>
    <t xml:space="preserve"> Scratch Book</t>
  </si>
  <si>
    <t xml:space="preserve"> Colors</t>
  </si>
  <si>
    <t xml:space="preserve"> Geomatery box</t>
  </si>
  <si>
    <t xml:space="preserve"> Scales</t>
  </si>
  <si>
    <t xml:space="preserve"> Compas</t>
  </si>
  <si>
    <t xml:space="preserve"> Sticky Notes</t>
  </si>
  <si>
    <t xml:space="preserve"> Screwdriver Set</t>
  </si>
  <si>
    <t xml:space="preserve"> Wrench</t>
  </si>
  <si>
    <t xml:space="preserve"> Pilers</t>
  </si>
  <si>
    <t xml:space="preserve"> Measuring Tape</t>
  </si>
  <si>
    <t xml:space="preserve"> Chain Saw Blade</t>
  </si>
  <si>
    <t xml:space="preserve"> Screws</t>
  </si>
  <si>
    <t>Data Cable</t>
  </si>
  <si>
    <t xml:space="preserve"> Iphone Charger</t>
  </si>
  <si>
    <t xml:space="preserve"> Smartphone</t>
  </si>
  <si>
    <t xml:space="preserve"> Headphone</t>
  </si>
  <si>
    <t xml:space="preserve"> Ear Buds</t>
  </si>
  <si>
    <t xml:space="preserve"> Phone case</t>
  </si>
  <si>
    <t xml:space="preserve"> USB</t>
  </si>
  <si>
    <t xml:space="preserve"> Pen Drive</t>
  </si>
  <si>
    <t xml:space="preserve"> Wireless Charger</t>
  </si>
  <si>
    <t xml:space="preserve"> Phone Mount</t>
  </si>
  <si>
    <t xml:space="preserve"> Screen Guard</t>
  </si>
  <si>
    <t xml:space="preserve"> Smartwatch Case</t>
  </si>
  <si>
    <t xml:space="preserve"> Bike Mount</t>
  </si>
  <si>
    <t xml:space="preserve"> Tablet Cover</t>
  </si>
  <si>
    <t xml:space="preserve"> smartphone Skins</t>
  </si>
  <si>
    <t>Router</t>
  </si>
  <si>
    <t xml:space="preserve"> Switch</t>
  </si>
  <si>
    <t xml:space="preserve"> Network Cable (Ethernet)</t>
  </si>
  <si>
    <t xml:space="preserve"> AccessPoint (Wi-Fi AP)</t>
  </si>
  <si>
    <t xml:space="preserve"> Firewall Appliance</t>
  </si>
  <si>
    <t xml:space="preserve"> Network Interface Card  (NIC)</t>
  </si>
  <si>
    <t xml:space="preserve"> Path Pane</t>
  </si>
  <si>
    <t xml:space="preserve"> Modem</t>
  </si>
  <si>
    <t xml:space="preserve"> SFP Module (Fiber Transceiver)</t>
  </si>
  <si>
    <t xml:space="preserve"> Cable Tester</t>
  </si>
  <si>
    <t xml:space="preserve"> Rack Mount Kit</t>
  </si>
  <si>
    <t>Unit_price</t>
  </si>
  <si>
    <t>Unit Price</t>
  </si>
  <si>
    <t>cooler</t>
  </si>
  <si>
    <r>
      <rPr>
        <b/>
        <sz val="11"/>
        <color theme="1"/>
        <rFont val="Calibri"/>
        <family val="2"/>
        <scheme val="minor"/>
      </rPr>
      <t>Formula to get unit price :</t>
    </r>
    <r>
      <rPr>
        <sz val="11"/>
        <color theme="1"/>
        <rFont val="Calibri"/>
        <family val="2"/>
        <scheme val="minor"/>
      </rPr>
      <t>-XLOOKUP(B2, $H$11:$H$24, $I$11:$I$24, XLOOKUP(B2, $J$11:$J$24, $K$11:$K$24,XLOOKUP(B2, $L$11:$L$23,$M$11:$M$23,XLOOKUP(B2, $N$11:$N$18,$O$11:$O$18,XLOOKUP(B2, $P$11:$P$26,$Q$11:$Q$26,XLOOKUP(B2, $R$11:$R$21,$S$11:$S$21,0))))))</t>
    </r>
  </si>
  <si>
    <t>Stock Difference</t>
  </si>
  <si>
    <t>Status</t>
  </si>
  <si>
    <t>Mismatch Qty</t>
  </si>
  <si>
    <t>Value Impact</t>
  </si>
  <si>
    <t>Total Product Value</t>
  </si>
  <si>
    <t>Severity</t>
  </si>
  <si>
    <t>High Value Flag</t>
  </si>
  <si>
    <t>STOCK MISMATCH ANALYSIS</t>
  </si>
  <si>
    <t>Total Product</t>
  </si>
  <si>
    <t>Inventory Accuracy %</t>
  </si>
  <si>
    <t>Total Financial Impact</t>
  </si>
  <si>
    <t>Mismatch</t>
  </si>
  <si>
    <t>Shortage</t>
  </si>
  <si>
    <t>Excess</t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</si>
  <si>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COUNT(Table13[Sr. No. ])</t>
    </r>
  </si>
  <si>
    <r>
      <rPr>
        <b/>
        <sz val="11"/>
        <color theme="1"/>
        <rFont val="Calibri"/>
        <family val="2"/>
        <scheme val="minor"/>
      </rPr>
      <t>Formula Used:-</t>
    </r>
    <r>
      <rPr>
        <sz val="11"/>
        <color theme="1"/>
        <rFont val="Calibri"/>
        <family val="2"/>
        <scheme val="minor"/>
      </rPr>
      <t xml:space="preserve"> COUNTIF('main sheet'!J:J,analysis!B5)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</si>
  <si>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 xml:space="preserve"> COUNTIF('main sheet'!J:J,analysis!B6)</t>
    </r>
  </si>
  <si>
    <t>Matched</t>
  </si>
  <si>
    <r>
      <t xml:space="preserve">Formula Used:- </t>
    </r>
    <r>
      <rPr>
        <sz val="11"/>
        <color theme="1"/>
        <rFont val="Calibri"/>
        <family val="2"/>
        <scheme val="minor"/>
      </rPr>
      <t>Matched product / Total Product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</si>
  <si>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 xml:space="preserve">SUM(Table13[Total Product Value])  </t>
    </r>
    <r>
      <rPr>
        <b/>
        <sz val="11"/>
        <color theme="1"/>
        <rFont val="Calibri"/>
        <family val="2"/>
        <scheme val="minor"/>
      </rPr>
      <t>Formating :-</t>
    </r>
    <r>
      <rPr>
        <sz val="11"/>
        <color theme="1"/>
        <rFont val="Calibri"/>
        <family val="2"/>
        <scheme val="minor"/>
      </rPr>
      <t>#,##0,,\M</t>
    </r>
  </si>
  <si>
    <t>Row Labels</t>
  </si>
  <si>
    <t>Grand Total</t>
  </si>
  <si>
    <t>Top 10 shortages</t>
  </si>
  <si>
    <t xml:space="preserve">Count of Product ID </t>
  </si>
  <si>
    <t>Product</t>
  </si>
  <si>
    <t>Count. Of Prodcuts</t>
  </si>
  <si>
    <t>Top 10 Excess</t>
  </si>
  <si>
    <t>Category-wise Accuracy</t>
  </si>
  <si>
    <t>Accuracy %</t>
  </si>
  <si>
    <t>Category-wise Financial Loss</t>
  </si>
  <si>
    <t>Financial Impact</t>
  </si>
  <si>
    <t>Sum of Value Impact</t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</si>
  <si>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Pivot table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</si>
  <si>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=COUNTIF('main sheet'!E:E,analysis!C32)/analysis!$D$3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</si>
  <si>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=COUNTIF('main sheet'!E:E,analysis!C33)/analysis!$D$4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</si>
  <si>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=COUNTIF('main sheet'!E:E,analysis!C34)/analysis!$D$5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</si>
  <si>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=COUNTIF('main sheet'!E:E,analysis!C35)/analysis!$D$6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</si>
  <si>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=COUNTIF('main sheet'!E:E,analysis!C36)/analysis!$D$7</t>
    </r>
  </si>
  <si>
    <r>
      <rPr>
        <b/>
        <sz val="11"/>
        <color theme="1"/>
        <rFont val="Calibri"/>
        <family val="2"/>
        <scheme val="minor"/>
      </rPr>
      <t xml:space="preserve">Formula Used:- </t>
    </r>
    <r>
      <rPr>
        <sz val="11"/>
        <color theme="1"/>
        <rFont val="Calibri"/>
        <family val="2"/>
        <scheme val="minor"/>
      </rPr>
      <t>=COUNTIF('main sheet'!E:E,analysis!C37)/analysis!$D$8</t>
    </r>
  </si>
  <si>
    <t xml:space="preserve">Count of Sr. No. </t>
  </si>
  <si>
    <t>Status Summery</t>
  </si>
  <si>
    <t>Category wise financial Losses</t>
  </si>
  <si>
    <t>Category Wise Accuracy</t>
  </si>
  <si>
    <t>(All)</t>
  </si>
  <si>
    <t>High</t>
  </si>
  <si>
    <t>Low</t>
  </si>
  <si>
    <t>Medium</t>
  </si>
  <si>
    <t>Severity Analysis</t>
  </si>
  <si>
    <t>Top Costly Mismatch</t>
  </si>
  <si>
    <t>Sum of Mismatch Qty</t>
  </si>
  <si>
    <t>Shortage Analysis</t>
  </si>
  <si>
    <t>Excess Analysis</t>
  </si>
  <si>
    <t>P1001</t>
  </si>
  <si>
    <t>Colors</t>
  </si>
  <si>
    <r>
      <t xml:space="preserve">Formula Used:- </t>
    </r>
    <r>
      <rPr>
        <sz val="11"/>
        <color theme="1"/>
        <rFont val="Calibri"/>
        <family val="2"/>
        <scheme val="minor"/>
      </rPr>
      <t>SUM(shortage:excess)-Mismatch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</si>
</sst>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,,\M"/>
    <numFmt numFmtId="165" formatCode="#,##0\k"/>
    <numFmt numFmtId="166" formatCode="_ &quot;₹&quot;\ * #,##0_ ;_ &quot;₹&quot;\ * \-#,##0_ ;_ &quot;₹&quot;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2" tint="-0.89999084444715716"/>
      </left>
      <right style="medium">
        <color theme="2" tint="-0.89999084444715716"/>
      </right>
      <top style="medium">
        <color theme="2" tint="-0.89999084444715716"/>
      </top>
      <bottom style="thin">
        <color rgb="FFFFFF00"/>
      </bottom>
      <diagonal/>
    </border>
    <border>
      <left style="medium">
        <color theme="2" tint="-0.89999084444715716"/>
      </left>
      <right style="medium">
        <color theme="2" tint="-0.89999084444715716"/>
      </right>
      <top style="thin">
        <color rgb="FFFFFF00"/>
      </top>
      <bottom style="thin">
        <color rgb="FFFFFF00"/>
      </bottom>
      <diagonal/>
    </border>
    <border>
      <left style="medium">
        <color theme="2" tint="-0.89999084444715716"/>
      </left>
      <right style="medium">
        <color theme="2" tint="-0.89999084444715716"/>
      </right>
      <top style="thin">
        <color rgb="FFFFFF00"/>
      </top>
      <bottom style="medium">
        <color theme="2" tint="-0.89999084444715716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0" fontId="0" fillId="0" borderId="9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1" xfId="0" applyFill="1" applyBorder="1"/>
    <xf numFmtId="9" fontId="0" fillId="3" borderId="1" xfId="1" applyFont="1" applyFill="1" applyBorder="1"/>
    <xf numFmtId="0" fontId="1" fillId="3" borderId="11" xfId="0" applyFont="1" applyFill="1" applyBorder="1"/>
    <xf numFmtId="164" fontId="0" fillId="3" borderId="1" xfId="0" applyNumberForma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0" fillId="3" borderId="13" xfId="0" applyFill="1" applyBorder="1"/>
    <xf numFmtId="0" fontId="0" fillId="3" borderId="12" xfId="0" applyFill="1" applyBorder="1"/>
    <xf numFmtId="0" fontId="0" fillId="3" borderId="1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8" xfId="0" applyFill="1" applyBorder="1"/>
    <xf numFmtId="0" fontId="0" fillId="3" borderId="14" xfId="0" applyFill="1" applyBorder="1"/>
    <xf numFmtId="0" fontId="0" fillId="3" borderId="15" xfId="0" applyFill="1" applyBorder="1"/>
    <xf numFmtId="165" fontId="0" fillId="3" borderId="15" xfId="0" applyNumberFormat="1" applyFill="1" applyBorder="1"/>
    <xf numFmtId="0" fontId="0" fillId="3" borderId="16" xfId="0" applyFill="1" applyBorder="1"/>
    <xf numFmtId="0" fontId="5" fillId="3" borderId="1" xfId="0" applyFont="1" applyFill="1" applyBorder="1" applyAlignment="1">
      <alignment horizontal="center"/>
    </xf>
    <xf numFmtId="9" fontId="5" fillId="3" borderId="1" xfId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1" fillId="2" borderId="0" xfId="0" applyFont="1" applyFill="1"/>
    <xf numFmtId="166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0" fillId="4" borderId="21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9">
    <dxf>
      <numFmt numFmtId="166" formatCode="_ &quot;₹&quot;\ * #,##0_ ;_ &quot;₹&quot;\ * \-#,##0_ ;_ &quot;₹&quot;\ * &quot;-&quot;??_ ;_ @_ "/>
    </dxf>
    <dxf>
      <numFmt numFmtId="33" formatCode="_ * #,##0_ ;_ * \-#,##0_ ;_ * &quot;-&quot;_ ;_ @_ "/>
    </dxf>
    <dxf>
      <numFmt numFmtId="166" formatCode="_ &quot;₹&quot;\ * #,##0_ ;_ &quot;₹&quot;\ * \-#,##0_ ;_ &quot;₹&quot;\ * &quot;-&quot;??_ ;_ @_ 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2" tint="-0.89999084444715716"/>
        </left>
        <right style="medium">
          <color theme="2" tint="-0.89999084444715716"/>
        </right>
        <top style="thin">
          <color rgb="FFFFFF00"/>
        </top>
        <bottom style="thin">
          <color rgb="FFFFFF00"/>
        </bottom>
        <vertical/>
        <horizontal style="thin">
          <color rgb="FFFFFF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FF00"/>
      </font>
    </dxf>
    <dxf>
      <font>
        <b val="0"/>
        <i val="0"/>
        <color rgb="FFFF0000"/>
      </font>
    </dxf>
    <dxf>
      <font>
        <b val="0"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" refreshedDate="46181.636624189814" createdVersion="7" refreshedVersion="7" minRefreshableVersion="3" recordCount="1000" xr:uid="{F338A2BB-9B2E-4E7B-A06A-7A79571E0D45}">
  <cacheSource type="worksheet">
    <worksheetSource name="Table13"/>
  </cacheSource>
  <cacheFields count="14">
    <cacheField name="Sr. No. " numFmtId="0">
      <sharedItems containsSemiMixedTypes="0" containsString="0" containsNumber="1" containsInteger="1" minValue="1" maxValue="1000"/>
    </cacheField>
    <cacheField name="Product ID " numFmtId="0">
      <sharedItems/>
    </cacheField>
    <cacheField name="Prdocut Name" numFmtId="0">
      <sharedItems count="69">
        <s v=" Book Shelves"/>
        <s v=" Car Play"/>
        <s v=" Pen Drive"/>
        <s v="Books"/>
        <s v=" Rack Mount Kit"/>
        <s v=" Cardboard"/>
        <s v=" Network Interface Card  (NIC)"/>
        <s v=" table"/>
        <s v=" Network Cable (Ethernet)"/>
        <s v=" Apple Watch"/>
        <s v=" Pilers"/>
        <s v=" Drill Machine"/>
        <s v=" Chain Saw Blade"/>
        <s v=" Scratch Book"/>
        <s v=" smartwatch"/>
        <s v="Bed"/>
        <s v=" Phone case"/>
        <s v=" Compas"/>
        <s v="fridge"/>
        <s v=" Chairs"/>
        <s v=" Study Table"/>
        <s v=" Screwdriver Set"/>
        <s v=" Headphone"/>
        <s v=" Tablet Cover"/>
        <s v="Hammer"/>
        <s v=" maps"/>
        <s v=" Iphone Charger"/>
        <s v=" Dryer"/>
        <s v=" Firewall Appliance"/>
        <s v=" Whitener"/>
        <s v=" Tabs"/>
        <s v=" Pencils"/>
        <s v=" Scales"/>
        <s v=" Dinning table"/>
        <s v=" Dressing table"/>
        <s v=" Modem"/>
        <s v=" Path Pane"/>
        <s v="Data Cable"/>
        <s v=" Doors"/>
        <s v=" Wireless Charger"/>
        <s v=" Colors"/>
        <s v=" Cameras"/>
        <s v=" washing maching"/>
        <s v=" Wrench"/>
        <s v=" Go pro"/>
        <s v=" Eraser"/>
        <s v=" Screws"/>
        <s v=" AC set"/>
        <s v=" Microwave"/>
        <s v=" Ear Buds"/>
        <s v=" Sticky Notes"/>
        <s v=" Cable Tester"/>
        <s v=" cooler"/>
        <s v=" AccessPoint (Wi-Fi AP)"/>
        <s v=" Measuring Tape"/>
        <s v=" Phone Mount"/>
        <s v=" Switch"/>
        <s v=" Bike Mount"/>
        <s v=" Pens"/>
        <s v=" Screen Guard"/>
        <s v="Router"/>
        <s v=" Geomatery box"/>
        <s v=" smartphone Skins"/>
        <s v=" USB"/>
        <s v=" SFP Module (Fiber Transceiver)"/>
        <s v=" Smartwatch Case"/>
        <s v=" toster"/>
        <s v=" Iphone"/>
        <s v=" Smartphone"/>
      </sharedItems>
    </cacheField>
    <cacheField name="Category" numFmtId="0">
      <sharedItems count="6">
        <s v="Furniture"/>
        <s v="Electronics"/>
        <s v="Accessories"/>
        <s v="Stationery"/>
        <s v="Networking"/>
        <s v="Hardware"/>
      </sharedItems>
    </cacheField>
    <cacheField name="System_Stock_Qty" numFmtId="0">
      <sharedItems containsSemiMixedTypes="0" containsString="0" containsNumber="1" containsInteger="1" minValue="30" maxValue="200"/>
    </cacheField>
    <cacheField name="Physical_Stock_Qty" numFmtId="0">
      <sharedItems containsSemiMixedTypes="0" containsString="0" containsNumber="1" containsInteger="1" minValue="30" maxValue="200"/>
    </cacheField>
    <cacheField name="Unit_Cost" numFmtId="0">
      <sharedItems containsSemiMixedTypes="0" containsString="0" containsNumber="1" containsInteger="1" minValue="0" maxValue="150000"/>
    </cacheField>
    <cacheField name="Stock Difference" numFmtId="0">
      <sharedItems containsSemiMixedTypes="0" containsString="0" containsNumber="1" containsInteger="1" minValue="-166" maxValue="164" count="180">
        <n v="0"/>
        <n v="-40"/>
        <n v="39"/>
        <n v="-64"/>
        <n v="46"/>
        <n v="-31"/>
        <n v="-91"/>
        <n v="57"/>
        <n v="-125"/>
        <n v="-103"/>
        <n v="-87"/>
        <n v="76"/>
        <n v="116"/>
        <n v="73"/>
        <n v="95"/>
        <n v="-17"/>
        <n v="-11"/>
        <n v="-58"/>
        <n v="29"/>
        <n v="1"/>
        <n v="-5"/>
        <n v="-112"/>
        <n v="31"/>
        <n v="120"/>
        <n v="55"/>
        <n v="34"/>
        <n v="117"/>
        <n v="-166"/>
        <n v="135"/>
        <n v="-109"/>
        <n v="69"/>
        <n v="7"/>
        <n v="-59"/>
        <n v="-84"/>
        <n v="74"/>
        <n v="-8"/>
        <n v="-78"/>
        <n v="94"/>
        <n v="-97"/>
        <n v="-111"/>
        <n v="77"/>
        <n v="-122"/>
        <n v="-47"/>
        <n v="-44"/>
        <n v="13"/>
        <n v="-93"/>
        <n v="-6"/>
        <n v="-29"/>
        <n v="149"/>
        <n v="104"/>
        <n v="11"/>
        <n v="-70"/>
        <n v="-135"/>
        <n v="-69"/>
        <n v="41"/>
        <n v="19"/>
        <n v="-95"/>
        <n v="-63"/>
        <n v="-38"/>
        <n v="-62"/>
        <n v="-20"/>
        <n v="-121"/>
        <n v="-24"/>
        <n v="49"/>
        <n v="-28"/>
        <n v="-123"/>
        <n v="24"/>
        <n v="66"/>
        <n v="65"/>
        <n v="44"/>
        <n v="70"/>
        <n v="142"/>
        <n v="-49"/>
        <n v="-134"/>
        <n v="14"/>
        <n v="-37"/>
        <n v="50"/>
        <n v="-155"/>
        <n v="84"/>
        <n v="58"/>
        <n v="107"/>
        <n v="22"/>
        <n v="78"/>
        <n v="35"/>
        <n v="6"/>
        <n v="-102"/>
        <n v="-16"/>
        <n v="-48"/>
        <n v="-116"/>
        <n v="113"/>
        <n v="25"/>
        <n v="-41"/>
        <n v="10"/>
        <n v="-101"/>
        <n v="-57"/>
        <n v="15"/>
        <n v="-55"/>
        <n v="-96"/>
        <n v="36"/>
        <n v="-98"/>
        <n v="-145"/>
        <n v="-26"/>
        <n v="33"/>
        <n v="26"/>
        <n v="-53"/>
        <n v="-4"/>
        <n v="47"/>
        <n v="101"/>
        <n v="98"/>
        <n v="-82"/>
        <n v="-43"/>
        <n v="-27"/>
        <n v="62"/>
        <n v="4"/>
        <n v="28"/>
        <n v="-133"/>
        <n v="-42"/>
        <n v="-9"/>
        <n v="124"/>
        <n v="-15"/>
        <n v="-13"/>
        <n v="-34"/>
        <n v="60"/>
        <n v="-18"/>
        <n v="100"/>
        <n v="-76"/>
        <n v="23"/>
        <n v="64"/>
        <n v="-14"/>
        <n v="-52"/>
        <n v="-2"/>
        <n v="-68"/>
        <n v="56"/>
        <n v="-105"/>
        <n v="-71"/>
        <n v="21"/>
        <n v="99"/>
        <n v="82"/>
        <n v="81"/>
        <n v="-33"/>
        <n v="-77"/>
        <n v="5"/>
        <n v="30"/>
        <n v="-142"/>
        <n v="-7"/>
        <n v="-25"/>
        <n v="2"/>
        <n v="18"/>
        <n v="83"/>
        <n v="-94"/>
        <n v="-12"/>
        <n v="-100"/>
        <n v="-39"/>
        <n v="88"/>
        <n v="71"/>
        <n v="-66"/>
        <n v="111"/>
        <n v="-45"/>
        <n v="118"/>
        <n v="126"/>
        <n v="-50"/>
        <n v="-164"/>
        <n v="63"/>
        <n v="-148"/>
        <n v="16"/>
        <n v="92"/>
        <n v="32"/>
        <n v="164"/>
        <n v="-19"/>
        <n v="42"/>
        <n v="40"/>
        <n v="-65"/>
        <n v="-107"/>
        <n v="-131"/>
        <n v="-119"/>
        <n v="-150"/>
        <n v="96"/>
        <n v="17"/>
        <n v="105"/>
        <n v="12"/>
      </sharedItems>
    </cacheField>
    <cacheField name="Status" numFmtId="0">
      <sharedItems count="3">
        <s v="Matched"/>
        <s v="Shortage"/>
        <s v="Excess"/>
      </sharedItems>
    </cacheField>
    <cacheField name="Mismatch Qty" numFmtId="0">
      <sharedItems containsSemiMixedTypes="0" containsString="0" containsNumber="1" containsInteger="1" minValue="0" maxValue="166" count="121">
        <n v="0"/>
        <n v="40"/>
        <n v="39"/>
        <n v="64"/>
        <n v="46"/>
        <n v="31"/>
        <n v="91"/>
        <n v="57"/>
        <n v="125"/>
        <n v="103"/>
        <n v="87"/>
        <n v="76"/>
        <n v="116"/>
        <n v="73"/>
        <n v="95"/>
        <n v="17"/>
        <n v="11"/>
        <n v="58"/>
        <n v="29"/>
        <n v="1"/>
        <n v="5"/>
        <n v="112"/>
        <n v="120"/>
        <n v="55"/>
        <n v="34"/>
        <n v="117"/>
        <n v="166"/>
        <n v="135"/>
        <n v="109"/>
        <n v="69"/>
        <n v="7"/>
        <n v="59"/>
        <n v="84"/>
        <n v="74"/>
        <n v="8"/>
        <n v="78"/>
        <n v="94"/>
        <n v="97"/>
        <n v="111"/>
        <n v="77"/>
        <n v="122"/>
        <n v="47"/>
        <n v="44"/>
        <n v="13"/>
        <n v="93"/>
        <n v="6"/>
        <n v="149"/>
        <n v="104"/>
        <n v="70"/>
        <n v="41"/>
        <n v="19"/>
        <n v="63"/>
        <n v="38"/>
        <n v="62"/>
        <n v="20"/>
        <n v="121"/>
        <n v="24"/>
        <n v="49"/>
        <n v="28"/>
        <n v="123"/>
        <n v="66"/>
        <n v="65"/>
        <n v="142"/>
        <n v="134"/>
        <n v="14"/>
        <n v="37"/>
        <n v="50"/>
        <n v="155"/>
        <n v="107"/>
        <n v="22"/>
        <n v="35"/>
        <n v="102"/>
        <n v="16"/>
        <n v="48"/>
        <n v="113"/>
        <n v="25"/>
        <n v="10"/>
        <n v="101"/>
        <n v="15"/>
        <n v="96"/>
        <n v="36"/>
        <n v="98"/>
        <n v="145"/>
        <n v="26"/>
        <n v="33"/>
        <n v="53"/>
        <n v="4"/>
        <n v="82"/>
        <n v="43"/>
        <n v="27"/>
        <n v="133"/>
        <n v="42"/>
        <n v="9"/>
        <n v="124"/>
        <n v="60"/>
        <n v="18"/>
        <n v="100"/>
        <n v="23"/>
        <n v="52"/>
        <n v="2"/>
        <n v="68"/>
        <n v="56"/>
        <n v="105"/>
        <n v="71"/>
        <n v="21"/>
        <n v="99"/>
        <n v="81"/>
        <n v="30"/>
        <n v="83"/>
        <n v="12"/>
        <n v="88"/>
        <n v="45"/>
        <n v="118"/>
        <n v="126"/>
        <n v="164"/>
        <n v="148"/>
        <n v="92"/>
        <n v="32"/>
        <n v="131"/>
        <n v="119"/>
        <n v="150"/>
      </sharedItems>
    </cacheField>
    <cacheField name="Value Impact" numFmtId="0">
      <sharedItems containsSemiMixedTypes="0" containsString="0" containsNumber="1" containsInteger="1" minValue="0" maxValue="16050000"/>
    </cacheField>
    <cacheField name="Total Product Value" numFmtId="0">
      <sharedItems containsSemiMixedTypes="0" containsString="0" containsNumber="1" containsInteger="1" minValue="0" maxValue="28500000"/>
    </cacheField>
    <cacheField name="Severity" numFmtId="0">
      <sharedItems count="4">
        <s v="Matched"/>
        <s v="Low"/>
        <s v="Medium"/>
        <s v="High"/>
      </sharedItems>
    </cacheField>
    <cacheField name="High Value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P001"/>
    <x v="0"/>
    <x v="0"/>
    <n v="36"/>
    <n v="36"/>
    <n v="3000"/>
    <x v="0"/>
    <x v="0"/>
    <x v="0"/>
    <n v="0"/>
    <n v="108000"/>
    <x v="0"/>
    <s v="No Match"/>
  </r>
  <r>
    <n v="2"/>
    <s v="P002"/>
    <x v="1"/>
    <x v="1"/>
    <n v="192"/>
    <n v="192"/>
    <n v="15000"/>
    <x v="0"/>
    <x v="0"/>
    <x v="0"/>
    <n v="0"/>
    <n v="2880000"/>
    <x v="0"/>
    <s v="No Match"/>
  </r>
  <r>
    <n v="3"/>
    <s v="P003"/>
    <x v="2"/>
    <x v="2"/>
    <n v="191"/>
    <n v="191"/>
    <n v="200"/>
    <x v="0"/>
    <x v="0"/>
    <x v="0"/>
    <n v="0"/>
    <n v="38200"/>
    <x v="0"/>
    <s v="No Match"/>
  </r>
  <r>
    <n v="4"/>
    <s v="P004"/>
    <x v="3"/>
    <x v="3"/>
    <n v="91"/>
    <n v="91"/>
    <n v="50"/>
    <x v="0"/>
    <x v="0"/>
    <x v="0"/>
    <n v="0"/>
    <n v="4550"/>
    <x v="0"/>
    <s v="No Match"/>
  </r>
  <r>
    <n v="5"/>
    <s v="P005"/>
    <x v="4"/>
    <x v="4"/>
    <n v="62"/>
    <n v="62"/>
    <n v="5000"/>
    <x v="0"/>
    <x v="0"/>
    <x v="0"/>
    <n v="0"/>
    <n v="310000"/>
    <x v="0"/>
    <s v="No Match"/>
  </r>
  <r>
    <n v="6"/>
    <s v="P006"/>
    <x v="5"/>
    <x v="3"/>
    <n v="98"/>
    <n v="98"/>
    <n v="50"/>
    <x v="0"/>
    <x v="0"/>
    <x v="0"/>
    <n v="0"/>
    <n v="4900"/>
    <x v="0"/>
    <s v="No Match"/>
  </r>
  <r>
    <n v="7"/>
    <s v="P007"/>
    <x v="6"/>
    <x v="4"/>
    <n v="184"/>
    <n v="184"/>
    <n v="2000"/>
    <x v="0"/>
    <x v="0"/>
    <x v="0"/>
    <n v="0"/>
    <n v="368000"/>
    <x v="0"/>
    <s v="No Match"/>
  </r>
  <r>
    <n v="8"/>
    <s v="P008"/>
    <x v="7"/>
    <x v="0"/>
    <n v="79"/>
    <n v="79"/>
    <n v="8000"/>
    <x v="0"/>
    <x v="0"/>
    <x v="0"/>
    <n v="0"/>
    <n v="632000"/>
    <x v="0"/>
    <s v="No Match"/>
  </r>
  <r>
    <n v="9"/>
    <s v="P009"/>
    <x v="8"/>
    <x v="4"/>
    <n v="68"/>
    <n v="68"/>
    <n v="5000"/>
    <x v="0"/>
    <x v="0"/>
    <x v="0"/>
    <n v="0"/>
    <n v="340000"/>
    <x v="0"/>
    <s v="No Match"/>
  </r>
  <r>
    <n v="10"/>
    <s v="P010"/>
    <x v="9"/>
    <x v="1"/>
    <n v="161"/>
    <n v="161"/>
    <n v="30000"/>
    <x v="0"/>
    <x v="0"/>
    <x v="0"/>
    <n v="0"/>
    <n v="4830000"/>
    <x v="0"/>
    <s v="No Match"/>
  </r>
  <r>
    <n v="11"/>
    <s v="P011"/>
    <x v="10"/>
    <x v="5"/>
    <n v="34"/>
    <n v="34"/>
    <n v="500"/>
    <x v="0"/>
    <x v="0"/>
    <x v="0"/>
    <n v="0"/>
    <n v="17000"/>
    <x v="0"/>
    <s v="No Match"/>
  </r>
  <r>
    <n v="12"/>
    <s v="P012"/>
    <x v="11"/>
    <x v="5"/>
    <n v="43"/>
    <n v="43"/>
    <n v="3000"/>
    <x v="0"/>
    <x v="0"/>
    <x v="0"/>
    <n v="0"/>
    <n v="129000"/>
    <x v="0"/>
    <s v="No Match"/>
  </r>
  <r>
    <n v="13"/>
    <s v="P013"/>
    <x v="12"/>
    <x v="5"/>
    <n v="79"/>
    <n v="79"/>
    <n v="1500"/>
    <x v="0"/>
    <x v="0"/>
    <x v="0"/>
    <n v="0"/>
    <n v="118500"/>
    <x v="0"/>
    <s v="No Match"/>
  </r>
  <r>
    <n v="14"/>
    <s v="P014"/>
    <x v="13"/>
    <x v="3"/>
    <n v="195"/>
    <n v="195"/>
    <n v="30"/>
    <x v="0"/>
    <x v="0"/>
    <x v="0"/>
    <n v="0"/>
    <n v="5850"/>
    <x v="0"/>
    <s v="No Match"/>
  </r>
  <r>
    <n v="15"/>
    <s v="P015"/>
    <x v="3"/>
    <x v="3"/>
    <n v="184"/>
    <n v="184"/>
    <n v="50"/>
    <x v="0"/>
    <x v="0"/>
    <x v="0"/>
    <n v="0"/>
    <n v="9200"/>
    <x v="0"/>
    <s v="No Match"/>
  </r>
  <r>
    <n v="16"/>
    <s v="P016"/>
    <x v="7"/>
    <x v="0"/>
    <n v="46"/>
    <n v="46"/>
    <n v="8000"/>
    <x v="0"/>
    <x v="0"/>
    <x v="0"/>
    <n v="0"/>
    <n v="368000"/>
    <x v="0"/>
    <s v="No Match"/>
  </r>
  <r>
    <n v="17"/>
    <s v="P017"/>
    <x v="14"/>
    <x v="1"/>
    <n v="165"/>
    <n v="165"/>
    <n v="6000"/>
    <x v="0"/>
    <x v="0"/>
    <x v="0"/>
    <n v="0"/>
    <n v="990000"/>
    <x v="0"/>
    <s v="No Match"/>
  </r>
  <r>
    <n v="18"/>
    <s v="P018"/>
    <x v="15"/>
    <x v="0"/>
    <n v="40"/>
    <n v="40"/>
    <n v="15000"/>
    <x v="0"/>
    <x v="0"/>
    <x v="0"/>
    <n v="0"/>
    <n v="600000"/>
    <x v="0"/>
    <s v="No Match"/>
  </r>
  <r>
    <n v="19"/>
    <s v="P019"/>
    <x v="16"/>
    <x v="2"/>
    <n v="96"/>
    <n v="96"/>
    <n v="100"/>
    <x v="0"/>
    <x v="0"/>
    <x v="0"/>
    <n v="0"/>
    <n v="9600"/>
    <x v="0"/>
    <s v="No Match"/>
  </r>
  <r>
    <n v="20"/>
    <s v="P020"/>
    <x v="17"/>
    <x v="3"/>
    <n v="159"/>
    <n v="159"/>
    <n v="30"/>
    <x v="0"/>
    <x v="0"/>
    <x v="0"/>
    <n v="0"/>
    <n v="4770"/>
    <x v="0"/>
    <s v="No Match"/>
  </r>
  <r>
    <n v="21"/>
    <s v="P021"/>
    <x v="18"/>
    <x v="1"/>
    <n v="159"/>
    <n v="159"/>
    <n v="20000"/>
    <x v="0"/>
    <x v="0"/>
    <x v="0"/>
    <n v="0"/>
    <n v="3180000"/>
    <x v="0"/>
    <s v="No Match"/>
  </r>
  <r>
    <n v="22"/>
    <s v="P022"/>
    <x v="19"/>
    <x v="0"/>
    <n v="52"/>
    <n v="52"/>
    <n v="5000"/>
    <x v="0"/>
    <x v="0"/>
    <x v="0"/>
    <n v="0"/>
    <n v="260000"/>
    <x v="0"/>
    <s v="No Match"/>
  </r>
  <r>
    <n v="23"/>
    <s v="P023"/>
    <x v="20"/>
    <x v="0"/>
    <n v="178"/>
    <n v="178"/>
    <n v="5000"/>
    <x v="0"/>
    <x v="0"/>
    <x v="0"/>
    <n v="0"/>
    <n v="890000"/>
    <x v="0"/>
    <s v="No Match"/>
  </r>
  <r>
    <n v="24"/>
    <s v="P024"/>
    <x v="21"/>
    <x v="5"/>
    <n v="93"/>
    <n v="53"/>
    <n v="100"/>
    <x v="1"/>
    <x v="1"/>
    <x v="1"/>
    <n v="4000"/>
    <n v="9300"/>
    <x v="1"/>
    <s v="No"/>
  </r>
  <r>
    <n v="25"/>
    <s v="P025"/>
    <x v="10"/>
    <x v="5"/>
    <n v="31"/>
    <n v="70"/>
    <n v="500"/>
    <x v="2"/>
    <x v="2"/>
    <x v="2"/>
    <n v="19500"/>
    <n v="15500"/>
    <x v="1"/>
    <s v="No"/>
  </r>
  <r>
    <n v="26"/>
    <s v="P026"/>
    <x v="22"/>
    <x v="2"/>
    <n v="99"/>
    <n v="35"/>
    <n v="200"/>
    <x v="3"/>
    <x v="1"/>
    <x v="3"/>
    <n v="12800"/>
    <n v="19800"/>
    <x v="2"/>
    <s v="No"/>
  </r>
  <r>
    <n v="27"/>
    <s v="P027"/>
    <x v="23"/>
    <x v="2"/>
    <n v="82"/>
    <n v="128"/>
    <n v="2000"/>
    <x v="4"/>
    <x v="2"/>
    <x v="4"/>
    <n v="92000"/>
    <n v="164000"/>
    <x v="1"/>
    <s v="No"/>
  </r>
  <r>
    <n v="28"/>
    <s v="P028"/>
    <x v="11"/>
    <x v="5"/>
    <n v="91"/>
    <n v="60"/>
    <n v="3000"/>
    <x v="5"/>
    <x v="1"/>
    <x v="5"/>
    <n v="93000"/>
    <n v="273000"/>
    <x v="1"/>
    <s v="No"/>
  </r>
  <r>
    <n v="29"/>
    <s v="P029"/>
    <x v="24"/>
    <x v="5"/>
    <n v="165"/>
    <n v="74"/>
    <n v="200"/>
    <x v="6"/>
    <x v="1"/>
    <x v="6"/>
    <n v="18200"/>
    <n v="33000"/>
    <x v="2"/>
    <s v="No"/>
  </r>
  <r>
    <n v="30"/>
    <s v="P030"/>
    <x v="19"/>
    <x v="0"/>
    <n v="76"/>
    <n v="133"/>
    <n v="5000"/>
    <x v="7"/>
    <x v="2"/>
    <x v="7"/>
    <n v="285000"/>
    <n v="380000"/>
    <x v="2"/>
    <s v="No"/>
  </r>
  <r>
    <n v="31"/>
    <s v="P031"/>
    <x v="19"/>
    <x v="0"/>
    <n v="86"/>
    <n v="86"/>
    <n v="5000"/>
    <x v="0"/>
    <x v="0"/>
    <x v="0"/>
    <n v="0"/>
    <n v="430000"/>
    <x v="0"/>
    <s v="No Match"/>
  </r>
  <r>
    <n v="32"/>
    <s v="P032"/>
    <x v="5"/>
    <x v="3"/>
    <n v="197"/>
    <n v="197"/>
    <n v="50"/>
    <x v="0"/>
    <x v="0"/>
    <x v="0"/>
    <n v="0"/>
    <n v="9850"/>
    <x v="0"/>
    <s v="No Match"/>
  </r>
  <r>
    <n v="33"/>
    <s v="P033"/>
    <x v="25"/>
    <x v="3"/>
    <n v="39"/>
    <n v="39"/>
    <n v="500"/>
    <x v="0"/>
    <x v="0"/>
    <x v="0"/>
    <n v="0"/>
    <n v="19500"/>
    <x v="0"/>
    <s v="No Match"/>
  </r>
  <r>
    <n v="34"/>
    <s v="P034"/>
    <x v="26"/>
    <x v="2"/>
    <n v="184"/>
    <n v="184"/>
    <n v="4500"/>
    <x v="0"/>
    <x v="0"/>
    <x v="0"/>
    <n v="0"/>
    <n v="828000"/>
    <x v="0"/>
    <s v="No Match"/>
  </r>
  <r>
    <n v="35"/>
    <s v="P035"/>
    <x v="27"/>
    <x v="1"/>
    <n v="43"/>
    <n v="43"/>
    <n v="3000"/>
    <x v="0"/>
    <x v="0"/>
    <x v="0"/>
    <n v="0"/>
    <n v="129000"/>
    <x v="0"/>
    <s v="No Match"/>
  </r>
  <r>
    <n v="36"/>
    <s v="P036"/>
    <x v="10"/>
    <x v="5"/>
    <n v="149"/>
    <n v="149"/>
    <n v="500"/>
    <x v="0"/>
    <x v="0"/>
    <x v="0"/>
    <n v="0"/>
    <n v="74500"/>
    <x v="0"/>
    <s v="No Match"/>
  </r>
  <r>
    <n v="37"/>
    <s v="P037"/>
    <x v="28"/>
    <x v="4"/>
    <n v="179"/>
    <n v="179"/>
    <n v="1000"/>
    <x v="0"/>
    <x v="0"/>
    <x v="0"/>
    <n v="0"/>
    <n v="179000"/>
    <x v="0"/>
    <s v="No Match"/>
  </r>
  <r>
    <n v="38"/>
    <s v="P038"/>
    <x v="29"/>
    <x v="3"/>
    <n v="165"/>
    <n v="165"/>
    <n v="20"/>
    <x v="0"/>
    <x v="0"/>
    <x v="0"/>
    <n v="0"/>
    <n v="3300"/>
    <x v="0"/>
    <s v="No Match"/>
  </r>
  <r>
    <n v="39"/>
    <s v="P039"/>
    <x v="17"/>
    <x v="3"/>
    <n v="33"/>
    <n v="33"/>
    <n v="30"/>
    <x v="0"/>
    <x v="0"/>
    <x v="0"/>
    <n v="0"/>
    <n v="990"/>
    <x v="0"/>
    <s v="No Match"/>
  </r>
  <r>
    <n v="40"/>
    <s v="P040"/>
    <x v="30"/>
    <x v="1"/>
    <n v="180"/>
    <n v="180"/>
    <n v="30000"/>
    <x v="0"/>
    <x v="0"/>
    <x v="0"/>
    <n v="0"/>
    <n v="5400000"/>
    <x v="0"/>
    <s v="No Match"/>
  </r>
  <r>
    <n v="41"/>
    <s v="P041"/>
    <x v="24"/>
    <x v="5"/>
    <n v="55"/>
    <n v="55"/>
    <n v="200"/>
    <x v="0"/>
    <x v="0"/>
    <x v="0"/>
    <n v="0"/>
    <n v="11000"/>
    <x v="0"/>
    <s v="No Match"/>
  </r>
  <r>
    <n v="42"/>
    <s v="P042"/>
    <x v="31"/>
    <x v="3"/>
    <n v="156"/>
    <n v="156"/>
    <n v="100"/>
    <x v="0"/>
    <x v="0"/>
    <x v="0"/>
    <n v="0"/>
    <n v="15600"/>
    <x v="0"/>
    <s v="No Match"/>
  </r>
  <r>
    <n v="43"/>
    <s v="P043"/>
    <x v="32"/>
    <x v="3"/>
    <n v="53"/>
    <n v="53"/>
    <n v="10"/>
    <x v="0"/>
    <x v="0"/>
    <x v="0"/>
    <n v="0"/>
    <n v="530"/>
    <x v="0"/>
    <s v="No Match"/>
  </r>
  <r>
    <n v="44"/>
    <s v="P044"/>
    <x v="33"/>
    <x v="0"/>
    <n v="35"/>
    <n v="35"/>
    <n v="12000"/>
    <x v="0"/>
    <x v="0"/>
    <x v="0"/>
    <n v="0"/>
    <n v="420000"/>
    <x v="0"/>
    <s v="No Match"/>
  </r>
  <r>
    <n v="45"/>
    <s v="P045"/>
    <x v="32"/>
    <x v="3"/>
    <n v="104"/>
    <n v="104"/>
    <n v="10"/>
    <x v="0"/>
    <x v="0"/>
    <x v="0"/>
    <n v="0"/>
    <n v="1040"/>
    <x v="0"/>
    <s v="No Match"/>
  </r>
  <r>
    <n v="46"/>
    <s v="P046"/>
    <x v="26"/>
    <x v="2"/>
    <n v="57"/>
    <n v="57"/>
    <n v="4500"/>
    <x v="0"/>
    <x v="0"/>
    <x v="0"/>
    <n v="0"/>
    <n v="256500"/>
    <x v="0"/>
    <s v="No Match"/>
  </r>
  <r>
    <n v="47"/>
    <s v="P047"/>
    <x v="8"/>
    <x v="4"/>
    <n v="37"/>
    <n v="37"/>
    <n v="5000"/>
    <x v="0"/>
    <x v="0"/>
    <x v="0"/>
    <n v="0"/>
    <n v="185000"/>
    <x v="0"/>
    <s v="No Match"/>
  </r>
  <r>
    <n v="48"/>
    <s v="P048"/>
    <x v="34"/>
    <x v="0"/>
    <n v="163"/>
    <n v="163"/>
    <n v="10000"/>
    <x v="0"/>
    <x v="0"/>
    <x v="0"/>
    <n v="0"/>
    <n v="1630000"/>
    <x v="0"/>
    <s v="No Match"/>
  </r>
  <r>
    <n v="49"/>
    <s v="P049"/>
    <x v="7"/>
    <x v="0"/>
    <n v="107"/>
    <n v="107"/>
    <n v="8000"/>
    <x v="0"/>
    <x v="0"/>
    <x v="0"/>
    <n v="0"/>
    <n v="856000"/>
    <x v="0"/>
    <s v="No Match"/>
  </r>
  <r>
    <n v="50"/>
    <s v="P050"/>
    <x v="33"/>
    <x v="0"/>
    <n v="187"/>
    <n v="187"/>
    <n v="12000"/>
    <x v="0"/>
    <x v="0"/>
    <x v="0"/>
    <n v="0"/>
    <n v="2244000"/>
    <x v="0"/>
    <s v="No Match"/>
  </r>
  <r>
    <n v="51"/>
    <s v="P051"/>
    <x v="15"/>
    <x v="0"/>
    <n v="183"/>
    <n v="183"/>
    <n v="15000"/>
    <x v="0"/>
    <x v="0"/>
    <x v="0"/>
    <n v="0"/>
    <n v="2745000"/>
    <x v="0"/>
    <s v="No Match"/>
  </r>
  <r>
    <n v="52"/>
    <s v="P052"/>
    <x v="35"/>
    <x v="4"/>
    <n v="58"/>
    <n v="58"/>
    <n v="2000"/>
    <x v="0"/>
    <x v="0"/>
    <x v="0"/>
    <n v="0"/>
    <n v="116000"/>
    <x v="0"/>
    <s v="No Match"/>
  </r>
  <r>
    <n v="53"/>
    <s v="P053"/>
    <x v="8"/>
    <x v="4"/>
    <n v="49"/>
    <n v="49"/>
    <n v="5000"/>
    <x v="0"/>
    <x v="0"/>
    <x v="0"/>
    <n v="0"/>
    <n v="245000"/>
    <x v="0"/>
    <s v="No Match"/>
  </r>
  <r>
    <n v="54"/>
    <s v="P054"/>
    <x v="22"/>
    <x v="2"/>
    <n v="124"/>
    <n v="124"/>
    <n v="200"/>
    <x v="0"/>
    <x v="0"/>
    <x v="0"/>
    <n v="0"/>
    <n v="24800"/>
    <x v="0"/>
    <s v="No Match"/>
  </r>
  <r>
    <n v="55"/>
    <s v="P055"/>
    <x v="36"/>
    <x v="4"/>
    <n v="52"/>
    <n v="52"/>
    <n v="3000"/>
    <x v="0"/>
    <x v="0"/>
    <x v="0"/>
    <n v="0"/>
    <n v="156000"/>
    <x v="0"/>
    <s v="No Match"/>
  </r>
  <r>
    <n v="56"/>
    <s v="P056"/>
    <x v="36"/>
    <x v="4"/>
    <n v="177"/>
    <n v="177"/>
    <n v="3000"/>
    <x v="0"/>
    <x v="0"/>
    <x v="0"/>
    <n v="0"/>
    <n v="531000"/>
    <x v="0"/>
    <s v="No Match"/>
  </r>
  <r>
    <n v="57"/>
    <s v="P057"/>
    <x v="15"/>
    <x v="0"/>
    <n v="180"/>
    <n v="180"/>
    <n v="15000"/>
    <x v="0"/>
    <x v="0"/>
    <x v="0"/>
    <n v="0"/>
    <n v="2700000"/>
    <x v="0"/>
    <s v="No Match"/>
  </r>
  <r>
    <n v="58"/>
    <s v="P058"/>
    <x v="29"/>
    <x v="3"/>
    <n v="140"/>
    <n v="140"/>
    <n v="20"/>
    <x v="0"/>
    <x v="0"/>
    <x v="0"/>
    <n v="0"/>
    <n v="2800"/>
    <x v="0"/>
    <s v="No Match"/>
  </r>
  <r>
    <n v="59"/>
    <s v="P059"/>
    <x v="32"/>
    <x v="3"/>
    <n v="158"/>
    <n v="158"/>
    <n v="10"/>
    <x v="0"/>
    <x v="0"/>
    <x v="0"/>
    <n v="0"/>
    <n v="1580"/>
    <x v="0"/>
    <s v="No Match"/>
  </r>
  <r>
    <n v="60"/>
    <s v="P060"/>
    <x v="9"/>
    <x v="1"/>
    <n v="182"/>
    <n v="182"/>
    <n v="30000"/>
    <x v="0"/>
    <x v="0"/>
    <x v="0"/>
    <n v="0"/>
    <n v="5460000"/>
    <x v="0"/>
    <s v="No Match"/>
  </r>
  <r>
    <n v="61"/>
    <s v="P061"/>
    <x v="34"/>
    <x v="0"/>
    <n v="184"/>
    <n v="59"/>
    <n v="10000"/>
    <x v="8"/>
    <x v="1"/>
    <x v="8"/>
    <n v="1250000"/>
    <n v="1840000"/>
    <x v="3"/>
    <s v="Yes"/>
  </r>
  <r>
    <n v="62"/>
    <s v="P062"/>
    <x v="32"/>
    <x v="3"/>
    <n v="164"/>
    <n v="61"/>
    <n v="10"/>
    <x v="9"/>
    <x v="1"/>
    <x v="9"/>
    <n v="1030"/>
    <n v="1640"/>
    <x v="3"/>
    <s v="No"/>
  </r>
  <r>
    <n v="63"/>
    <s v="P063"/>
    <x v="34"/>
    <x v="0"/>
    <n v="120"/>
    <n v="33"/>
    <n v="10000"/>
    <x v="10"/>
    <x v="1"/>
    <x v="10"/>
    <n v="870000"/>
    <n v="1200000"/>
    <x v="2"/>
    <s v="Yes"/>
  </r>
  <r>
    <n v="64"/>
    <s v="P064"/>
    <x v="14"/>
    <x v="1"/>
    <n v="116"/>
    <n v="192"/>
    <n v="6000"/>
    <x v="11"/>
    <x v="2"/>
    <x v="11"/>
    <n v="456000"/>
    <n v="696000"/>
    <x v="2"/>
    <s v="No"/>
  </r>
  <r>
    <n v="65"/>
    <s v="P065"/>
    <x v="37"/>
    <x v="2"/>
    <n v="44"/>
    <n v="160"/>
    <n v="100"/>
    <x v="12"/>
    <x v="2"/>
    <x v="12"/>
    <n v="11600"/>
    <n v="4400"/>
    <x v="3"/>
    <s v="No"/>
  </r>
  <r>
    <n v="66"/>
    <s v="P066"/>
    <x v="9"/>
    <x v="1"/>
    <n v="64"/>
    <n v="137"/>
    <n v="30000"/>
    <x v="13"/>
    <x v="2"/>
    <x v="13"/>
    <n v="2190000"/>
    <n v="1920000"/>
    <x v="2"/>
    <s v="Yes"/>
  </r>
  <r>
    <n v="67"/>
    <s v="P067"/>
    <x v="6"/>
    <x v="4"/>
    <n v="100"/>
    <n v="195"/>
    <n v="2000"/>
    <x v="14"/>
    <x v="2"/>
    <x v="14"/>
    <n v="190000"/>
    <n v="200000"/>
    <x v="2"/>
    <s v="No"/>
  </r>
  <r>
    <n v="68"/>
    <s v="P068"/>
    <x v="38"/>
    <x v="0"/>
    <n v="135"/>
    <n v="118"/>
    <n v="2000"/>
    <x v="15"/>
    <x v="1"/>
    <x v="15"/>
    <n v="34000"/>
    <n v="270000"/>
    <x v="1"/>
    <s v="No"/>
  </r>
  <r>
    <n v="69"/>
    <s v="P069"/>
    <x v="31"/>
    <x v="3"/>
    <n v="174"/>
    <n v="163"/>
    <n v="100"/>
    <x v="16"/>
    <x v="1"/>
    <x v="16"/>
    <n v="1100"/>
    <n v="17400"/>
    <x v="1"/>
    <s v="No"/>
  </r>
  <r>
    <n v="70"/>
    <s v="P070"/>
    <x v="35"/>
    <x v="4"/>
    <n v="104"/>
    <n v="46"/>
    <n v="2000"/>
    <x v="17"/>
    <x v="1"/>
    <x v="17"/>
    <n v="116000"/>
    <n v="208000"/>
    <x v="2"/>
    <s v="No"/>
  </r>
  <r>
    <n v="71"/>
    <s v="P071"/>
    <x v="39"/>
    <x v="2"/>
    <n v="74"/>
    <n v="103"/>
    <n v="1500"/>
    <x v="18"/>
    <x v="2"/>
    <x v="18"/>
    <n v="43500"/>
    <n v="111000"/>
    <x v="1"/>
    <s v="No"/>
  </r>
  <r>
    <n v="72"/>
    <s v="P072"/>
    <x v="40"/>
    <x v="3"/>
    <n v="131"/>
    <n v="132"/>
    <n v="50"/>
    <x v="19"/>
    <x v="2"/>
    <x v="19"/>
    <n v="50"/>
    <n v="6550"/>
    <x v="1"/>
    <s v="No"/>
  </r>
  <r>
    <n v="73"/>
    <s v="P073"/>
    <x v="10"/>
    <x v="5"/>
    <n v="163"/>
    <n v="158"/>
    <n v="500"/>
    <x v="20"/>
    <x v="1"/>
    <x v="20"/>
    <n v="2500"/>
    <n v="81500"/>
    <x v="1"/>
    <s v="No"/>
  </r>
  <r>
    <n v="74"/>
    <s v="P074"/>
    <x v="8"/>
    <x v="4"/>
    <n v="187"/>
    <n v="75"/>
    <n v="5000"/>
    <x v="21"/>
    <x v="1"/>
    <x v="21"/>
    <n v="560000"/>
    <n v="935000"/>
    <x v="3"/>
    <s v="Yes"/>
  </r>
  <r>
    <n v="75"/>
    <s v="P075"/>
    <x v="41"/>
    <x v="1"/>
    <n v="124"/>
    <n v="155"/>
    <n v="70000"/>
    <x v="22"/>
    <x v="2"/>
    <x v="5"/>
    <n v="2170000"/>
    <n v="8680000"/>
    <x v="1"/>
    <s v="Yes"/>
  </r>
  <r>
    <n v="76"/>
    <s v="P076"/>
    <x v="42"/>
    <x v="1"/>
    <n v="133"/>
    <n v="75"/>
    <n v="20000"/>
    <x v="17"/>
    <x v="1"/>
    <x v="17"/>
    <n v="1160000"/>
    <n v="2660000"/>
    <x v="2"/>
    <s v="Yes"/>
  </r>
  <r>
    <n v="77"/>
    <s v="P077"/>
    <x v="21"/>
    <x v="5"/>
    <n v="49"/>
    <n v="169"/>
    <n v="100"/>
    <x v="23"/>
    <x v="2"/>
    <x v="22"/>
    <n v="12000"/>
    <n v="4900"/>
    <x v="3"/>
    <s v="No"/>
  </r>
  <r>
    <n v="78"/>
    <s v="P078"/>
    <x v="7"/>
    <x v="0"/>
    <n v="64"/>
    <n v="119"/>
    <n v="8000"/>
    <x v="24"/>
    <x v="2"/>
    <x v="23"/>
    <n v="440000"/>
    <n v="512000"/>
    <x v="2"/>
    <s v="No"/>
  </r>
  <r>
    <n v="79"/>
    <s v="P079"/>
    <x v="25"/>
    <x v="3"/>
    <n v="129"/>
    <n v="163"/>
    <n v="500"/>
    <x v="25"/>
    <x v="2"/>
    <x v="24"/>
    <n v="17000"/>
    <n v="64500"/>
    <x v="1"/>
    <s v="No"/>
  </r>
  <r>
    <n v="80"/>
    <s v="P080"/>
    <x v="43"/>
    <x v="5"/>
    <n v="54"/>
    <n v="171"/>
    <n v="500"/>
    <x v="26"/>
    <x v="2"/>
    <x v="25"/>
    <n v="58500"/>
    <n v="27000"/>
    <x v="3"/>
    <s v="No"/>
  </r>
  <r>
    <n v="81"/>
    <s v="P081"/>
    <x v="15"/>
    <x v="0"/>
    <n v="196"/>
    <n v="30"/>
    <n v="15000"/>
    <x v="27"/>
    <x v="1"/>
    <x v="26"/>
    <n v="2490000"/>
    <n v="2940000"/>
    <x v="3"/>
    <s v="Yes"/>
  </r>
  <r>
    <n v="82"/>
    <s v="P082"/>
    <x v="44"/>
    <x v="1"/>
    <n v="168"/>
    <n v="104"/>
    <n v="40000"/>
    <x v="3"/>
    <x v="1"/>
    <x v="3"/>
    <n v="2560000"/>
    <n v="6720000"/>
    <x v="2"/>
    <s v="Yes"/>
  </r>
  <r>
    <n v="83"/>
    <s v="P083"/>
    <x v="2"/>
    <x v="2"/>
    <n v="54"/>
    <n v="189"/>
    <n v="200"/>
    <x v="28"/>
    <x v="2"/>
    <x v="27"/>
    <n v="27000"/>
    <n v="10800"/>
    <x v="3"/>
    <s v="No"/>
  </r>
  <r>
    <n v="84"/>
    <s v="P084"/>
    <x v="10"/>
    <x v="5"/>
    <n v="199"/>
    <n v="90"/>
    <n v="500"/>
    <x v="29"/>
    <x v="1"/>
    <x v="28"/>
    <n v="54500"/>
    <n v="99500"/>
    <x v="3"/>
    <s v="No"/>
  </r>
  <r>
    <n v="85"/>
    <s v="P085"/>
    <x v="45"/>
    <x v="3"/>
    <n v="111"/>
    <n v="100"/>
    <n v="100"/>
    <x v="16"/>
    <x v="1"/>
    <x v="16"/>
    <n v="1100"/>
    <n v="11100"/>
    <x v="1"/>
    <s v="No"/>
  </r>
  <r>
    <n v="86"/>
    <s v="P086"/>
    <x v="46"/>
    <x v="5"/>
    <n v="31"/>
    <n v="100"/>
    <n v="500"/>
    <x v="30"/>
    <x v="2"/>
    <x v="29"/>
    <n v="34500"/>
    <n v="15500"/>
    <x v="2"/>
    <s v="No"/>
  </r>
  <r>
    <n v="87"/>
    <s v="P087"/>
    <x v="19"/>
    <x v="0"/>
    <n v="65"/>
    <n v="72"/>
    <n v="5000"/>
    <x v="31"/>
    <x v="2"/>
    <x v="30"/>
    <n v="35000"/>
    <n v="325000"/>
    <x v="1"/>
    <s v="No"/>
  </r>
  <r>
    <n v="88"/>
    <s v="P088"/>
    <x v="35"/>
    <x v="4"/>
    <n v="174"/>
    <n v="115"/>
    <n v="2000"/>
    <x v="32"/>
    <x v="1"/>
    <x v="31"/>
    <n v="118000"/>
    <n v="348000"/>
    <x v="2"/>
    <s v="No"/>
  </r>
  <r>
    <n v="89"/>
    <s v="P089"/>
    <x v="47"/>
    <x v="1"/>
    <n v="132"/>
    <n v="48"/>
    <n v="50000"/>
    <x v="33"/>
    <x v="1"/>
    <x v="32"/>
    <n v="4200000"/>
    <n v="6600000"/>
    <x v="2"/>
    <s v="Yes"/>
  </r>
  <r>
    <n v="90"/>
    <s v="P090"/>
    <x v="1"/>
    <x v="1"/>
    <n v="114"/>
    <n v="188"/>
    <n v="15000"/>
    <x v="34"/>
    <x v="2"/>
    <x v="33"/>
    <n v="1110000"/>
    <n v="1710000"/>
    <x v="2"/>
    <s v="Yes"/>
  </r>
  <r>
    <n v="91"/>
    <s v="P091"/>
    <x v="19"/>
    <x v="0"/>
    <n v="69"/>
    <n v="61"/>
    <n v="5000"/>
    <x v="35"/>
    <x v="1"/>
    <x v="34"/>
    <n v="40000"/>
    <n v="345000"/>
    <x v="1"/>
    <s v="No"/>
  </r>
  <r>
    <n v="92"/>
    <s v="P092"/>
    <x v="48"/>
    <x v="1"/>
    <n v="108"/>
    <n v="30"/>
    <n v="4000"/>
    <x v="36"/>
    <x v="1"/>
    <x v="35"/>
    <n v="312000"/>
    <n v="432000"/>
    <x v="2"/>
    <s v="No"/>
  </r>
  <r>
    <n v="93"/>
    <s v="P093"/>
    <x v="49"/>
    <x v="2"/>
    <n v="53"/>
    <n v="147"/>
    <n v="800"/>
    <x v="37"/>
    <x v="2"/>
    <x v="36"/>
    <n v="75200"/>
    <n v="42400"/>
    <x v="2"/>
    <s v="No"/>
  </r>
  <r>
    <n v="94"/>
    <s v="P094"/>
    <x v="50"/>
    <x v="3"/>
    <n v="181"/>
    <n v="84"/>
    <n v="50"/>
    <x v="38"/>
    <x v="1"/>
    <x v="37"/>
    <n v="4850"/>
    <n v="9050"/>
    <x v="2"/>
    <s v="No"/>
  </r>
  <r>
    <n v="95"/>
    <s v="P095"/>
    <x v="51"/>
    <x v="4"/>
    <n v="153"/>
    <n v="42"/>
    <n v="4500"/>
    <x v="39"/>
    <x v="1"/>
    <x v="38"/>
    <n v="499500"/>
    <n v="688500"/>
    <x v="3"/>
    <s v="No"/>
  </r>
  <r>
    <n v="96"/>
    <s v="P096"/>
    <x v="52"/>
    <x v="1"/>
    <n v="111"/>
    <n v="188"/>
    <n v="0"/>
    <x v="40"/>
    <x v="2"/>
    <x v="39"/>
    <n v="0"/>
    <n v="0"/>
    <x v="2"/>
    <s v="No Match"/>
  </r>
  <r>
    <n v="97"/>
    <s v="P097"/>
    <x v="49"/>
    <x v="2"/>
    <n v="186"/>
    <n v="64"/>
    <n v="800"/>
    <x v="41"/>
    <x v="1"/>
    <x v="40"/>
    <n v="97600"/>
    <n v="148800"/>
    <x v="3"/>
    <s v="No"/>
  </r>
  <r>
    <n v="98"/>
    <s v="P098"/>
    <x v="42"/>
    <x v="1"/>
    <n v="147"/>
    <n v="100"/>
    <n v="20000"/>
    <x v="42"/>
    <x v="1"/>
    <x v="41"/>
    <n v="940000"/>
    <n v="2940000"/>
    <x v="1"/>
    <s v="Yes"/>
  </r>
  <r>
    <n v="99"/>
    <s v="P099"/>
    <x v="37"/>
    <x v="2"/>
    <n v="172"/>
    <n v="128"/>
    <n v="100"/>
    <x v="43"/>
    <x v="1"/>
    <x v="42"/>
    <n v="4400"/>
    <n v="17200"/>
    <x v="1"/>
    <s v="No"/>
  </r>
  <r>
    <n v="100"/>
    <s v="P100"/>
    <x v="50"/>
    <x v="3"/>
    <n v="116"/>
    <n v="129"/>
    <n v="50"/>
    <x v="44"/>
    <x v="2"/>
    <x v="43"/>
    <n v="650"/>
    <n v="5800"/>
    <x v="1"/>
    <s v="No"/>
  </r>
  <r>
    <n v="101"/>
    <s v="P101"/>
    <x v="28"/>
    <x v="4"/>
    <n v="155"/>
    <n v="62"/>
    <n v="1000"/>
    <x v="45"/>
    <x v="1"/>
    <x v="44"/>
    <n v="93000"/>
    <n v="155000"/>
    <x v="2"/>
    <s v="No"/>
  </r>
  <r>
    <n v="102"/>
    <s v="P102"/>
    <x v="34"/>
    <x v="0"/>
    <n v="120"/>
    <n v="114"/>
    <n v="10000"/>
    <x v="46"/>
    <x v="1"/>
    <x v="45"/>
    <n v="60000"/>
    <n v="1200000"/>
    <x v="1"/>
    <s v="No"/>
  </r>
  <r>
    <n v="103"/>
    <s v="P103"/>
    <x v="33"/>
    <x v="0"/>
    <n v="197"/>
    <n v="197"/>
    <n v="12000"/>
    <x v="0"/>
    <x v="0"/>
    <x v="0"/>
    <n v="0"/>
    <n v="2364000"/>
    <x v="0"/>
    <s v="No Match"/>
  </r>
  <r>
    <n v="104"/>
    <s v="P104"/>
    <x v="37"/>
    <x v="2"/>
    <n v="176"/>
    <n v="147"/>
    <n v="100"/>
    <x v="47"/>
    <x v="1"/>
    <x v="18"/>
    <n v="2900"/>
    <n v="17600"/>
    <x v="1"/>
    <s v="No"/>
  </r>
  <r>
    <n v="105"/>
    <s v="P105"/>
    <x v="53"/>
    <x v="4"/>
    <n v="35"/>
    <n v="184"/>
    <n v="2500"/>
    <x v="48"/>
    <x v="2"/>
    <x v="46"/>
    <n v="372500"/>
    <n v="87500"/>
    <x v="3"/>
    <s v="No"/>
  </r>
  <r>
    <n v="106"/>
    <s v="P106"/>
    <x v="22"/>
    <x v="2"/>
    <n v="62"/>
    <n v="166"/>
    <n v="200"/>
    <x v="49"/>
    <x v="2"/>
    <x v="47"/>
    <n v="20800"/>
    <n v="12400"/>
    <x v="3"/>
    <s v="No"/>
  </r>
  <r>
    <n v="107"/>
    <s v="P107"/>
    <x v="28"/>
    <x v="4"/>
    <n v="165"/>
    <n v="176"/>
    <n v="1000"/>
    <x v="50"/>
    <x v="2"/>
    <x v="16"/>
    <n v="11000"/>
    <n v="165000"/>
    <x v="1"/>
    <s v="No"/>
  </r>
  <r>
    <n v="108"/>
    <s v="P108"/>
    <x v="33"/>
    <x v="0"/>
    <n v="141"/>
    <n v="141"/>
    <n v="12000"/>
    <x v="0"/>
    <x v="0"/>
    <x v="0"/>
    <n v="0"/>
    <n v="1692000"/>
    <x v="0"/>
    <s v="No Match"/>
  </r>
  <r>
    <n v="109"/>
    <s v="P109"/>
    <x v="29"/>
    <x v="3"/>
    <n v="107"/>
    <n v="107"/>
    <n v="20"/>
    <x v="0"/>
    <x v="0"/>
    <x v="0"/>
    <n v="0"/>
    <n v="2140"/>
    <x v="0"/>
    <s v="No Match"/>
  </r>
  <r>
    <n v="110"/>
    <s v="P110"/>
    <x v="49"/>
    <x v="2"/>
    <n v="190"/>
    <n v="190"/>
    <n v="800"/>
    <x v="0"/>
    <x v="0"/>
    <x v="0"/>
    <n v="0"/>
    <n v="152000"/>
    <x v="0"/>
    <s v="No Match"/>
  </r>
  <r>
    <n v="111"/>
    <s v="P111"/>
    <x v="16"/>
    <x v="2"/>
    <n v="106"/>
    <n v="106"/>
    <n v="100"/>
    <x v="0"/>
    <x v="0"/>
    <x v="0"/>
    <n v="0"/>
    <n v="10600"/>
    <x v="0"/>
    <s v="No Match"/>
  </r>
  <r>
    <n v="112"/>
    <s v="P112"/>
    <x v="8"/>
    <x v="4"/>
    <n v="185"/>
    <n v="185"/>
    <n v="5000"/>
    <x v="0"/>
    <x v="0"/>
    <x v="0"/>
    <n v="0"/>
    <n v="925000"/>
    <x v="0"/>
    <s v="No Match"/>
  </r>
  <r>
    <n v="113"/>
    <s v="P113"/>
    <x v="22"/>
    <x v="2"/>
    <n v="45"/>
    <n v="45"/>
    <n v="200"/>
    <x v="0"/>
    <x v="0"/>
    <x v="0"/>
    <n v="0"/>
    <n v="9000"/>
    <x v="0"/>
    <s v="No Match"/>
  </r>
  <r>
    <n v="114"/>
    <s v="P114"/>
    <x v="54"/>
    <x v="5"/>
    <n v="72"/>
    <n v="72"/>
    <n v="200"/>
    <x v="0"/>
    <x v="0"/>
    <x v="0"/>
    <n v="0"/>
    <n v="14400"/>
    <x v="0"/>
    <s v="No Match"/>
  </r>
  <r>
    <n v="115"/>
    <s v="P115"/>
    <x v="55"/>
    <x v="2"/>
    <n v="46"/>
    <n v="46"/>
    <n v="200"/>
    <x v="0"/>
    <x v="0"/>
    <x v="0"/>
    <n v="0"/>
    <n v="9200"/>
    <x v="0"/>
    <s v="No Match"/>
  </r>
  <r>
    <n v="116"/>
    <s v="P116"/>
    <x v="12"/>
    <x v="5"/>
    <n v="127"/>
    <n v="57"/>
    <n v="1500"/>
    <x v="51"/>
    <x v="1"/>
    <x v="48"/>
    <n v="105000"/>
    <n v="190500"/>
    <x v="2"/>
    <s v="No"/>
  </r>
  <r>
    <n v="117"/>
    <s v="P117"/>
    <x v="46"/>
    <x v="5"/>
    <n v="178"/>
    <n v="134"/>
    <n v="500"/>
    <x v="43"/>
    <x v="1"/>
    <x v="42"/>
    <n v="22000"/>
    <n v="89000"/>
    <x v="1"/>
    <s v="No"/>
  </r>
  <r>
    <n v="118"/>
    <s v="P118"/>
    <x v="22"/>
    <x v="2"/>
    <n v="172"/>
    <n v="37"/>
    <n v="200"/>
    <x v="52"/>
    <x v="1"/>
    <x v="27"/>
    <n v="27000"/>
    <n v="34400"/>
    <x v="3"/>
    <s v="No"/>
  </r>
  <r>
    <n v="119"/>
    <s v="P119"/>
    <x v="56"/>
    <x v="4"/>
    <n v="109"/>
    <n v="40"/>
    <n v="200"/>
    <x v="53"/>
    <x v="1"/>
    <x v="29"/>
    <n v="13800"/>
    <n v="21800"/>
    <x v="2"/>
    <s v="No"/>
  </r>
  <r>
    <n v="120"/>
    <s v="P120"/>
    <x v="2"/>
    <x v="2"/>
    <n v="63"/>
    <n v="104"/>
    <n v="200"/>
    <x v="54"/>
    <x v="2"/>
    <x v="49"/>
    <n v="8200"/>
    <n v="12600"/>
    <x v="1"/>
    <s v="No"/>
  </r>
  <r>
    <n v="121"/>
    <s v="P121"/>
    <x v="57"/>
    <x v="2"/>
    <n v="38"/>
    <n v="57"/>
    <n v="500"/>
    <x v="55"/>
    <x v="2"/>
    <x v="50"/>
    <n v="9500"/>
    <n v="19000"/>
    <x v="1"/>
    <s v="No"/>
  </r>
  <r>
    <n v="122"/>
    <s v="P122"/>
    <x v="27"/>
    <x v="1"/>
    <n v="130"/>
    <n v="35"/>
    <n v="3000"/>
    <x v="56"/>
    <x v="1"/>
    <x v="14"/>
    <n v="285000"/>
    <n v="390000"/>
    <x v="2"/>
    <s v="No"/>
  </r>
  <r>
    <n v="123"/>
    <s v="P123"/>
    <x v="25"/>
    <x v="3"/>
    <n v="117"/>
    <n v="54"/>
    <n v="500"/>
    <x v="57"/>
    <x v="1"/>
    <x v="51"/>
    <n v="31500"/>
    <n v="58500"/>
    <x v="2"/>
    <s v="No"/>
  </r>
  <r>
    <n v="124"/>
    <s v="P124"/>
    <x v="11"/>
    <x v="5"/>
    <n v="70"/>
    <n v="53"/>
    <n v="3000"/>
    <x v="15"/>
    <x v="1"/>
    <x v="15"/>
    <n v="51000"/>
    <n v="210000"/>
    <x v="1"/>
    <s v="No"/>
  </r>
  <r>
    <n v="125"/>
    <s v="P125"/>
    <x v="15"/>
    <x v="0"/>
    <n v="108"/>
    <n v="70"/>
    <n v="15000"/>
    <x v="58"/>
    <x v="1"/>
    <x v="52"/>
    <n v="570000"/>
    <n v="1620000"/>
    <x v="1"/>
    <s v="Yes"/>
  </r>
  <r>
    <n v="126"/>
    <s v="P126"/>
    <x v="58"/>
    <x v="3"/>
    <n v="97"/>
    <n v="35"/>
    <n v="100"/>
    <x v="59"/>
    <x v="1"/>
    <x v="53"/>
    <n v="6200"/>
    <n v="9700"/>
    <x v="2"/>
    <s v="No"/>
  </r>
  <r>
    <n v="127"/>
    <s v="P127"/>
    <x v="2"/>
    <x v="2"/>
    <n v="148"/>
    <n v="128"/>
    <n v="200"/>
    <x v="60"/>
    <x v="1"/>
    <x v="54"/>
    <n v="4000"/>
    <n v="29600"/>
    <x v="1"/>
    <s v="No"/>
  </r>
  <r>
    <n v="128"/>
    <s v="P128"/>
    <x v="0"/>
    <x v="0"/>
    <n v="181"/>
    <n v="60"/>
    <n v="3000"/>
    <x v="61"/>
    <x v="1"/>
    <x v="55"/>
    <n v="363000"/>
    <n v="543000"/>
    <x v="3"/>
    <s v="No"/>
  </r>
  <r>
    <n v="129"/>
    <s v="P129"/>
    <x v="45"/>
    <x v="3"/>
    <n v="98"/>
    <n v="74"/>
    <n v="100"/>
    <x v="62"/>
    <x v="1"/>
    <x v="56"/>
    <n v="2400"/>
    <n v="9800"/>
    <x v="1"/>
    <s v="No"/>
  </r>
  <r>
    <n v="130"/>
    <s v="P130"/>
    <x v="17"/>
    <x v="3"/>
    <n v="84"/>
    <n v="133"/>
    <n v="30"/>
    <x v="63"/>
    <x v="2"/>
    <x v="57"/>
    <n v="1470"/>
    <n v="2520"/>
    <x v="1"/>
    <s v="No"/>
  </r>
  <r>
    <n v="131"/>
    <s v="P131"/>
    <x v="22"/>
    <x v="2"/>
    <n v="153"/>
    <n v="125"/>
    <n v="200"/>
    <x v="64"/>
    <x v="1"/>
    <x v="58"/>
    <n v="5600"/>
    <n v="30600"/>
    <x v="1"/>
    <s v="No"/>
  </r>
  <r>
    <n v="132"/>
    <s v="P132"/>
    <x v="35"/>
    <x v="4"/>
    <n v="153"/>
    <n v="30"/>
    <n v="2000"/>
    <x v="65"/>
    <x v="1"/>
    <x v="59"/>
    <n v="246000"/>
    <n v="306000"/>
    <x v="3"/>
    <s v="No"/>
  </r>
  <r>
    <n v="133"/>
    <s v="P133"/>
    <x v="34"/>
    <x v="0"/>
    <n v="104"/>
    <n v="128"/>
    <n v="10000"/>
    <x v="66"/>
    <x v="2"/>
    <x v="56"/>
    <n v="240000"/>
    <n v="1040000"/>
    <x v="1"/>
    <s v="No"/>
  </r>
  <r>
    <n v="134"/>
    <s v="P134"/>
    <x v="43"/>
    <x v="5"/>
    <n v="52"/>
    <n v="118"/>
    <n v="500"/>
    <x v="67"/>
    <x v="2"/>
    <x v="60"/>
    <n v="33000"/>
    <n v="26000"/>
    <x v="2"/>
    <s v="No"/>
  </r>
  <r>
    <n v="135"/>
    <s v="P135"/>
    <x v="56"/>
    <x v="4"/>
    <n v="41"/>
    <n v="106"/>
    <n v="200"/>
    <x v="68"/>
    <x v="2"/>
    <x v="61"/>
    <n v="13000"/>
    <n v="8200"/>
    <x v="2"/>
    <s v="No"/>
  </r>
  <r>
    <n v="136"/>
    <s v="P136"/>
    <x v="59"/>
    <x v="2"/>
    <n v="99"/>
    <n v="143"/>
    <n v="50"/>
    <x v="69"/>
    <x v="2"/>
    <x v="42"/>
    <n v="2200"/>
    <n v="4950"/>
    <x v="1"/>
    <s v="No"/>
  </r>
  <r>
    <n v="137"/>
    <s v="P137"/>
    <x v="17"/>
    <x v="3"/>
    <n v="103"/>
    <n v="158"/>
    <n v="30"/>
    <x v="24"/>
    <x v="2"/>
    <x v="23"/>
    <n v="1650"/>
    <n v="3090"/>
    <x v="2"/>
    <s v="No"/>
  </r>
  <r>
    <n v="138"/>
    <s v="P138"/>
    <x v="42"/>
    <x v="1"/>
    <n v="93"/>
    <n v="163"/>
    <n v="20000"/>
    <x v="70"/>
    <x v="2"/>
    <x v="48"/>
    <n v="1400000"/>
    <n v="1860000"/>
    <x v="2"/>
    <s v="Yes"/>
  </r>
  <r>
    <n v="139"/>
    <s v="P139"/>
    <x v="15"/>
    <x v="0"/>
    <n v="39"/>
    <n v="181"/>
    <n v="15000"/>
    <x v="71"/>
    <x v="2"/>
    <x v="62"/>
    <n v="2130000"/>
    <n v="585000"/>
    <x v="3"/>
    <s v="Yes"/>
  </r>
  <r>
    <n v="140"/>
    <s v="P140"/>
    <x v="53"/>
    <x v="4"/>
    <n v="120"/>
    <n v="194"/>
    <n v="2500"/>
    <x v="34"/>
    <x v="2"/>
    <x v="33"/>
    <n v="185000"/>
    <n v="300000"/>
    <x v="2"/>
    <s v="No"/>
  </r>
  <r>
    <n v="141"/>
    <s v="P141"/>
    <x v="38"/>
    <x v="0"/>
    <n v="151"/>
    <n v="102"/>
    <n v="2000"/>
    <x v="72"/>
    <x v="1"/>
    <x v="57"/>
    <n v="98000"/>
    <n v="302000"/>
    <x v="1"/>
    <s v="No"/>
  </r>
  <r>
    <n v="142"/>
    <s v="P142"/>
    <x v="51"/>
    <x v="4"/>
    <n v="176"/>
    <n v="42"/>
    <n v="4500"/>
    <x v="73"/>
    <x v="1"/>
    <x v="63"/>
    <n v="603000"/>
    <n v="792000"/>
    <x v="3"/>
    <s v="Yes"/>
  </r>
  <r>
    <n v="143"/>
    <s v="P143"/>
    <x v="46"/>
    <x v="5"/>
    <n v="40"/>
    <n v="54"/>
    <n v="500"/>
    <x v="74"/>
    <x v="2"/>
    <x v="64"/>
    <n v="7000"/>
    <n v="20000"/>
    <x v="1"/>
    <s v="No"/>
  </r>
  <r>
    <n v="144"/>
    <s v="P144"/>
    <x v="39"/>
    <x v="2"/>
    <n v="188"/>
    <n v="151"/>
    <n v="1500"/>
    <x v="75"/>
    <x v="1"/>
    <x v="65"/>
    <n v="55500"/>
    <n v="282000"/>
    <x v="1"/>
    <s v="No"/>
  </r>
  <r>
    <n v="145"/>
    <s v="P145"/>
    <x v="50"/>
    <x v="3"/>
    <n v="104"/>
    <n v="154"/>
    <n v="50"/>
    <x v="76"/>
    <x v="2"/>
    <x v="66"/>
    <n v="2500"/>
    <n v="5200"/>
    <x v="2"/>
    <s v="No"/>
  </r>
  <r>
    <n v="146"/>
    <s v="P146"/>
    <x v="17"/>
    <x v="3"/>
    <n v="61"/>
    <n v="61"/>
    <n v="30"/>
    <x v="0"/>
    <x v="0"/>
    <x v="0"/>
    <n v="0"/>
    <n v="1830"/>
    <x v="0"/>
    <s v="No Match"/>
  </r>
  <r>
    <n v="147"/>
    <s v="P147"/>
    <x v="12"/>
    <x v="5"/>
    <n v="93"/>
    <n v="93"/>
    <n v="1500"/>
    <x v="0"/>
    <x v="0"/>
    <x v="0"/>
    <n v="0"/>
    <n v="139500"/>
    <x v="0"/>
    <s v="No Match"/>
  </r>
  <r>
    <n v="148"/>
    <s v="P148"/>
    <x v="41"/>
    <x v="1"/>
    <n v="154"/>
    <n v="154"/>
    <n v="70000"/>
    <x v="0"/>
    <x v="0"/>
    <x v="0"/>
    <n v="0"/>
    <n v="10780000"/>
    <x v="0"/>
    <s v="No Match"/>
  </r>
  <r>
    <n v="149"/>
    <s v="P149"/>
    <x v="37"/>
    <x v="2"/>
    <n v="176"/>
    <n v="176"/>
    <n v="100"/>
    <x v="0"/>
    <x v="0"/>
    <x v="0"/>
    <n v="0"/>
    <n v="17600"/>
    <x v="0"/>
    <s v="No Match"/>
  </r>
  <r>
    <n v="150"/>
    <s v="P150"/>
    <x v="60"/>
    <x v="4"/>
    <n v="64"/>
    <n v="64"/>
    <n v="5000"/>
    <x v="0"/>
    <x v="0"/>
    <x v="0"/>
    <n v="0"/>
    <n v="320000"/>
    <x v="0"/>
    <s v="No Match"/>
  </r>
  <r>
    <n v="151"/>
    <s v="P151"/>
    <x v="19"/>
    <x v="0"/>
    <n v="186"/>
    <n v="186"/>
    <n v="5000"/>
    <x v="0"/>
    <x v="0"/>
    <x v="0"/>
    <n v="0"/>
    <n v="930000"/>
    <x v="0"/>
    <s v="No Match"/>
  </r>
  <r>
    <n v="152"/>
    <s v="P152"/>
    <x v="20"/>
    <x v="0"/>
    <n v="164"/>
    <n v="164"/>
    <n v="5000"/>
    <x v="0"/>
    <x v="0"/>
    <x v="0"/>
    <n v="0"/>
    <n v="820000"/>
    <x v="0"/>
    <s v="No Match"/>
  </r>
  <r>
    <n v="153"/>
    <s v="P153"/>
    <x v="16"/>
    <x v="2"/>
    <n v="49"/>
    <n v="49"/>
    <n v="100"/>
    <x v="0"/>
    <x v="0"/>
    <x v="0"/>
    <n v="0"/>
    <n v="4900"/>
    <x v="0"/>
    <s v="No Match"/>
  </r>
  <r>
    <n v="154"/>
    <s v="P154"/>
    <x v="58"/>
    <x v="3"/>
    <n v="57"/>
    <n v="57"/>
    <n v="100"/>
    <x v="0"/>
    <x v="0"/>
    <x v="0"/>
    <n v="0"/>
    <n v="5700"/>
    <x v="0"/>
    <s v="No Match"/>
  </r>
  <r>
    <n v="155"/>
    <s v="P155"/>
    <x v="36"/>
    <x v="4"/>
    <n v="134"/>
    <n v="134"/>
    <n v="3000"/>
    <x v="0"/>
    <x v="0"/>
    <x v="0"/>
    <n v="0"/>
    <n v="402000"/>
    <x v="0"/>
    <s v="No Match"/>
  </r>
  <r>
    <n v="156"/>
    <s v="P156"/>
    <x v="44"/>
    <x v="1"/>
    <n v="37"/>
    <n v="37"/>
    <n v="40000"/>
    <x v="0"/>
    <x v="0"/>
    <x v="0"/>
    <n v="0"/>
    <n v="1480000"/>
    <x v="0"/>
    <s v="No Match"/>
  </r>
  <r>
    <n v="157"/>
    <s v="P157"/>
    <x v="46"/>
    <x v="5"/>
    <n v="40"/>
    <n v="40"/>
    <n v="500"/>
    <x v="0"/>
    <x v="0"/>
    <x v="0"/>
    <n v="0"/>
    <n v="20000"/>
    <x v="0"/>
    <s v="No Match"/>
  </r>
  <r>
    <n v="158"/>
    <s v="P158"/>
    <x v="61"/>
    <x v="3"/>
    <n v="104"/>
    <n v="104"/>
    <n v="100"/>
    <x v="0"/>
    <x v="0"/>
    <x v="0"/>
    <n v="0"/>
    <n v="10400"/>
    <x v="0"/>
    <s v="No Match"/>
  </r>
  <r>
    <n v="159"/>
    <s v="P159"/>
    <x v="20"/>
    <x v="0"/>
    <n v="57"/>
    <n v="57"/>
    <n v="5000"/>
    <x v="0"/>
    <x v="0"/>
    <x v="0"/>
    <n v="0"/>
    <n v="285000"/>
    <x v="0"/>
    <s v="No Match"/>
  </r>
  <r>
    <n v="160"/>
    <s v="P160"/>
    <x v="34"/>
    <x v="0"/>
    <n v="35"/>
    <n v="35"/>
    <n v="10000"/>
    <x v="0"/>
    <x v="0"/>
    <x v="0"/>
    <n v="0"/>
    <n v="350000"/>
    <x v="0"/>
    <s v="No Match"/>
  </r>
  <r>
    <n v="161"/>
    <s v="P161"/>
    <x v="11"/>
    <x v="5"/>
    <n v="54"/>
    <n v="54"/>
    <n v="3000"/>
    <x v="0"/>
    <x v="0"/>
    <x v="0"/>
    <n v="0"/>
    <n v="162000"/>
    <x v="0"/>
    <s v="No Match"/>
  </r>
  <r>
    <n v="162"/>
    <s v="P162"/>
    <x v="17"/>
    <x v="3"/>
    <n v="53"/>
    <n v="53"/>
    <n v="30"/>
    <x v="0"/>
    <x v="0"/>
    <x v="0"/>
    <n v="0"/>
    <n v="1590"/>
    <x v="0"/>
    <s v="No Match"/>
  </r>
  <r>
    <n v="163"/>
    <s v="P163"/>
    <x v="55"/>
    <x v="2"/>
    <n v="70"/>
    <n v="70"/>
    <n v="200"/>
    <x v="0"/>
    <x v="0"/>
    <x v="0"/>
    <n v="0"/>
    <n v="14000"/>
    <x v="0"/>
    <s v="No Match"/>
  </r>
  <r>
    <n v="164"/>
    <s v="P164"/>
    <x v="28"/>
    <x v="4"/>
    <n v="35"/>
    <n v="35"/>
    <n v="1000"/>
    <x v="0"/>
    <x v="0"/>
    <x v="0"/>
    <n v="0"/>
    <n v="35000"/>
    <x v="0"/>
    <s v="No Match"/>
  </r>
  <r>
    <n v="165"/>
    <s v="P165"/>
    <x v="4"/>
    <x v="4"/>
    <n v="128"/>
    <n v="128"/>
    <n v="5000"/>
    <x v="0"/>
    <x v="0"/>
    <x v="0"/>
    <n v="0"/>
    <n v="640000"/>
    <x v="0"/>
    <s v="No Match"/>
  </r>
  <r>
    <n v="166"/>
    <s v="P166"/>
    <x v="24"/>
    <x v="5"/>
    <n v="60"/>
    <n v="60"/>
    <n v="200"/>
    <x v="0"/>
    <x v="0"/>
    <x v="0"/>
    <n v="0"/>
    <n v="12000"/>
    <x v="0"/>
    <s v="No Match"/>
  </r>
  <r>
    <n v="167"/>
    <s v="P167"/>
    <x v="62"/>
    <x v="2"/>
    <n v="74"/>
    <n v="74"/>
    <n v="100"/>
    <x v="0"/>
    <x v="0"/>
    <x v="0"/>
    <n v="0"/>
    <n v="7400"/>
    <x v="0"/>
    <s v="No Match"/>
  </r>
  <r>
    <n v="168"/>
    <s v="P168"/>
    <x v="61"/>
    <x v="3"/>
    <n v="133"/>
    <n v="133"/>
    <n v="100"/>
    <x v="0"/>
    <x v="0"/>
    <x v="0"/>
    <n v="0"/>
    <n v="13300"/>
    <x v="0"/>
    <s v="No Match"/>
  </r>
  <r>
    <n v="169"/>
    <s v="P169"/>
    <x v="62"/>
    <x v="2"/>
    <n v="125"/>
    <n v="125"/>
    <n v="100"/>
    <x v="0"/>
    <x v="0"/>
    <x v="0"/>
    <n v="0"/>
    <n v="12500"/>
    <x v="0"/>
    <s v="No Match"/>
  </r>
  <r>
    <n v="170"/>
    <s v="P170"/>
    <x v="58"/>
    <x v="3"/>
    <n v="30"/>
    <n v="30"/>
    <n v="100"/>
    <x v="0"/>
    <x v="0"/>
    <x v="0"/>
    <n v="0"/>
    <n v="3000"/>
    <x v="0"/>
    <s v="No Match"/>
  </r>
  <r>
    <n v="171"/>
    <s v="P171"/>
    <x v="21"/>
    <x v="5"/>
    <n v="128"/>
    <n v="128"/>
    <n v="100"/>
    <x v="0"/>
    <x v="0"/>
    <x v="0"/>
    <n v="0"/>
    <n v="12800"/>
    <x v="0"/>
    <s v="No Match"/>
  </r>
  <r>
    <n v="172"/>
    <s v="P172"/>
    <x v="8"/>
    <x v="4"/>
    <n v="118"/>
    <n v="118"/>
    <n v="5000"/>
    <x v="0"/>
    <x v="0"/>
    <x v="0"/>
    <n v="0"/>
    <n v="590000"/>
    <x v="0"/>
    <s v="No Match"/>
  </r>
  <r>
    <n v="173"/>
    <s v="P173"/>
    <x v="0"/>
    <x v="0"/>
    <n v="106"/>
    <n v="106"/>
    <n v="3000"/>
    <x v="0"/>
    <x v="0"/>
    <x v="0"/>
    <n v="0"/>
    <n v="318000"/>
    <x v="0"/>
    <s v="No Match"/>
  </r>
  <r>
    <n v="174"/>
    <s v="P174"/>
    <x v="0"/>
    <x v="0"/>
    <n v="143"/>
    <n v="143"/>
    <n v="3000"/>
    <x v="0"/>
    <x v="0"/>
    <x v="0"/>
    <n v="0"/>
    <n v="429000"/>
    <x v="0"/>
    <s v="No Match"/>
  </r>
  <r>
    <n v="175"/>
    <s v="P175"/>
    <x v="63"/>
    <x v="2"/>
    <n v="158"/>
    <n v="158"/>
    <n v="100"/>
    <x v="0"/>
    <x v="0"/>
    <x v="0"/>
    <n v="0"/>
    <n v="15800"/>
    <x v="0"/>
    <s v="No Match"/>
  </r>
  <r>
    <n v="176"/>
    <s v="P176"/>
    <x v="30"/>
    <x v="1"/>
    <n v="163"/>
    <n v="163"/>
    <n v="30000"/>
    <x v="0"/>
    <x v="0"/>
    <x v="0"/>
    <n v="0"/>
    <n v="4890000"/>
    <x v="0"/>
    <s v="No Match"/>
  </r>
  <r>
    <n v="177"/>
    <s v="P177"/>
    <x v="54"/>
    <x v="5"/>
    <n v="181"/>
    <n v="181"/>
    <n v="200"/>
    <x v="0"/>
    <x v="0"/>
    <x v="0"/>
    <n v="0"/>
    <n v="36200"/>
    <x v="0"/>
    <s v="No Match"/>
  </r>
  <r>
    <n v="178"/>
    <s v="P178"/>
    <x v="34"/>
    <x v="0"/>
    <n v="194"/>
    <n v="194"/>
    <n v="10000"/>
    <x v="0"/>
    <x v="0"/>
    <x v="0"/>
    <n v="0"/>
    <n v="1940000"/>
    <x v="0"/>
    <s v="No Match"/>
  </r>
  <r>
    <n v="179"/>
    <s v="P179"/>
    <x v="45"/>
    <x v="3"/>
    <n v="102"/>
    <n v="102"/>
    <n v="100"/>
    <x v="0"/>
    <x v="0"/>
    <x v="0"/>
    <n v="0"/>
    <n v="10200"/>
    <x v="0"/>
    <s v="No Match"/>
  </r>
  <r>
    <n v="180"/>
    <s v="P180"/>
    <x v="35"/>
    <x v="4"/>
    <n v="42"/>
    <n v="42"/>
    <n v="2000"/>
    <x v="0"/>
    <x v="0"/>
    <x v="0"/>
    <n v="0"/>
    <n v="84000"/>
    <x v="0"/>
    <s v="No Match"/>
  </r>
  <r>
    <n v="181"/>
    <s v="P181"/>
    <x v="62"/>
    <x v="2"/>
    <n v="54"/>
    <n v="54"/>
    <n v="100"/>
    <x v="0"/>
    <x v="0"/>
    <x v="0"/>
    <n v="0"/>
    <n v="5400"/>
    <x v="0"/>
    <s v="No Match"/>
  </r>
  <r>
    <n v="182"/>
    <s v="P182"/>
    <x v="28"/>
    <x v="4"/>
    <n v="151"/>
    <n v="151"/>
    <n v="1000"/>
    <x v="0"/>
    <x v="0"/>
    <x v="0"/>
    <n v="0"/>
    <n v="151000"/>
    <x v="0"/>
    <s v="No Match"/>
  </r>
  <r>
    <n v="183"/>
    <s v="P183"/>
    <x v="56"/>
    <x v="4"/>
    <n v="154"/>
    <n v="154"/>
    <n v="200"/>
    <x v="0"/>
    <x v="0"/>
    <x v="0"/>
    <n v="0"/>
    <n v="30800"/>
    <x v="0"/>
    <s v="No Match"/>
  </r>
  <r>
    <n v="184"/>
    <s v="P184"/>
    <x v="5"/>
    <x v="3"/>
    <n v="194"/>
    <n v="39"/>
    <n v="50"/>
    <x v="77"/>
    <x v="1"/>
    <x v="67"/>
    <n v="7750"/>
    <n v="9700"/>
    <x v="3"/>
    <s v="No"/>
  </r>
  <r>
    <n v="185"/>
    <s v="P185"/>
    <x v="43"/>
    <x v="5"/>
    <n v="108"/>
    <n v="192"/>
    <n v="500"/>
    <x v="78"/>
    <x v="2"/>
    <x v="32"/>
    <n v="42000"/>
    <n v="54000"/>
    <x v="2"/>
    <s v="No"/>
  </r>
  <r>
    <n v="186"/>
    <s v="P186"/>
    <x v="55"/>
    <x v="2"/>
    <n v="71"/>
    <n v="129"/>
    <n v="200"/>
    <x v="79"/>
    <x v="2"/>
    <x v="17"/>
    <n v="11600"/>
    <n v="14200"/>
    <x v="2"/>
    <s v="No"/>
  </r>
  <r>
    <n v="187"/>
    <s v="P187"/>
    <x v="17"/>
    <x v="3"/>
    <n v="75"/>
    <n v="182"/>
    <n v="30"/>
    <x v="80"/>
    <x v="2"/>
    <x v="68"/>
    <n v="3210"/>
    <n v="2250"/>
    <x v="3"/>
    <s v="No"/>
  </r>
  <r>
    <n v="188"/>
    <s v="P188"/>
    <x v="64"/>
    <x v="4"/>
    <n v="58"/>
    <n v="80"/>
    <n v="1500"/>
    <x v="81"/>
    <x v="2"/>
    <x v="69"/>
    <n v="33000"/>
    <n v="87000"/>
    <x v="1"/>
    <s v="No"/>
  </r>
  <r>
    <n v="189"/>
    <s v="P189"/>
    <x v="13"/>
    <x v="3"/>
    <n v="122"/>
    <n v="200"/>
    <n v="30"/>
    <x v="82"/>
    <x v="2"/>
    <x v="35"/>
    <n v="2340"/>
    <n v="3660"/>
    <x v="2"/>
    <s v="No"/>
  </r>
  <r>
    <n v="190"/>
    <s v="P190"/>
    <x v="19"/>
    <x v="0"/>
    <n v="154"/>
    <n v="125"/>
    <n v="5000"/>
    <x v="47"/>
    <x v="1"/>
    <x v="18"/>
    <n v="145000"/>
    <n v="770000"/>
    <x v="1"/>
    <s v="No"/>
  </r>
  <r>
    <n v="191"/>
    <s v="P191"/>
    <x v="57"/>
    <x v="2"/>
    <n v="36"/>
    <n v="91"/>
    <n v="500"/>
    <x v="24"/>
    <x v="2"/>
    <x v="23"/>
    <n v="27500"/>
    <n v="18000"/>
    <x v="2"/>
    <s v="No"/>
  </r>
  <r>
    <n v="192"/>
    <s v="P192"/>
    <x v="40"/>
    <x v="3"/>
    <n v="36"/>
    <n v="71"/>
    <n v="50"/>
    <x v="83"/>
    <x v="2"/>
    <x v="70"/>
    <n v="1750"/>
    <n v="1800"/>
    <x v="1"/>
    <s v="No"/>
  </r>
  <r>
    <n v="193"/>
    <s v="P193"/>
    <x v="40"/>
    <x v="3"/>
    <n v="128"/>
    <n v="134"/>
    <n v="50"/>
    <x v="84"/>
    <x v="2"/>
    <x v="45"/>
    <n v="300"/>
    <n v="6400"/>
    <x v="1"/>
    <s v="No"/>
  </r>
  <r>
    <n v="194"/>
    <s v="P194"/>
    <x v="43"/>
    <x v="5"/>
    <n v="39"/>
    <n v="39"/>
    <n v="500"/>
    <x v="0"/>
    <x v="0"/>
    <x v="0"/>
    <n v="0"/>
    <n v="19500"/>
    <x v="0"/>
    <s v="No Match"/>
  </r>
  <r>
    <n v="195"/>
    <s v="P195"/>
    <x v="43"/>
    <x v="5"/>
    <n v="50"/>
    <n v="50"/>
    <n v="500"/>
    <x v="0"/>
    <x v="0"/>
    <x v="0"/>
    <n v="0"/>
    <n v="25000"/>
    <x v="0"/>
    <s v="No Match"/>
  </r>
  <r>
    <n v="196"/>
    <s v="P196"/>
    <x v="52"/>
    <x v="1"/>
    <n v="125"/>
    <n v="125"/>
    <n v="0"/>
    <x v="0"/>
    <x v="0"/>
    <x v="0"/>
    <n v="0"/>
    <n v="0"/>
    <x v="0"/>
    <s v="No Match"/>
  </r>
  <r>
    <n v="197"/>
    <s v="P197"/>
    <x v="50"/>
    <x v="3"/>
    <n v="47"/>
    <n v="47"/>
    <n v="50"/>
    <x v="0"/>
    <x v="0"/>
    <x v="0"/>
    <n v="0"/>
    <n v="2350"/>
    <x v="0"/>
    <s v="No Match"/>
  </r>
  <r>
    <n v="198"/>
    <s v="P198"/>
    <x v="54"/>
    <x v="5"/>
    <n v="125"/>
    <n v="125"/>
    <n v="200"/>
    <x v="0"/>
    <x v="0"/>
    <x v="0"/>
    <n v="0"/>
    <n v="25000"/>
    <x v="0"/>
    <s v="No Match"/>
  </r>
  <r>
    <n v="199"/>
    <s v="P199"/>
    <x v="54"/>
    <x v="5"/>
    <n v="59"/>
    <n v="59"/>
    <n v="200"/>
    <x v="0"/>
    <x v="0"/>
    <x v="0"/>
    <n v="0"/>
    <n v="11800"/>
    <x v="0"/>
    <s v="No Match"/>
  </r>
  <r>
    <n v="200"/>
    <s v="P200"/>
    <x v="52"/>
    <x v="1"/>
    <n v="61"/>
    <n v="61"/>
    <n v="0"/>
    <x v="0"/>
    <x v="0"/>
    <x v="0"/>
    <n v="0"/>
    <n v="0"/>
    <x v="0"/>
    <s v="No Match"/>
  </r>
  <r>
    <n v="201"/>
    <s v="P201"/>
    <x v="59"/>
    <x v="2"/>
    <n v="33"/>
    <n v="33"/>
    <n v="50"/>
    <x v="0"/>
    <x v="0"/>
    <x v="0"/>
    <n v="0"/>
    <n v="1650"/>
    <x v="0"/>
    <s v="No Match"/>
  </r>
  <r>
    <n v="202"/>
    <s v="P202"/>
    <x v="12"/>
    <x v="5"/>
    <n v="192"/>
    <n v="192"/>
    <n v="1500"/>
    <x v="0"/>
    <x v="0"/>
    <x v="0"/>
    <n v="0"/>
    <n v="288000"/>
    <x v="0"/>
    <s v="No Match"/>
  </r>
  <r>
    <n v="203"/>
    <s v="P203"/>
    <x v="47"/>
    <x v="1"/>
    <n v="160"/>
    <n v="160"/>
    <n v="50000"/>
    <x v="0"/>
    <x v="0"/>
    <x v="0"/>
    <n v="0"/>
    <n v="8000000"/>
    <x v="0"/>
    <s v="No Match"/>
  </r>
  <r>
    <n v="204"/>
    <s v="P204"/>
    <x v="11"/>
    <x v="5"/>
    <n v="137"/>
    <n v="137"/>
    <n v="3000"/>
    <x v="0"/>
    <x v="0"/>
    <x v="0"/>
    <n v="0"/>
    <n v="411000"/>
    <x v="0"/>
    <s v="No Match"/>
  </r>
  <r>
    <n v="205"/>
    <s v="P205"/>
    <x v="7"/>
    <x v="0"/>
    <n v="195"/>
    <n v="195"/>
    <n v="8000"/>
    <x v="0"/>
    <x v="0"/>
    <x v="0"/>
    <n v="0"/>
    <n v="1560000"/>
    <x v="0"/>
    <s v="No Match"/>
  </r>
  <r>
    <n v="206"/>
    <s v="P206"/>
    <x v="52"/>
    <x v="1"/>
    <n v="118"/>
    <n v="118"/>
    <n v="0"/>
    <x v="0"/>
    <x v="0"/>
    <x v="0"/>
    <n v="0"/>
    <n v="0"/>
    <x v="0"/>
    <s v="No Match"/>
  </r>
  <r>
    <n v="207"/>
    <s v="P207"/>
    <x v="11"/>
    <x v="5"/>
    <n v="163"/>
    <n v="61"/>
    <n v="3000"/>
    <x v="85"/>
    <x v="1"/>
    <x v="71"/>
    <n v="306000"/>
    <n v="489000"/>
    <x v="3"/>
    <s v="No"/>
  </r>
  <r>
    <n v="208"/>
    <s v="P208"/>
    <x v="41"/>
    <x v="1"/>
    <n v="46"/>
    <n v="30"/>
    <n v="70000"/>
    <x v="86"/>
    <x v="1"/>
    <x v="72"/>
    <n v="1120000"/>
    <n v="3220000"/>
    <x v="1"/>
    <s v="Yes"/>
  </r>
  <r>
    <n v="209"/>
    <s v="P209"/>
    <x v="37"/>
    <x v="2"/>
    <n v="103"/>
    <n v="147"/>
    <n v="100"/>
    <x v="69"/>
    <x v="2"/>
    <x v="42"/>
    <n v="4400"/>
    <n v="10300"/>
    <x v="1"/>
    <s v="No"/>
  </r>
  <r>
    <n v="210"/>
    <s v="P210"/>
    <x v="26"/>
    <x v="2"/>
    <n v="132"/>
    <n v="84"/>
    <n v="4500"/>
    <x v="87"/>
    <x v="1"/>
    <x v="73"/>
    <n v="216000"/>
    <n v="594000"/>
    <x v="1"/>
    <s v="No"/>
  </r>
  <r>
    <n v="211"/>
    <s v="P211"/>
    <x v="12"/>
    <x v="5"/>
    <n v="158"/>
    <n v="42"/>
    <n v="1500"/>
    <x v="88"/>
    <x v="1"/>
    <x v="12"/>
    <n v="174000"/>
    <n v="237000"/>
    <x v="3"/>
    <s v="No"/>
  </r>
  <r>
    <n v="212"/>
    <s v="P212"/>
    <x v="17"/>
    <x v="3"/>
    <n v="75"/>
    <n v="188"/>
    <n v="30"/>
    <x v="89"/>
    <x v="2"/>
    <x v="74"/>
    <n v="3390"/>
    <n v="2250"/>
    <x v="3"/>
    <s v="No"/>
  </r>
  <r>
    <n v="213"/>
    <s v="P213"/>
    <x v="19"/>
    <x v="0"/>
    <n v="155"/>
    <n v="64"/>
    <n v="5000"/>
    <x v="6"/>
    <x v="1"/>
    <x v="6"/>
    <n v="455000"/>
    <n v="775000"/>
    <x v="2"/>
    <s v="No"/>
  </r>
  <r>
    <n v="214"/>
    <s v="P214"/>
    <x v="34"/>
    <x v="0"/>
    <n v="75"/>
    <n v="100"/>
    <n v="10000"/>
    <x v="90"/>
    <x v="2"/>
    <x v="75"/>
    <n v="250000"/>
    <n v="750000"/>
    <x v="1"/>
    <s v="No"/>
  </r>
  <r>
    <n v="215"/>
    <s v="P215"/>
    <x v="3"/>
    <x v="3"/>
    <n v="169"/>
    <n v="128"/>
    <n v="50"/>
    <x v="91"/>
    <x v="1"/>
    <x v="49"/>
    <n v="2050"/>
    <n v="8450"/>
    <x v="1"/>
    <s v="No"/>
  </r>
  <r>
    <n v="216"/>
    <s v="P216"/>
    <x v="22"/>
    <x v="2"/>
    <n v="119"/>
    <n v="129"/>
    <n v="200"/>
    <x v="92"/>
    <x v="2"/>
    <x v="76"/>
    <n v="2000"/>
    <n v="23800"/>
    <x v="1"/>
    <s v="No"/>
  </r>
  <r>
    <n v="217"/>
    <s v="P217"/>
    <x v="34"/>
    <x v="0"/>
    <n v="163"/>
    <n v="62"/>
    <n v="10000"/>
    <x v="93"/>
    <x v="1"/>
    <x v="77"/>
    <n v="1010000"/>
    <n v="1630000"/>
    <x v="3"/>
    <s v="Yes"/>
  </r>
  <r>
    <n v="218"/>
    <s v="P218"/>
    <x v="26"/>
    <x v="2"/>
    <n v="171"/>
    <n v="114"/>
    <n v="4500"/>
    <x v="94"/>
    <x v="1"/>
    <x v="7"/>
    <n v="256500"/>
    <n v="769500"/>
    <x v="2"/>
    <s v="No"/>
  </r>
  <r>
    <n v="219"/>
    <s v="P219"/>
    <x v="65"/>
    <x v="2"/>
    <n v="30"/>
    <n v="30"/>
    <n v="100"/>
    <x v="0"/>
    <x v="0"/>
    <x v="0"/>
    <n v="0"/>
    <n v="3000"/>
    <x v="0"/>
    <s v="No Match"/>
  </r>
  <r>
    <n v="220"/>
    <s v="P220"/>
    <x v="6"/>
    <x v="4"/>
    <n v="104"/>
    <n v="104"/>
    <n v="2000"/>
    <x v="0"/>
    <x v="0"/>
    <x v="0"/>
    <n v="0"/>
    <n v="208000"/>
    <x v="0"/>
    <s v="No Match"/>
  </r>
  <r>
    <n v="221"/>
    <s v="P221"/>
    <x v="55"/>
    <x v="2"/>
    <n v="189"/>
    <n v="189"/>
    <n v="200"/>
    <x v="0"/>
    <x v="0"/>
    <x v="0"/>
    <n v="0"/>
    <n v="37800"/>
    <x v="0"/>
    <s v="No Match"/>
  </r>
  <r>
    <n v="222"/>
    <s v="P222"/>
    <x v="12"/>
    <x v="5"/>
    <n v="90"/>
    <n v="90"/>
    <n v="1500"/>
    <x v="0"/>
    <x v="0"/>
    <x v="0"/>
    <n v="0"/>
    <n v="135000"/>
    <x v="0"/>
    <s v="No Match"/>
  </r>
  <r>
    <n v="223"/>
    <s v="P223"/>
    <x v="1"/>
    <x v="1"/>
    <n v="100"/>
    <n v="100"/>
    <n v="15000"/>
    <x v="0"/>
    <x v="0"/>
    <x v="0"/>
    <n v="0"/>
    <n v="1500000"/>
    <x v="0"/>
    <s v="No Match"/>
  </r>
  <r>
    <n v="224"/>
    <s v="P224"/>
    <x v="34"/>
    <x v="0"/>
    <n v="100"/>
    <n v="100"/>
    <n v="10000"/>
    <x v="0"/>
    <x v="0"/>
    <x v="0"/>
    <n v="0"/>
    <n v="1000000"/>
    <x v="0"/>
    <s v="No Match"/>
  </r>
  <r>
    <n v="225"/>
    <s v="P225"/>
    <x v="30"/>
    <x v="1"/>
    <n v="72"/>
    <n v="72"/>
    <n v="30000"/>
    <x v="0"/>
    <x v="0"/>
    <x v="0"/>
    <n v="0"/>
    <n v="2160000"/>
    <x v="0"/>
    <s v="No Match"/>
  </r>
  <r>
    <n v="226"/>
    <s v="P226"/>
    <x v="9"/>
    <x v="1"/>
    <n v="115"/>
    <n v="115"/>
    <n v="30000"/>
    <x v="0"/>
    <x v="0"/>
    <x v="0"/>
    <n v="0"/>
    <n v="3450000"/>
    <x v="0"/>
    <s v="No Match"/>
  </r>
  <r>
    <n v="227"/>
    <s v="P227"/>
    <x v="28"/>
    <x v="4"/>
    <n v="48"/>
    <n v="48"/>
    <n v="1000"/>
    <x v="0"/>
    <x v="0"/>
    <x v="0"/>
    <n v="0"/>
    <n v="48000"/>
    <x v="0"/>
    <s v="No Match"/>
  </r>
  <r>
    <n v="228"/>
    <s v="P228"/>
    <x v="45"/>
    <x v="3"/>
    <n v="188"/>
    <n v="188"/>
    <n v="100"/>
    <x v="0"/>
    <x v="0"/>
    <x v="0"/>
    <n v="0"/>
    <n v="18800"/>
    <x v="0"/>
    <s v="No Match"/>
  </r>
  <r>
    <n v="229"/>
    <s v="P229"/>
    <x v="38"/>
    <x v="0"/>
    <n v="61"/>
    <n v="61"/>
    <n v="2000"/>
    <x v="0"/>
    <x v="0"/>
    <x v="0"/>
    <n v="0"/>
    <n v="122000"/>
    <x v="0"/>
    <s v="No Match"/>
  </r>
  <r>
    <n v="230"/>
    <s v="P230"/>
    <x v="66"/>
    <x v="1"/>
    <n v="30"/>
    <n v="30"/>
    <n v="2000"/>
    <x v="0"/>
    <x v="0"/>
    <x v="0"/>
    <n v="0"/>
    <n v="60000"/>
    <x v="0"/>
    <s v="No Match"/>
  </r>
  <r>
    <n v="231"/>
    <s v="P231"/>
    <x v="60"/>
    <x v="4"/>
    <n v="147"/>
    <n v="147"/>
    <n v="5000"/>
    <x v="0"/>
    <x v="0"/>
    <x v="0"/>
    <n v="0"/>
    <n v="735000"/>
    <x v="0"/>
    <s v="No Match"/>
  </r>
  <r>
    <n v="232"/>
    <s v="P232"/>
    <x v="29"/>
    <x v="3"/>
    <n v="84"/>
    <n v="84"/>
    <n v="20"/>
    <x v="0"/>
    <x v="0"/>
    <x v="0"/>
    <n v="0"/>
    <n v="1680"/>
    <x v="0"/>
    <s v="No Match"/>
  </r>
  <r>
    <n v="233"/>
    <s v="P233"/>
    <x v="34"/>
    <x v="0"/>
    <n v="42"/>
    <n v="42"/>
    <n v="10000"/>
    <x v="0"/>
    <x v="0"/>
    <x v="0"/>
    <n v="0"/>
    <n v="420000"/>
    <x v="0"/>
    <s v="No Match"/>
  </r>
  <r>
    <n v="234"/>
    <s v="P234"/>
    <x v="33"/>
    <x v="0"/>
    <n v="188"/>
    <n v="188"/>
    <n v="12000"/>
    <x v="0"/>
    <x v="0"/>
    <x v="0"/>
    <n v="0"/>
    <n v="2256000"/>
    <x v="0"/>
    <s v="No Match"/>
  </r>
  <r>
    <n v="235"/>
    <s v="P235"/>
    <x v="11"/>
    <x v="5"/>
    <n v="64"/>
    <n v="64"/>
    <n v="3000"/>
    <x v="0"/>
    <x v="0"/>
    <x v="0"/>
    <n v="0"/>
    <n v="192000"/>
    <x v="0"/>
    <s v="No Match"/>
  </r>
  <r>
    <n v="236"/>
    <s v="P236"/>
    <x v="11"/>
    <x v="5"/>
    <n v="100"/>
    <n v="100"/>
    <n v="3000"/>
    <x v="0"/>
    <x v="0"/>
    <x v="0"/>
    <n v="0"/>
    <n v="300000"/>
    <x v="0"/>
    <s v="No Match"/>
  </r>
  <r>
    <n v="237"/>
    <s v="P237"/>
    <x v="13"/>
    <x v="3"/>
    <n v="50"/>
    <n v="50"/>
    <n v="30"/>
    <x v="0"/>
    <x v="0"/>
    <x v="0"/>
    <n v="0"/>
    <n v="1500"/>
    <x v="0"/>
    <s v="No Match"/>
  </r>
  <r>
    <n v="238"/>
    <s v="P238"/>
    <x v="25"/>
    <x v="3"/>
    <n v="69"/>
    <n v="69"/>
    <n v="500"/>
    <x v="0"/>
    <x v="0"/>
    <x v="0"/>
    <n v="0"/>
    <n v="34500"/>
    <x v="0"/>
    <s v="No Match"/>
  </r>
  <r>
    <n v="239"/>
    <s v="P239"/>
    <x v="4"/>
    <x v="4"/>
    <n v="128"/>
    <n v="198"/>
    <n v="5000"/>
    <x v="70"/>
    <x v="2"/>
    <x v="48"/>
    <n v="350000"/>
    <n v="640000"/>
    <x v="2"/>
    <s v="No"/>
  </r>
  <r>
    <n v="240"/>
    <s v="P240"/>
    <x v="46"/>
    <x v="5"/>
    <n v="129"/>
    <n v="144"/>
    <n v="500"/>
    <x v="95"/>
    <x v="2"/>
    <x v="78"/>
    <n v="7500"/>
    <n v="64500"/>
    <x v="1"/>
    <s v="No"/>
  </r>
  <r>
    <n v="241"/>
    <s v="P241"/>
    <x v="0"/>
    <x v="0"/>
    <n v="141"/>
    <n v="141"/>
    <n v="3000"/>
    <x v="0"/>
    <x v="0"/>
    <x v="0"/>
    <n v="0"/>
    <n v="423000"/>
    <x v="0"/>
    <s v="No Match"/>
  </r>
  <r>
    <n v="242"/>
    <s v="P242"/>
    <x v="6"/>
    <x v="4"/>
    <n v="62"/>
    <n v="56"/>
    <n v="2000"/>
    <x v="46"/>
    <x v="1"/>
    <x v="45"/>
    <n v="12000"/>
    <n v="124000"/>
    <x v="1"/>
    <s v="No"/>
  </r>
  <r>
    <n v="243"/>
    <s v="P243"/>
    <x v="15"/>
    <x v="0"/>
    <n v="114"/>
    <n v="77"/>
    <n v="15000"/>
    <x v="75"/>
    <x v="1"/>
    <x v="65"/>
    <n v="555000"/>
    <n v="1710000"/>
    <x v="1"/>
    <s v="Yes"/>
  </r>
  <r>
    <n v="244"/>
    <s v="P244"/>
    <x v="42"/>
    <x v="1"/>
    <n v="197"/>
    <n v="142"/>
    <n v="20000"/>
    <x v="96"/>
    <x v="1"/>
    <x v="23"/>
    <n v="1100000"/>
    <n v="3940000"/>
    <x v="2"/>
    <s v="Yes"/>
  </r>
  <r>
    <n v="245"/>
    <s v="P245"/>
    <x v="24"/>
    <x v="5"/>
    <n v="147"/>
    <n v="63"/>
    <n v="200"/>
    <x v="33"/>
    <x v="1"/>
    <x v="32"/>
    <n v="16800"/>
    <n v="29400"/>
    <x v="2"/>
    <s v="No"/>
  </r>
  <r>
    <n v="246"/>
    <s v="P246"/>
    <x v="23"/>
    <x v="2"/>
    <n v="184"/>
    <n v="115"/>
    <n v="2000"/>
    <x v="53"/>
    <x v="1"/>
    <x v="29"/>
    <n v="138000"/>
    <n v="368000"/>
    <x v="2"/>
    <s v="No"/>
  </r>
  <r>
    <n v="247"/>
    <s v="P247"/>
    <x v="55"/>
    <x v="2"/>
    <n v="166"/>
    <n v="70"/>
    <n v="200"/>
    <x v="97"/>
    <x v="1"/>
    <x v="79"/>
    <n v="19200"/>
    <n v="33200"/>
    <x v="2"/>
    <s v="No"/>
  </r>
  <r>
    <n v="248"/>
    <s v="P248"/>
    <x v="7"/>
    <x v="0"/>
    <n v="176"/>
    <n v="65"/>
    <n v="8000"/>
    <x v="39"/>
    <x v="1"/>
    <x v="38"/>
    <n v="888000"/>
    <n v="1408000"/>
    <x v="3"/>
    <s v="Yes"/>
  </r>
  <r>
    <n v="249"/>
    <s v="P249"/>
    <x v="60"/>
    <x v="4"/>
    <n v="150"/>
    <n v="186"/>
    <n v="5000"/>
    <x v="98"/>
    <x v="2"/>
    <x v="80"/>
    <n v="180000"/>
    <n v="750000"/>
    <x v="1"/>
    <s v="No"/>
  </r>
  <r>
    <n v="250"/>
    <s v="P250"/>
    <x v="3"/>
    <x v="3"/>
    <n v="65"/>
    <n v="79"/>
    <n v="50"/>
    <x v="74"/>
    <x v="2"/>
    <x v="64"/>
    <n v="700"/>
    <n v="3250"/>
    <x v="1"/>
    <s v="No"/>
  </r>
  <r>
    <n v="251"/>
    <s v="P251"/>
    <x v="67"/>
    <x v="1"/>
    <n v="139"/>
    <n v="41"/>
    <n v="150000"/>
    <x v="99"/>
    <x v="1"/>
    <x v="81"/>
    <n v="14700000"/>
    <n v="20850000"/>
    <x v="2"/>
    <s v="Yes"/>
  </r>
  <r>
    <n v="252"/>
    <s v="P252"/>
    <x v="43"/>
    <x v="5"/>
    <n v="200"/>
    <n v="55"/>
    <n v="500"/>
    <x v="100"/>
    <x v="1"/>
    <x v="82"/>
    <n v="72500"/>
    <n v="100000"/>
    <x v="3"/>
    <s v="No"/>
  </r>
  <r>
    <n v="253"/>
    <s v="P253"/>
    <x v="49"/>
    <x v="2"/>
    <n v="100"/>
    <n v="100"/>
    <n v="800"/>
    <x v="0"/>
    <x v="0"/>
    <x v="0"/>
    <n v="0"/>
    <n v="80000"/>
    <x v="0"/>
    <s v="No Match"/>
  </r>
  <r>
    <n v="254"/>
    <s v="P254"/>
    <x v="21"/>
    <x v="5"/>
    <n v="164"/>
    <n v="164"/>
    <n v="100"/>
    <x v="0"/>
    <x v="0"/>
    <x v="0"/>
    <n v="0"/>
    <n v="16400"/>
    <x v="0"/>
    <s v="No Match"/>
  </r>
  <r>
    <n v="255"/>
    <s v="P255"/>
    <x v="24"/>
    <x v="5"/>
    <n v="195"/>
    <n v="195"/>
    <n v="200"/>
    <x v="0"/>
    <x v="0"/>
    <x v="0"/>
    <n v="0"/>
    <n v="39000"/>
    <x v="0"/>
    <s v="No Match"/>
  </r>
  <r>
    <n v="256"/>
    <s v="P256"/>
    <x v="48"/>
    <x v="1"/>
    <n v="148"/>
    <n v="148"/>
    <n v="4000"/>
    <x v="0"/>
    <x v="0"/>
    <x v="0"/>
    <n v="0"/>
    <n v="592000"/>
    <x v="0"/>
    <s v="No Match"/>
  </r>
  <r>
    <n v="257"/>
    <s v="P257"/>
    <x v="44"/>
    <x v="1"/>
    <n v="34"/>
    <n v="34"/>
    <n v="40000"/>
    <x v="0"/>
    <x v="0"/>
    <x v="0"/>
    <n v="0"/>
    <n v="1360000"/>
    <x v="0"/>
    <s v="No Match"/>
  </r>
  <r>
    <n v="258"/>
    <s v="P258"/>
    <x v="53"/>
    <x v="4"/>
    <n v="163"/>
    <n v="163"/>
    <n v="2500"/>
    <x v="0"/>
    <x v="0"/>
    <x v="0"/>
    <n v="0"/>
    <n v="407500"/>
    <x v="0"/>
    <s v="No Match"/>
  </r>
  <r>
    <n v="259"/>
    <s v="P259"/>
    <x v="32"/>
    <x v="3"/>
    <n v="94"/>
    <n v="94"/>
    <n v="10"/>
    <x v="0"/>
    <x v="0"/>
    <x v="0"/>
    <n v="0"/>
    <n v="940"/>
    <x v="0"/>
    <s v="No Match"/>
  </r>
  <r>
    <n v="260"/>
    <s v="P260"/>
    <x v="29"/>
    <x v="3"/>
    <n v="141"/>
    <n v="141"/>
    <n v="20"/>
    <x v="0"/>
    <x v="0"/>
    <x v="0"/>
    <n v="0"/>
    <n v="2820"/>
    <x v="0"/>
    <s v="No Match"/>
  </r>
  <r>
    <n v="261"/>
    <s v="P261"/>
    <x v="40"/>
    <x v="3"/>
    <n v="52"/>
    <n v="52"/>
    <n v="50"/>
    <x v="0"/>
    <x v="0"/>
    <x v="0"/>
    <n v="0"/>
    <n v="2600"/>
    <x v="0"/>
    <s v="No Match"/>
  </r>
  <r>
    <n v="262"/>
    <s v="P262"/>
    <x v="51"/>
    <x v="4"/>
    <n v="197"/>
    <n v="197"/>
    <n v="4500"/>
    <x v="0"/>
    <x v="0"/>
    <x v="0"/>
    <n v="0"/>
    <n v="886500"/>
    <x v="0"/>
    <s v="No Match"/>
  </r>
  <r>
    <n v="263"/>
    <s v="P263"/>
    <x v="10"/>
    <x v="5"/>
    <n v="62"/>
    <n v="62"/>
    <n v="500"/>
    <x v="0"/>
    <x v="0"/>
    <x v="0"/>
    <n v="0"/>
    <n v="31000"/>
    <x v="0"/>
    <s v="No Match"/>
  </r>
  <r>
    <n v="264"/>
    <s v="P264"/>
    <x v="29"/>
    <x v="3"/>
    <n v="180"/>
    <n v="180"/>
    <n v="20"/>
    <x v="0"/>
    <x v="0"/>
    <x v="0"/>
    <n v="0"/>
    <n v="3600"/>
    <x v="0"/>
    <s v="No Match"/>
  </r>
  <r>
    <n v="265"/>
    <s v="P265"/>
    <x v="33"/>
    <x v="0"/>
    <n v="72"/>
    <n v="72"/>
    <n v="12000"/>
    <x v="0"/>
    <x v="0"/>
    <x v="0"/>
    <n v="0"/>
    <n v="864000"/>
    <x v="0"/>
    <s v="No Match"/>
  </r>
  <r>
    <n v="266"/>
    <s v="P266"/>
    <x v="45"/>
    <x v="3"/>
    <n v="155"/>
    <n v="155"/>
    <n v="100"/>
    <x v="0"/>
    <x v="0"/>
    <x v="0"/>
    <n v="0"/>
    <n v="15500"/>
    <x v="0"/>
    <s v="No Match"/>
  </r>
  <r>
    <n v="267"/>
    <s v="P267"/>
    <x v="8"/>
    <x v="4"/>
    <n v="102"/>
    <n v="102"/>
    <n v="5000"/>
    <x v="0"/>
    <x v="0"/>
    <x v="0"/>
    <n v="0"/>
    <n v="510000"/>
    <x v="0"/>
    <s v="No Match"/>
  </r>
  <r>
    <n v="268"/>
    <s v="P268"/>
    <x v="52"/>
    <x v="1"/>
    <n v="59"/>
    <n v="59"/>
    <n v="0"/>
    <x v="0"/>
    <x v="0"/>
    <x v="0"/>
    <n v="0"/>
    <n v="0"/>
    <x v="0"/>
    <s v="No Match"/>
  </r>
  <r>
    <n v="269"/>
    <s v="P269"/>
    <x v="29"/>
    <x v="3"/>
    <n v="119"/>
    <n v="174"/>
    <n v="20"/>
    <x v="24"/>
    <x v="2"/>
    <x v="23"/>
    <n v="1100"/>
    <n v="2380"/>
    <x v="2"/>
    <s v="No"/>
  </r>
  <r>
    <n v="270"/>
    <s v="P270"/>
    <x v="1"/>
    <x v="1"/>
    <n v="144"/>
    <n v="118"/>
    <n v="15000"/>
    <x v="101"/>
    <x v="1"/>
    <x v="83"/>
    <n v="390000"/>
    <n v="2160000"/>
    <x v="1"/>
    <s v="No"/>
  </r>
  <r>
    <n v="271"/>
    <s v="P271"/>
    <x v="3"/>
    <x v="3"/>
    <n v="112"/>
    <n v="75"/>
    <n v="50"/>
    <x v="75"/>
    <x v="1"/>
    <x v="65"/>
    <n v="1850"/>
    <n v="5600"/>
    <x v="1"/>
    <s v="No"/>
  </r>
  <r>
    <n v="272"/>
    <s v="P272"/>
    <x v="52"/>
    <x v="1"/>
    <n v="121"/>
    <n v="154"/>
    <n v="0"/>
    <x v="102"/>
    <x v="2"/>
    <x v="84"/>
    <n v="0"/>
    <n v="0"/>
    <x v="1"/>
    <s v="No Match"/>
  </r>
  <r>
    <n v="273"/>
    <s v="P273"/>
    <x v="9"/>
    <x v="1"/>
    <n v="178"/>
    <n v="44"/>
    <n v="30000"/>
    <x v="73"/>
    <x v="1"/>
    <x v="63"/>
    <n v="4020000"/>
    <n v="5340000"/>
    <x v="3"/>
    <s v="Yes"/>
  </r>
  <r>
    <n v="274"/>
    <s v="P274"/>
    <x v="10"/>
    <x v="5"/>
    <n v="143"/>
    <n v="198"/>
    <n v="500"/>
    <x v="24"/>
    <x v="2"/>
    <x v="23"/>
    <n v="27500"/>
    <n v="71500"/>
    <x v="2"/>
    <s v="No"/>
  </r>
  <r>
    <n v="275"/>
    <s v="P275"/>
    <x v="25"/>
    <x v="3"/>
    <n v="184"/>
    <n v="144"/>
    <n v="500"/>
    <x v="1"/>
    <x v="1"/>
    <x v="1"/>
    <n v="20000"/>
    <n v="92000"/>
    <x v="1"/>
    <s v="No"/>
  </r>
  <r>
    <n v="276"/>
    <s v="P276"/>
    <x v="36"/>
    <x v="4"/>
    <n v="91"/>
    <n v="34"/>
    <n v="3000"/>
    <x v="94"/>
    <x v="1"/>
    <x v="7"/>
    <n v="171000"/>
    <n v="273000"/>
    <x v="2"/>
    <s v="No"/>
  </r>
  <r>
    <n v="277"/>
    <s v="P277"/>
    <x v="54"/>
    <x v="5"/>
    <n v="154"/>
    <n v="114"/>
    <n v="200"/>
    <x v="1"/>
    <x v="1"/>
    <x v="1"/>
    <n v="8000"/>
    <n v="30800"/>
    <x v="1"/>
    <s v="No"/>
  </r>
  <r>
    <n v="278"/>
    <s v="P278"/>
    <x v="31"/>
    <x v="3"/>
    <n v="113"/>
    <n v="162"/>
    <n v="100"/>
    <x v="63"/>
    <x v="2"/>
    <x v="57"/>
    <n v="4900"/>
    <n v="11300"/>
    <x v="1"/>
    <s v="No"/>
  </r>
  <r>
    <n v="279"/>
    <s v="P279"/>
    <x v="68"/>
    <x v="2"/>
    <n v="58"/>
    <n v="84"/>
    <n v="15000"/>
    <x v="103"/>
    <x v="2"/>
    <x v="83"/>
    <n v="390000"/>
    <n v="870000"/>
    <x v="1"/>
    <s v="No"/>
  </r>
  <r>
    <n v="280"/>
    <s v="P280"/>
    <x v="65"/>
    <x v="2"/>
    <n v="195"/>
    <n v="142"/>
    <n v="100"/>
    <x v="104"/>
    <x v="1"/>
    <x v="85"/>
    <n v="5300"/>
    <n v="19500"/>
    <x v="2"/>
    <s v="No"/>
  </r>
  <r>
    <n v="281"/>
    <s v="P281"/>
    <x v="12"/>
    <x v="5"/>
    <n v="102"/>
    <n v="98"/>
    <n v="1500"/>
    <x v="105"/>
    <x v="1"/>
    <x v="86"/>
    <n v="6000"/>
    <n v="153000"/>
    <x v="1"/>
    <s v="No"/>
  </r>
  <r>
    <n v="282"/>
    <s v="P282"/>
    <x v="12"/>
    <x v="5"/>
    <n v="167"/>
    <n v="46"/>
    <n v="1500"/>
    <x v="61"/>
    <x v="1"/>
    <x v="55"/>
    <n v="181500"/>
    <n v="250500"/>
    <x v="3"/>
    <s v="No"/>
  </r>
  <r>
    <n v="283"/>
    <s v="P283"/>
    <x v="47"/>
    <x v="1"/>
    <n v="84"/>
    <n v="131"/>
    <n v="50000"/>
    <x v="106"/>
    <x v="2"/>
    <x v="41"/>
    <n v="2350000"/>
    <n v="4200000"/>
    <x v="1"/>
    <s v="Yes"/>
  </r>
  <r>
    <n v="284"/>
    <s v="P284"/>
    <x v="58"/>
    <x v="3"/>
    <n v="86"/>
    <n v="187"/>
    <n v="100"/>
    <x v="107"/>
    <x v="2"/>
    <x v="77"/>
    <n v="10100"/>
    <n v="8600"/>
    <x v="3"/>
    <s v="No"/>
  </r>
  <r>
    <n v="285"/>
    <s v="P285"/>
    <x v="58"/>
    <x v="3"/>
    <n v="50"/>
    <n v="148"/>
    <n v="100"/>
    <x v="108"/>
    <x v="2"/>
    <x v="81"/>
    <n v="9800"/>
    <n v="5000"/>
    <x v="2"/>
    <s v="No"/>
  </r>
  <r>
    <n v="286"/>
    <s v="P286"/>
    <x v="38"/>
    <x v="0"/>
    <n v="176"/>
    <n v="183"/>
    <n v="2000"/>
    <x v="31"/>
    <x v="2"/>
    <x v="30"/>
    <n v="14000"/>
    <n v="352000"/>
    <x v="1"/>
    <s v="No"/>
  </r>
  <r>
    <n v="287"/>
    <s v="P287"/>
    <x v="51"/>
    <x v="4"/>
    <n v="58"/>
    <n v="127"/>
    <n v="4500"/>
    <x v="30"/>
    <x v="2"/>
    <x v="29"/>
    <n v="310500"/>
    <n v="261000"/>
    <x v="2"/>
    <s v="No"/>
  </r>
  <r>
    <n v="288"/>
    <s v="P288"/>
    <x v="9"/>
    <x v="1"/>
    <n v="125"/>
    <n v="120"/>
    <n v="30000"/>
    <x v="20"/>
    <x v="1"/>
    <x v="20"/>
    <n v="150000"/>
    <n v="3750000"/>
    <x v="1"/>
    <s v="No"/>
  </r>
  <r>
    <n v="289"/>
    <s v="P289"/>
    <x v="7"/>
    <x v="0"/>
    <n v="47"/>
    <n v="78"/>
    <n v="8000"/>
    <x v="22"/>
    <x v="2"/>
    <x v="5"/>
    <n v="248000"/>
    <n v="376000"/>
    <x v="1"/>
    <s v="No"/>
  </r>
  <r>
    <n v="290"/>
    <s v="P290"/>
    <x v="61"/>
    <x v="3"/>
    <n v="118"/>
    <n v="118"/>
    <n v="100"/>
    <x v="0"/>
    <x v="0"/>
    <x v="0"/>
    <n v="0"/>
    <n v="11800"/>
    <x v="0"/>
    <s v="No Match"/>
  </r>
  <r>
    <n v="291"/>
    <s v="P291"/>
    <x v="60"/>
    <x v="4"/>
    <n v="150"/>
    <n v="150"/>
    <n v="5000"/>
    <x v="0"/>
    <x v="0"/>
    <x v="0"/>
    <n v="0"/>
    <n v="750000"/>
    <x v="0"/>
    <s v="No Match"/>
  </r>
  <r>
    <n v="292"/>
    <s v="P292"/>
    <x v="44"/>
    <x v="1"/>
    <n v="77"/>
    <n v="77"/>
    <n v="40000"/>
    <x v="0"/>
    <x v="0"/>
    <x v="0"/>
    <n v="0"/>
    <n v="3080000"/>
    <x v="0"/>
    <s v="No Match"/>
  </r>
  <r>
    <n v="293"/>
    <s v="P293"/>
    <x v="38"/>
    <x v="0"/>
    <n v="175"/>
    <n v="175"/>
    <n v="2000"/>
    <x v="0"/>
    <x v="0"/>
    <x v="0"/>
    <n v="0"/>
    <n v="350000"/>
    <x v="0"/>
    <s v="No Match"/>
  </r>
  <r>
    <n v="294"/>
    <s v="P294"/>
    <x v="8"/>
    <x v="4"/>
    <n v="130"/>
    <n v="130"/>
    <n v="5000"/>
    <x v="0"/>
    <x v="0"/>
    <x v="0"/>
    <n v="0"/>
    <n v="650000"/>
    <x v="0"/>
    <s v="No Match"/>
  </r>
  <r>
    <n v="295"/>
    <s v="P295"/>
    <x v="20"/>
    <x v="0"/>
    <n v="154"/>
    <n v="72"/>
    <n v="5000"/>
    <x v="109"/>
    <x v="1"/>
    <x v="87"/>
    <n v="410000"/>
    <n v="770000"/>
    <x v="2"/>
    <s v="No"/>
  </r>
  <r>
    <n v="296"/>
    <s v="P296"/>
    <x v="9"/>
    <x v="1"/>
    <n v="74"/>
    <n v="118"/>
    <n v="30000"/>
    <x v="69"/>
    <x v="2"/>
    <x v="42"/>
    <n v="1320000"/>
    <n v="2220000"/>
    <x v="1"/>
    <s v="Yes"/>
  </r>
  <r>
    <n v="297"/>
    <s v="P297"/>
    <x v="11"/>
    <x v="5"/>
    <n v="113"/>
    <n v="70"/>
    <n v="3000"/>
    <x v="110"/>
    <x v="1"/>
    <x v="88"/>
    <n v="129000"/>
    <n v="339000"/>
    <x v="1"/>
    <s v="No"/>
  </r>
  <r>
    <n v="298"/>
    <s v="P298"/>
    <x v="34"/>
    <x v="0"/>
    <n v="42"/>
    <n v="42"/>
    <n v="10000"/>
    <x v="0"/>
    <x v="0"/>
    <x v="0"/>
    <n v="0"/>
    <n v="420000"/>
    <x v="0"/>
    <s v="No Match"/>
  </r>
  <r>
    <n v="299"/>
    <s v="P299"/>
    <x v="38"/>
    <x v="0"/>
    <n v="65"/>
    <n v="84"/>
    <n v="2000"/>
    <x v="55"/>
    <x v="2"/>
    <x v="50"/>
    <n v="38000"/>
    <n v="130000"/>
    <x v="1"/>
    <s v="No"/>
  </r>
  <r>
    <n v="300"/>
    <s v="P300"/>
    <x v="28"/>
    <x v="4"/>
    <n v="67"/>
    <n v="40"/>
    <n v="1000"/>
    <x v="111"/>
    <x v="1"/>
    <x v="89"/>
    <n v="27000"/>
    <n v="67000"/>
    <x v="1"/>
    <s v="No"/>
  </r>
  <r>
    <n v="301"/>
    <s v="P301"/>
    <x v="12"/>
    <x v="5"/>
    <n v="40"/>
    <n v="102"/>
    <n v="1500"/>
    <x v="112"/>
    <x v="2"/>
    <x v="53"/>
    <n v="93000"/>
    <n v="60000"/>
    <x v="2"/>
    <s v="No"/>
  </r>
  <r>
    <n v="302"/>
    <s v="P302"/>
    <x v="1"/>
    <x v="1"/>
    <n v="61"/>
    <n v="116"/>
    <n v="15000"/>
    <x v="24"/>
    <x v="2"/>
    <x v="23"/>
    <n v="825000"/>
    <n v="915000"/>
    <x v="2"/>
    <s v="Yes"/>
  </r>
  <r>
    <n v="303"/>
    <s v="P303"/>
    <x v="33"/>
    <x v="0"/>
    <n v="30"/>
    <n v="103"/>
    <n v="12000"/>
    <x v="13"/>
    <x v="2"/>
    <x v="13"/>
    <n v="876000"/>
    <n v="360000"/>
    <x v="2"/>
    <s v="Yes"/>
  </r>
  <r>
    <n v="304"/>
    <s v="P304"/>
    <x v="27"/>
    <x v="1"/>
    <n v="143"/>
    <n v="147"/>
    <n v="3000"/>
    <x v="113"/>
    <x v="2"/>
    <x v="86"/>
    <n v="12000"/>
    <n v="429000"/>
    <x v="1"/>
    <s v="No"/>
  </r>
  <r>
    <n v="305"/>
    <s v="P305"/>
    <x v="3"/>
    <x v="3"/>
    <n v="48"/>
    <n v="76"/>
    <n v="50"/>
    <x v="114"/>
    <x v="2"/>
    <x v="58"/>
    <n v="1400"/>
    <n v="2400"/>
    <x v="1"/>
    <s v="No"/>
  </r>
  <r>
    <n v="306"/>
    <s v="P306"/>
    <x v="27"/>
    <x v="1"/>
    <n v="174"/>
    <n v="41"/>
    <n v="3000"/>
    <x v="115"/>
    <x v="1"/>
    <x v="90"/>
    <n v="399000"/>
    <n v="522000"/>
    <x v="3"/>
    <s v="No"/>
  </r>
  <r>
    <n v="307"/>
    <s v="P307"/>
    <x v="17"/>
    <x v="3"/>
    <n v="101"/>
    <n v="37"/>
    <n v="30"/>
    <x v="3"/>
    <x v="1"/>
    <x v="3"/>
    <n v="1920"/>
    <n v="3030"/>
    <x v="2"/>
    <s v="No"/>
  </r>
  <r>
    <n v="308"/>
    <s v="P308"/>
    <x v="35"/>
    <x v="4"/>
    <n v="108"/>
    <n v="66"/>
    <n v="2000"/>
    <x v="116"/>
    <x v="1"/>
    <x v="91"/>
    <n v="84000"/>
    <n v="216000"/>
    <x v="1"/>
    <s v="No"/>
  </r>
  <r>
    <n v="309"/>
    <s v="P309"/>
    <x v="4"/>
    <x v="4"/>
    <n v="98"/>
    <n v="89"/>
    <n v="5000"/>
    <x v="117"/>
    <x v="1"/>
    <x v="92"/>
    <n v="45000"/>
    <n v="490000"/>
    <x v="1"/>
    <s v="No"/>
  </r>
  <r>
    <n v="310"/>
    <s v="P310"/>
    <x v="27"/>
    <x v="1"/>
    <n v="42"/>
    <n v="166"/>
    <n v="3000"/>
    <x v="118"/>
    <x v="2"/>
    <x v="93"/>
    <n v="372000"/>
    <n v="126000"/>
    <x v="3"/>
    <s v="No"/>
  </r>
  <r>
    <n v="311"/>
    <s v="P311"/>
    <x v="66"/>
    <x v="1"/>
    <n v="183"/>
    <n v="48"/>
    <n v="2000"/>
    <x v="52"/>
    <x v="1"/>
    <x v="27"/>
    <n v="270000"/>
    <n v="366000"/>
    <x v="3"/>
    <s v="No"/>
  </r>
  <r>
    <n v="312"/>
    <s v="P312"/>
    <x v="32"/>
    <x v="3"/>
    <n v="75"/>
    <n v="75"/>
    <n v="10"/>
    <x v="0"/>
    <x v="0"/>
    <x v="0"/>
    <n v="0"/>
    <n v="750"/>
    <x v="0"/>
    <s v="No Match"/>
  </r>
  <r>
    <n v="313"/>
    <s v="P313"/>
    <x v="65"/>
    <x v="2"/>
    <n v="124"/>
    <n v="124"/>
    <n v="100"/>
    <x v="0"/>
    <x v="0"/>
    <x v="0"/>
    <n v="0"/>
    <n v="12400"/>
    <x v="0"/>
    <s v="No Match"/>
  </r>
  <r>
    <n v="314"/>
    <s v="P314"/>
    <x v="13"/>
    <x v="3"/>
    <n v="68"/>
    <n v="68"/>
    <n v="30"/>
    <x v="0"/>
    <x v="0"/>
    <x v="0"/>
    <n v="0"/>
    <n v="2040"/>
    <x v="0"/>
    <s v="No Match"/>
  </r>
  <r>
    <n v="315"/>
    <s v="P315"/>
    <x v="50"/>
    <x v="3"/>
    <n v="88"/>
    <n v="88"/>
    <n v="50"/>
    <x v="0"/>
    <x v="0"/>
    <x v="0"/>
    <n v="0"/>
    <n v="4400"/>
    <x v="0"/>
    <s v="No Match"/>
  </r>
  <r>
    <n v="316"/>
    <s v="P316"/>
    <x v="53"/>
    <x v="4"/>
    <n v="133"/>
    <n v="133"/>
    <n v="2500"/>
    <x v="0"/>
    <x v="0"/>
    <x v="0"/>
    <n v="0"/>
    <n v="332500"/>
    <x v="0"/>
    <s v="No Match"/>
  </r>
  <r>
    <n v="317"/>
    <s v="P317"/>
    <x v="43"/>
    <x v="5"/>
    <n v="126"/>
    <n v="126"/>
    <n v="500"/>
    <x v="0"/>
    <x v="0"/>
    <x v="0"/>
    <n v="0"/>
    <n v="63000"/>
    <x v="0"/>
    <s v="No Match"/>
  </r>
  <r>
    <n v="318"/>
    <s v="P318"/>
    <x v="64"/>
    <x v="4"/>
    <n v="157"/>
    <n v="157"/>
    <n v="1500"/>
    <x v="0"/>
    <x v="0"/>
    <x v="0"/>
    <n v="0"/>
    <n v="235500"/>
    <x v="0"/>
    <s v="No Match"/>
  </r>
  <r>
    <n v="319"/>
    <s v="P319"/>
    <x v="47"/>
    <x v="1"/>
    <n v="43"/>
    <n v="43"/>
    <n v="50000"/>
    <x v="0"/>
    <x v="0"/>
    <x v="0"/>
    <n v="0"/>
    <n v="2150000"/>
    <x v="0"/>
    <s v="No Match"/>
  </r>
  <r>
    <n v="320"/>
    <s v="P320"/>
    <x v="53"/>
    <x v="4"/>
    <n v="189"/>
    <n v="189"/>
    <n v="2500"/>
    <x v="0"/>
    <x v="0"/>
    <x v="0"/>
    <n v="0"/>
    <n v="472500"/>
    <x v="0"/>
    <s v="No Match"/>
  </r>
  <r>
    <n v="321"/>
    <s v="P321"/>
    <x v="36"/>
    <x v="4"/>
    <n v="47"/>
    <n v="47"/>
    <n v="3000"/>
    <x v="0"/>
    <x v="0"/>
    <x v="0"/>
    <n v="0"/>
    <n v="141000"/>
    <x v="0"/>
    <s v="No Match"/>
  </r>
  <r>
    <n v="322"/>
    <s v="P322"/>
    <x v="17"/>
    <x v="3"/>
    <n v="167"/>
    <n v="167"/>
    <n v="30"/>
    <x v="0"/>
    <x v="0"/>
    <x v="0"/>
    <n v="0"/>
    <n v="5010"/>
    <x v="0"/>
    <s v="No Match"/>
  </r>
  <r>
    <n v="323"/>
    <s v="P323"/>
    <x v="19"/>
    <x v="0"/>
    <n v="78"/>
    <n v="78"/>
    <n v="5000"/>
    <x v="0"/>
    <x v="0"/>
    <x v="0"/>
    <n v="0"/>
    <n v="390000"/>
    <x v="0"/>
    <s v="No Match"/>
  </r>
  <r>
    <n v="324"/>
    <s v="P324"/>
    <x v="3"/>
    <x v="3"/>
    <n v="37"/>
    <n v="37"/>
    <n v="50"/>
    <x v="0"/>
    <x v="0"/>
    <x v="0"/>
    <n v="0"/>
    <n v="1850"/>
    <x v="0"/>
    <s v="No Match"/>
  </r>
  <r>
    <n v="325"/>
    <s v="P325"/>
    <x v="9"/>
    <x v="1"/>
    <n v="123"/>
    <n v="123"/>
    <n v="30000"/>
    <x v="0"/>
    <x v="0"/>
    <x v="0"/>
    <n v="0"/>
    <n v="3690000"/>
    <x v="0"/>
    <s v="No Match"/>
  </r>
  <r>
    <n v="326"/>
    <s v="P326"/>
    <x v="53"/>
    <x v="4"/>
    <n v="46"/>
    <n v="46"/>
    <n v="2500"/>
    <x v="0"/>
    <x v="0"/>
    <x v="0"/>
    <n v="0"/>
    <n v="115000"/>
    <x v="0"/>
    <s v="No Match"/>
  </r>
  <r>
    <n v="327"/>
    <s v="P327"/>
    <x v="34"/>
    <x v="0"/>
    <n v="169"/>
    <n v="169"/>
    <n v="10000"/>
    <x v="0"/>
    <x v="0"/>
    <x v="0"/>
    <n v="0"/>
    <n v="1690000"/>
    <x v="0"/>
    <s v="No Match"/>
  </r>
  <r>
    <n v="328"/>
    <s v="P328"/>
    <x v="51"/>
    <x v="4"/>
    <n v="123"/>
    <n v="123"/>
    <n v="4500"/>
    <x v="0"/>
    <x v="0"/>
    <x v="0"/>
    <n v="0"/>
    <n v="553500"/>
    <x v="0"/>
    <s v="No Match"/>
  </r>
  <r>
    <n v="329"/>
    <s v="P329"/>
    <x v="35"/>
    <x v="4"/>
    <n v="75"/>
    <n v="75"/>
    <n v="2000"/>
    <x v="0"/>
    <x v="0"/>
    <x v="0"/>
    <n v="0"/>
    <n v="150000"/>
    <x v="0"/>
    <s v="No Match"/>
  </r>
  <r>
    <n v="330"/>
    <s v="P330"/>
    <x v="53"/>
    <x v="4"/>
    <n v="96"/>
    <n v="96"/>
    <n v="2500"/>
    <x v="0"/>
    <x v="0"/>
    <x v="0"/>
    <n v="0"/>
    <n v="240000"/>
    <x v="0"/>
    <s v="No Match"/>
  </r>
  <r>
    <n v="331"/>
    <s v="P331"/>
    <x v="63"/>
    <x v="2"/>
    <n v="149"/>
    <n v="149"/>
    <n v="100"/>
    <x v="0"/>
    <x v="0"/>
    <x v="0"/>
    <n v="0"/>
    <n v="14900"/>
    <x v="0"/>
    <s v="No Match"/>
  </r>
  <r>
    <n v="332"/>
    <s v="P332"/>
    <x v="42"/>
    <x v="1"/>
    <n v="84"/>
    <n v="84"/>
    <n v="20000"/>
    <x v="0"/>
    <x v="0"/>
    <x v="0"/>
    <n v="0"/>
    <n v="1680000"/>
    <x v="0"/>
    <s v="No Match"/>
  </r>
  <r>
    <n v="333"/>
    <s v="P333"/>
    <x v="25"/>
    <x v="3"/>
    <n v="195"/>
    <n v="195"/>
    <n v="500"/>
    <x v="0"/>
    <x v="0"/>
    <x v="0"/>
    <n v="0"/>
    <n v="97500"/>
    <x v="0"/>
    <s v="No Match"/>
  </r>
  <r>
    <n v="334"/>
    <s v="P334"/>
    <x v="26"/>
    <x v="2"/>
    <n v="59"/>
    <n v="59"/>
    <n v="4500"/>
    <x v="0"/>
    <x v="0"/>
    <x v="0"/>
    <n v="0"/>
    <n v="265500"/>
    <x v="0"/>
    <s v="No Match"/>
  </r>
  <r>
    <n v="335"/>
    <s v="P335"/>
    <x v="28"/>
    <x v="4"/>
    <n v="194"/>
    <n v="194"/>
    <n v="1000"/>
    <x v="0"/>
    <x v="0"/>
    <x v="0"/>
    <n v="0"/>
    <n v="194000"/>
    <x v="0"/>
    <s v="No Match"/>
  </r>
  <r>
    <n v="336"/>
    <s v="P336"/>
    <x v="34"/>
    <x v="0"/>
    <n v="136"/>
    <n v="136"/>
    <n v="10000"/>
    <x v="0"/>
    <x v="0"/>
    <x v="0"/>
    <n v="0"/>
    <n v="1360000"/>
    <x v="0"/>
    <s v="No Match"/>
  </r>
  <r>
    <n v="337"/>
    <s v="P337"/>
    <x v="11"/>
    <x v="5"/>
    <n v="200"/>
    <n v="200"/>
    <n v="3000"/>
    <x v="0"/>
    <x v="0"/>
    <x v="0"/>
    <n v="0"/>
    <n v="600000"/>
    <x v="0"/>
    <s v="No Match"/>
  </r>
  <r>
    <n v="338"/>
    <s v="P338"/>
    <x v="19"/>
    <x v="0"/>
    <n v="51"/>
    <n v="36"/>
    <n v="5000"/>
    <x v="119"/>
    <x v="1"/>
    <x v="78"/>
    <n v="75000"/>
    <n v="255000"/>
    <x v="1"/>
    <s v="No"/>
  </r>
  <r>
    <n v="339"/>
    <s v="P339"/>
    <x v="6"/>
    <x v="4"/>
    <n v="165"/>
    <n v="152"/>
    <n v="2000"/>
    <x v="120"/>
    <x v="1"/>
    <x v="43"/>
    <n v="26000"/>
    <n v="330000"/>
    <x v="1"/>
    <s v="No"/>
  </r>
  <r>
    <n v="340"/>
    <s v="P340"/>
    <x v="49"/>
    <x v="2"/>
    <n v="102"/>
    <n v="68"/>
    <n v="800"/>
    <x v="121"/>
    <x v="1"/>
    <x v="24"/>
    <n v="27200"/>
    <n v="81600"/>
    <x v="1"/>
    <s v="No"/>
  </r>
  <r>
    <n v="341"/>
    <s v="P341"/>
    <x v="15"/>
    <x v="0"/>
    <n v="67"/>
    <n v="127"/>
    <n v="15000"/>
    <x v="122"/>
    <x v="2"/>
    <x v="94"/>
    <n v="900000"/>
    <n v="1005000"/>
    <x v="2"/>
    <s v="Yes"/>
  </r>
  <r>
    <n v="342"/>
    <s v="P342"/>
    <x v="56"/>
    <x v="4"/>
    <n v="122"/>
    <n v="157"/>
    <n v="200"/>
    <x v="83"/>
    <x v="2"/>
    <x v="70"/>
    <n v="7000"/>
    <n v="24400"/>
    <x v="1"/>
    <s v="No"/>
  </r>
  <r>
    <n v="343"/>
    <s v="P343"/>
    <x v="18"/>
    <x v="1"/>
    <n v="119"/>
    <n v="119"/>
    <n v="20000"/>
    <x v="0"/>
    <x v="0"/>
    <x v="0"/>
    <n v="0"/>
    <n v="2380000"/>
    <x v="0"/>
    <s v="No Match"/>
  </r>
  <r>
    <n v="344"/>
    <s v="P344"/>
    <x v="67"/>
    <x v="1"/>
    <n v="190"/>
    <n v="190"/>
    <n v="150000"/>
    <x v="0"/>
    <x v="0"/>
    <x v="0"/>
    <n v="0"/>
    <n v="28500000"/>
    <x v="0"/>
    <s v="No Match"/>
  </r>
  <r>
    <n v="345"/>
    <s v="P345"/>
    <x v="35"/>
    <x v="4"/>
    <n v="130"/>
    <n v="130"/>
    <n v="2000"/>
    <x v="0"/>
    <x v="0"/>
    <x v="0"/>
    <n v="0"/>
    <n v="260000"/>
    <x v="0"/>
    <s v="No Match"/>
  </r>
  <r>
    <n v="346"/>
    <s v="P346"/>
    <x v="12"/>
    <x v="5"/>
    <n v="48"/>
    <n v="48"/>
    <n v="1500"/>
    <x v="0"/>
    <x v="0"/>
    <x v="0"/>
    <n v="0"/>
    <n v="72000"/>
    <x v="0"/>
    <s v="No Match"/>
  </r>
  <r>
    <n v="347"/>
    <s v="P347"/>
    <x v="10"/>
    <x v="5"/>
    <n v="199"/>
    <n v="199"/>
    <n v="500"/>
    <x v="0"/>
    <x v="0"/>
    <x v="0"/>
    <n v="0"/>
    <n v="99500"/>
    <x v="0"/>
    <s v="No Match"/>
  </r>
  <r>
    <n v="348"/>
    <s v="P348"/>
    <x v="59"/>
    <x v="2"/>
    <n v="146"/>
    <n v="146"/>
    <n v="50"/>
    <x v="0"/>
    <x v="0"/>
    <x v="0"/>
    <n v="0"/>
    <n v="7300"/>
    <x v="0"/>
    <s v="No Match"/>
  </r>
  <r>
    <n v="349"/>
    <s v="P349"/>
    <x v="6"/>
    <x v="4"/>
    <n v="179"/>
    <n v="179"/>
    <n v="2000"/>
    <x v="0"/>
    <x v="0"/>
    <x v="0"/>
    <n v="0"/>
    <n v="358000"/>
    <x v="0"/>
    <s v="No Match"/>
  </r>
  <r>
    <n v="350"/>
    <s v="P350"/>
    <x v="43"/>
    <x v="5"/>
    <n v="89"/>
    <n v="89"/>
    <n v="500"/>
    <x v="0"/>
    <x v="0"/>
    <x v="0"/>
    <n v="0"/>
    <n v="44500"/>
    <x v="0"/>
    <s v="No Match"/>
  </r>
  <r>
    <n v="351"/>
    <s v="P351"/>
    <x v="41"/>
    <x v="1"/>
    <n v="120"/>
    <n v="120"/>
    <n v="70000"/>
    <x v="0"/>
    <x v="0"/>
    <x v="0"/>
    <n v="0"/>
    <n v="8400000"/>
    <x v="0"/>
    <s v="No Match"/>
  </r>
  <r>
    <n v="352"/>
    <s v="P352"/>
    <x v="32"/>
    <x v="3"/>
    <n v="101"/>
    <n v="101"/>
    <n v="10"/>
    <x v="0"/>
    <x v="0"/>
    <x v="0"/>
    <n v="0"/>
    <n v="1010"/>
    <x v="0"/>
    <s v="No Match"/>
  </r>
  <r>
    <n v="353"/>
    <s v="P353"/>
    <x v="31"/>
    <x v="3"/>
    <n v="87"/>
    <n v="87"/>
    <n v="100"/>
    <x v="0"/>
    <x v="0"/>
    <x v="0"/>
    <n v="0"/>
    <n v="8700"/>
    <x v="0"/>
    <s v="No Match"/>
  </r>
  <r>
    <n v="354"/>
    <s v="P354"/>
    <x v="40"/>
    <x v="3"/>
    <n v="111"/>
    <n v="111"/>
    <n v="50"/>
    <x v="0"/>
    <x v="0"/>
    <x v="0"/>
    <n v="0"/>
    <n v="5550"/>
    <x v="0"/>
    <s v="No Match"/>
  </r>
  <r>
    <n v="355"/>
    <s v="P355"/>
    <x v="3"/>
    <x v="3"/>
    <n v="36"/>
    <n v="113"/>
    <n v="50"/>
    <x v="40"/>
    <x v="2"/>
    <x v="39"/>
    <n v="3850"/>
    <n v="1800"/>
    <x v="2"/>
    <s v="No"/>
  </r>
  <r>
    <n v="356"/>
    <s v="P356"/>
    <x v="54"/>
    <x v="5"/>
    <n v="152"/>
    <n v="134"/>
    <n v="200"/>
    <x v="123"/>
    <x v="1"/>
    <x v="95"/>
    <n v="3600"/>
    <n v="30400"/>
    <x v="1"/>
    <s v="No"/>
  </r>
  <r>
    <n v="357"/>
    <s v="P357"/>
    <x v="45"/>
    <x v="3"/>
    <n v="68"/>
    <n v="168"/>
    <n v="100"/>
    <x v="124"/>
    <x v="2"/>
    <x v="96"/>
    <n v="10000"/>
    <n v="6800"/>
    <x v="2"/>
    <s v="No"/>
  </r>
  <r>
    <n v="358"/>
    <s v="P358"/>
    <x v="58"/>
    <x v="3"/>
    <n v="127"/>
    <n v="160"/>
    <n v="100"/>
    <x v="102"/>
    <x v="2"/>
    <x v="84"/>
    <n v="3300"/>
    <n v="12700"/>
    <x v="1"/>
    <s v="No"/>
  </r>
  <r>
    <n v="359"/>
    <s v="P359"/>
    <x v="25"/>
    <x v="3"/>
    <n v="109"/>
    <n v="109"/>
    <n v="500"/>
    <x v="0"/>
    <x v="0"/>
    <x v="0"/>
    <n v="0"/>
    <n v="54500"/>
    <x v="0"/>
    <s v="No Match"/>
  </r>
  <r>
    <n v="360"/>
    <s v="P360"/>
    <x v="15"/>
    <x v="0"/>
    <n v="157"/>
    <n v="81"/>
    <n v="15000"/>
    <x v="125"/>
    <x v="1"/>
    <x v="11"/>
    <n v="1140000"/>
    <n v="2355000"/>
    <x v="2"/>
    <s v="Yes"/>
  </r>
  <r>
    <n v="361"/>
    <s v="P361"/>
    <x v="57"/>
    <x v="2"/>
    <n v="77"/>
    <n v="100"/>
    <n v="500"/>
    <x v="126"/>
    <x v="2"/>
    <x v="97"/>
    <n v="11500"/>
    <n v="38500"/>
    <x v="1"/>
    <s v="No"/>
  </r>
  <r>
    <n v="362"/>
    <s v="P362"/>
    <x v="8"/>
    <x v="4"/>
    <n v="112"/>
    <n v="74"/>
    <n v="5000"/>
    <x v="58"/>
    <x v="1"/>
    <x v="52"/>
    <n v="190000"/>
    <n v="560000"/>
    <x v="1"/>
    <s v="No"/>
  </r>
  <r>
    <n v="363"/>
    <s v="P363"/>
    <x v="27"/>
    <x v="1"/>
    <n v="130"/>
    <n v="194"/>
    <n v="3000"/>
    <x v="127"/>
    <x v="2"/>
    <x v="3"/>
    <n v="192000"/>
    <n v="390000"/>
    <x v="2"/>
    <s v="No"/>
  </r>
  <r>
    <n v="364"/>
    <s v="P364"/>
    <x v="20"/>
    <x v="0"/>
    <n v="77"/>
    <n v="194"/>
    <n v="5000"/>
    <x v="26"/>
    <x v="2"/>
    <x v="25"/>
    <n v="585000"/>
    <n v="385000"/>
    <x v="3"/>
    <s v="Yes"/>
  </r>
  <r>
    <n v="365"/>
    <s v="P365"/>
    <x v="45"/>
    <x v="3"/>
    <n v="157"/>
    <n v="181"/>
    <n v="100"/>
    <x v="66"/>
    <x v="2"/>
    <x v="56"/>
    <n v="2400"/>
    <n v="15700"/>
    <x v="1"/>
    <s v="No"/>
  </r>
  <r>
    <n v="366"/>
    <s v="P366"/>
    <x v="65"/>
    <x v="2"/>
    <n v="96"/>
    <n v="82"/>
    <n v="100"/>
    <x v="128"/>
    <x v="1"/>
    <x v="64"/>
    <n v="1400"/>
    <n v="9600"/>
    <x v="1"/>
    <s v="No"/>
  </r>
  <r>
    <n v="367"/>
    <s v="P367"/>
    <x v="8"/>
    <x v="4"/>
    <n v="97"/>
    <n v="45"/>
    <n v="5000"/>
    <x v="129"/>
    <x v="1"/>
    <x v="98"/>
    <n v="260000"/>
    <n v="485000"/>
    <x v="2"/>
    <s v="No"/>
  </r>
  <r>
    <n v="368"/>
    <s v="P368"/>
    <x v="31"/>
    <x v="3"/>
    <n v="144"/>
    <n v="194"/>
    <n v="100"/>
    <x v="76"/>
    <x v="2"/>
    <x v="66"/>
    <n v="5000"/>
    <n v="14400"/>
    <x v="2"/>
    <s v="No"/>
  </r>
  <r>
    <n v="369"/>
    <s v="P369"/>
    <x v="29"/>
    <x v="3"/>
    <n v="153"/>
    <n v="153"/>
    <n v="20"/>
    <x v="0"/>
    <x v="0"/>
    <x v="0"/>
    <n v="0"/>
    <n v="3060"/>
    <x v="0"/>
    <s v="No Match"/>
  </r>
  <r>
    <n v="370"/>
    <s v="P370"/>
    <x v="40"/>
    <x v="3"/>
    <n v="176"/>
    <n v="176"/>
    <n v="50"/>
    <x v="0"/>
    <x v="0"/>
    <x v="0"/>
    <n v="0"/>
    <n v="8800"/>
    <x v="0"/>
    <s v="No Match"/>
  </r>
  <r>
    <n v="371"/>
    <s v="P371"/>
    <x v="39"/>
    <x v="2"/>
    <n v="139"/>
    <n v="139"/>
    <n v="1500"/>
    <x v="0"/>
    <x v="0"/>
    <x v="0"/>
    <n v="0"/>
    <n v="208500"/>
    <x v="0"/>
    <s v="No Match"/>
  </r>
  <r>
    <n v="372"/>
    <s v="P372"/>
    <x v="19"/>
    <x v="0"/>
    <n v="77"/>
    <n v="77"/>
    <n v="5000"/>
    <x v="0"/>
    <x v="0"/>
    <x v="0"/>
    <n v="0"/>
    <n v="385000"/>
    <x v="0"/>
    <s v="No Match"/>
  </r>
  <r>
    <n v="373"/>
    <s v="P373"/>
    <x v="21"/>
    <x v="5"/>
    <n v="57"/>
    <n v="57"/>
    <n v="100"/>
    <x v="0"/>
    <x v="0"/>
    <x v="0"/>
    <n v="0"/>
    <n v="5700"/>
    <x v="0"/>
    <s v="No Match"/>
  </r>
  <r>
    <n v="374"/>
    <s v="P374"/>
    <x v="46"/>
    <x v="5"/>
    <n v="160"/>
    <n v="160"/>
    <n v="500"/>
    <x v="0"/>
    <x v="0"/>
    <x v="0"/>
    <n v="0"/>
    <n v="80000"/>
    <x v="0"/>
    <s v="No Match"/>
  </r>
  <r>
    <n v="375"/>
    <s v="P375"/>
    <x v="54"/>
    <x v="5"/>
    <n v="169"/>
    <n v="169"/>
    <n v="200"/>
    <x v="0"/>
    <x v="0"/>
    <x v="0"/>
    <n v="0"/>
    <n v="33800"/>
    <x v="0"/>
    <s v="No Match"/>
  </r>
  <r>
    <n v="376"/>
    <s v="P376"/>
    <x v="54"/>
    <x v="5"/>
    <n v="114"/>
    <n v="114"/>
    <n v="200"/>
    <x v="0"/>
    <x v="0"/>
    <x v="0"/>
    <n v="0"/>
    <n v="22800"/>
    <x v="0"/>
    <s v="No Match"/>
  </r>
  <r>
    <n v="377"/>
    <s v="P377"/>
    <x v="53"/>
    <x v="4"/>
    <n v="183"/>
    <n v="183"/>
    <n v="2500"/>
    <x v="0"/>
    <x v="0"/>
    <x v="0"/>
    <n v="0"/>
    <n v="457500"/>
    <x v="0"/>
    <s v="No Match"/>
  </r>
  <r>
    <n v="378"/>
    <s v="P378"/>
    <x v="26"/>
    <x v="2"/>
    <n v="189"/>
    <n v="187"/>
    <n v="4500"/>
    <x v="130"/>
    <x v="1"/>
    <x v="99"/>
    <n v="9000"/>
    <n v="850500"/>
    <x v="1"/>
    <s v="No"/>
  </r>
  <r>
    <n v="379"/>
    <s v="P379"/>
    <x v="8"/>
    <x v="4"/>
    <n v="62"/>
    <n v="139"/>
    <n v="5000"/>
    <x v="40"/>
    <x v="2"/>
    <x v="39"/>
    <n v="385000"/>
    <n v="310000"/>
    <x v="2"/>
    <s v="No"/>
  </r>
  <r>
    <n v="380"/>
    <s v="P380"/>
    <x v="6"/>
    <x v="4"/>
    <n v="71"/>
    <n v="60"/>
    <n v="2000"/>
    <x v="16"/>
    <x v="1"/>
    <x v="16"/>
    <n v="22000"/>
    <n v="142000"/>
    <x v="1"/>
    <s v="No"/>
  </r>
  <r>
    <n v="381"/>
    <s v="P381"/>
    <x v="56"/>
    <x v="4"/>
    <n v="148"/>
    <n v="124"/>
    <n v="200"/>
    <x v="62"/>
    <x v="1"/>
    <x v="56"/>
    <n v="4800"/>
    <n v="29600"/>
    <x v="1"/>
    <s v="No"/>
  </r>
  <r>
    <n v="382"/>
    <s v="P382"/>
    <x v="27"/>
    <x v="1"/>
    <n v="186"/>
    <n v="118"/>
    <n v="3000"/>
    <x v="131"/>
    <x v="1"/>
    <x v="100"/>
    <n v="204000"/>
    <n v="558000"/>
    <x v="2"/>
    <s v="No"/>
  </r>
  <r>
    <n v="383"/>
    <s v="P383"/>
    <x v="15"/>
    <x v="0"/>
    <n v="94"/>
    <n v="150"/>
    <n v="15000"/>
    <x v="132"/>
    <x v="2"/>
    <x v="101"/>
    <n v="840000"/>
    <n v="1410000"/>
    <x v="2"/>
    <s v="Yes"/>
  </r>
  <r>
    <n v="384"/>
    <s v="P384"/>
    <x v="31"/>
    <x v="3"/>
    <n v="158"/>
    <n v="53"/>
    <n v="100"/>
    <x v="133"/>
    <x v="1"/>
    <x v="102"/>
    <n v="10500"/>
    <n v="15800"/>
    <x v="3"/>
    <s v="No"/>
  </r>
  <r>
    <n v="385"/>
    <s v="P385"/>
    <x v="43"/>
    <x v="5"/>
    <n v="160"/>
    <n v="89"/>
    <n v="500"/>
    <x v="134"/>
    <x v="1"/>
    <x v="103"/>
    <n v="35500"/>
    <n v="80000"/>
    <x v="2"/>
    <s v="No"/>
  </r>
  <r>
    <n v="386"/>
    <s v="P386"/>
    <x v="51"/>
    <x v="4"/>
    <n v="43"/>
    <n v="64"/>
    <n v="4500"/>
    <x v="135"/>
    <x v="2"/>
    <x v="104"/>
    <n v="94500"/>
    <n v="193500"/>
    <x v="1"/>
    <s v="No"/>
  </r>
  <r>
    <n v="387"/>
    <s v="P387"/>
    <x v="50"/>
    <x v="3"/>
    <n v="123"/>
    <n v="54"/>
    <n v="50"/>
    <x v="53"/>
    <x v="1"/>
    <x v="29"/>
    <n v="3450"/>
    <n v="6150"/>
    <x v="2"/>
    <s v="No"/>
  </r>
  <r>
    <n v="388"/>
    <s v="P388"/>
    <x v="58"/>
    <x v="3"/>
    <n v="71"/>
    <n v="170"/>
    <n v="100"/>
    <x v="136"/>
    <x v="2"/>
    <x v="105"/>
    <n v="9900"/>
    <n v="7100"/>
    <x v="2"/>
    <s v="No"/>
  </r>
  <r>
    <n v="389"/>
    <s v="P389"/>
    <x v="0"/>
    <x v="0"/>
    <n v="142"/>
    <n v="142"/>
    <n v="3000"/>
    <x v="0"/>
    <x v="0"/>
    <x v="0"/>
    <n v="0"/>
    <n v="426000"/>
    <x v="0"/>
    <s v="No Match"/>
  </r>
  <r>
    <n v="390"/>
    <s v="P390"/>
    <x v="28"/>
    <x v="4"/>
    <n v="33"/>
    <n v="33"/>
    <n v="1000"/>
    <x v="0"/>
    <x v="0"/>
    <x v="0"/>
    <n v="0"/>
    <n v="33000"/>
    <x v="0"/>
    <s v="No Match"/>
  </r>
  <r>
    <n v="391"/>
    <s v="P391"/>
    <x v="48"/>
    <x v="1"/>
    <n v="192"/>
    <n v="192"/>
    <n v="4000"/>
    <x v="0"/>
    <x v="0"/>
    <x v="0"/>
    <n v="0"/>
    <n v="768000"/>
    <x v="0"/>
    <s v="No Match"/>
  </r>
  <r>
    <n v="392"/>
    <s v="P392"/>
    <x v="12"/>
    <x v="5"/>
    <n v="90"/>
    <n v="90"/>
    <n v="1500"/>
    <x v="0"/>
    <x v="0"/>
    <x v="0"/>
    <n v="0"/>
    <n v="135000"/>
    <x v="0"/>
    <s v="No Match"/>
  </r>
  <r>
    <n v="393"/>
    <s v="P393"/>
    <x v="5"/>
    <x v="3"/>
    <n v="102"/>
    <n v="102"/>
    <n v="50"/>
    <x v="0"/>
    <x v="0"/>
    <x v="0"/>
    <n v="0"/>
    <n v="5100"/>
    <x v="0"/>
    <s v="No Match"/>
  </r>
  <r>
    <n v="394"/>
    <s v="P394"/>
    <x v="25"/>
    <x v="3"/>
    <n v="141"/>
    <n v="141"/>
    <n v="500"/>
    <x v="0"/>
    <x v="0"/>
    <x v="0"/>
    <n v="0"/>
    <n v="70500"/>
    <x v="0"/>
    <s v="No Match"/>
  </r>
  <r>
    <n v="395"/>
    <s v="P395"/>
    <x v="60"/>
    <x v="4"/>
    <n v="63"/>
    <n v="63"/>
    <n v="5000"/>
    <x v="0"/>
    <x v="0"/>
    <x v="0"/>
    <n v="0"/>
    <n v="315000"/>
    <x v="0"/>
    <s v="No Match"/>
  </r>
  <r>
    <n v="396"/>
    <s v="P396"/>
    <x v="35"/>
    <x v="4"/>
    <n v="108"/>
    <n v="108"/>
    <n v="2000"/>
    <x v="0"/>
    <x v="0"/>
    <x v="0"/>
    <n v="0"/>
    <n v="216000"/>
    <x v="0"/>
    <s v="No Match"/>
  </r>
  <r>
    <n v="397"/>
    <s v="P397"/>
    <x v="55"/>
    <x v="2"/>
    <n v="165"/>
    <n v="165"/>
    <n v="200"/>
    <x v="0"/>
    <x v="0"/>
    <x v="0"/>
    <n v="0"/>
    <n v="33000"/>
    <x v="0"/>
    <s v="No Match"/>
  </r>
  <r>
    <n v="398"/>
    <s v="P398"/>
    <x v="1"/>
    <x v="1"/>
    <n v="50"/>
    <n v="50"/>
    <n v="15000"/>
    <x v="0"/>
    <x v="0"/>
    <x v="0"/>
    <n v="0"/>
    <n v="750000"/>
    <x v="0"/>
    <s v="No Match"/>
  </r>
  <r>
    <n v="399"/>
    <s v="P399"/>
    <x v="42"/>
    <x v="1"/>
    <n v="42"/>
    <n v="42"/>
    <n v="20000"/>
    <x v="0"/>
    <x v="0"/>
    <x v="0"/>
    <n v="0"/>
    <n v="840000"/>
    <x v="0"/>
    <s v="No Match"/>
  </r>
  <r>
    <n v="400"/>
    <s v="P400"/>
    <x v="45"/>
    <x v="3"/>
    <n v="77"/>
    <n v="77"/>
    <n v="100"/>
    <x v="0"/>
    <x v="0"/>
    <x v="0"/>
    <n v="0"/>
    <n v="7700"/>
    <x v="0"/>
    <s v="No Match"/>
  </r>
  <r>
    <n v="401"/>
    <s v="P401"/>
    <x v="33"/>
    <x v="0"/>
    <n v="126"/>
    <n v="126"/>
    <n v="12000"/>
    <x v="0"/>
    <x v="0"/>
    <x v="0"/>
    <n v="0"/>
    <n v="1512000"/>
    <x v="0"/>
    <s v="No Match"/>
  </r>
  <r>
    <n v="402"/>
    <s v="P402"/>
    <x v="17"/>
    <x v="3"/>
    <n v="110"/>
    <n v="110"/>
    <n v="30"/>
    <x v="0"/>
    <x v="0"/>
    <x v="0"/>
    <n v="0"/>
    <n v="3300"/>
    <x v="0"/>
    <s v="No Match"/>
  </r>
  <r>
    <n v="403"/>
    <s v="P403"/>
    <x v="55"/>
    <x v="2"/>
    <n v="83"/>
    <n v="83"/>
    <n v="200"/>
    <x v="0"/>
    <x v="0"/>
    <x v="0"/>
    <n v="0"/>
    <n v="16600"/>
    <x v="0"/>
    <s v="No Match"/>
  </r>
  <r>
    <n v="404"/>
    <s v="P404"/>
    <x v="18"/>
    <x v="1"/>
    <n v="184"/>
    <n v="184"/>
    <n v="20000"/>
    <x v="0"/>
    <x v="0"/>
    <x v="0"/>
    <n v="0"/>
    <n v="3680000"/>
    <x v="0"/>
    <s v="No Match"/>
  </r>
  <r>
    <n v="405"/>
    <s v="P405"/>
    <x v="60"/>
    <x v="4"/>
    <n v="72"/>
    <n v="72"/>
    <n v="5000"/>
    <x v="0"/>
    <x v="0"/>
    <x v="0"/>
    <n v="0"/>
    <n v="360000"/>
    <x v="0"/>
    <s v="No Match"/>
  </r>
  <r>
    <n v="406"/>
    <s v="P406"/>
    <x v="62"/>
    <x v="2"/>
    <n v="182"/>
    <n v="182"/>
    <n v="100"/>
    <x v="0"/>
    <x v="0"/>
    <x v="0"/>
    <n v="0"/>
    <n v="18200"/>
    <x v="0"/>
    <s v="No Match"/>
  </r>
  <r>
    <n v="407"/>
    <s v="P407"/>
    <x v="38"/>
    <x v="0"/>
    <n v="144"/>
    <n v="144"/>
    <n v="2000"/>
    <x v="0"/>
    <x v="0"/>
    <x v="0"/>
    <n v="0"/>
    <n v="288000"/>
    <x v="0"/>
    <s v="No Match"/>
  </r>
  <r>
    <n v="408"/>
    <s v="P408"/>
    <x v="28"/>
    <x v="4"/>
    <n v="134"/>
    <n v="134"/>
    <n v="1000"/>
    <x v="0"/>
    <x v="0"/>
    <x v="0"/>
    <n v="0"/>
    <n v="134000"/>
    <x v="0"/>
    <s v="No Match"/>
  </r>
  <r>
    <n v="409"/>
    <s v="P409"/>
    <x v="11"/>
    <x v="5"/>
    <n v="104"/>
    <n v="104"/>
    <n v="3000"/>
    <x v="0"/>
    <x v="0"/>
    <x v="0"/>
    <n v="0"/>
    <n v="312000"/>
    <x v="0"/>
    <s v="No Match"/>
  </r>
  <r>
    <n v="410"/>
    <s v="P410"/>
    <x v="54"/>
    <x v="5"/>
    <n v="143"/>
    <n v="143"/>
    <n v="200"/>
    <x v="0"/>
    <x v="0"/>
    <x v="0"/>
    <n v="0"/>
    <n v="28600"/>
    <x v="0"/>
    <s v="No Match"/>
  </r>
  <r>
    <n v="411"/>
    <s v="P411"/>
    <x v="16"/>
    <x v="2"/>
    <n v="139"/>
    <n v="139"/>
    <n v="100"/>
    <x v="0"/>
    <x v="0"/>
    <x v="0"/>
    <n v="0"/>
    <n v="13900"/>
    <x v="0"/>
    <s v="No Match"/>
  </r>
  <r>
    <n v="412"/>
    <s v="P412"/>
    <x v="15"/>
    <x v="0"/>
    <n v="60"/>
    <n v="60"/>
    <n v="15000"/>
    <x v="0"/>
    <x v="0"/>
    <x v="0"/>
    <n v="0"/>
    <n v="900000"/>
    <x v="0"/>
    <s v="No Match"/>
  </r>
  <r>
    <n v="413"/>
    <s v="P413"/>
    <x v="35"/>
    <x v="4"/>
    <n v="59"/>
    <n v="59"/>
    <n v="2000"/>
    <x v="0"/>
    <x v="0"/>
    <x v="0"/>
    <n v="0"/>
    <n v="118000"/>
    <x v="0"/>
    <s v="No Match"/>
  </r>
  <r>
    <n v="414"/>
    <s v="P414"/>
    <x v="54"/>
    <x v="5"/>
    <n v="195"/>
    <n v="195"/>
    <n v="200"/>
    <x v="0"/>
    <x v="0"/>
    <x v="0"/>
    <n v="0"/>
    <n v="39000"/>
    <x v="0"/>
    <s v="No Match"/>
  </r>
  <r>
    <n v="415"/>
    <s v="P415"/>
    <x v="16"/>
    <x v="2"/>
    <n v="78"/>
    <n v="78"/>
    <n v="100"/>
    <x v="0"/>
    <x v="0"/>
    <x v="0"/>
    <n v="0"/>
    <n v="7800"/>
    <x v="0"/>
    <s v="No Match"/>
  </r>
  <r>
    <n v="416"/>
    <s v="P416"/>
    <x v="19"/>
    <x v="0"/>
    <n v="151"/>
    <n v="151"/>
    <n v="5000"/>
    <x v="0"/>
    <x v="0"/>
    <x v="0"/>
    <n v="0"/>
    <n v="755000"/>
    <x v="0"/>
    <s v="No Match"/>
  </r>
  <r>
    <n v="417"/>
    <s v="P417"/>
    <x v="0"/>
    <x v="0"/>
    <n v="81"/>
    <n v="81"/>
    <n v="3000"/>
    <x v="0"/>
    <x v="0"/>
    <x v="0"/>
    <n v="0"/>
    <n v="243000"/>
    <x v="0"/>
    <s v="No Match"/>
  </r>
  <r>
    <n v="418"/>
    <s v="P418"/>
    <x v="39"/>
    <x v="2"/>
    <n v="162"/>
    <n v="162"/>
    <n v="1500"/>
    <x v="0"/>
    <x v="0"/>
    <x v="0"/>
    <n v="0"/>
    <n v="243000"/>
    <x v="0"/>
    <s v="No Match"/>
  </r>
  <r>
    <n v="419"/>
    <s v="P419"/>
    <x v="31"/>
    <x v="3"/>
    <n v="168"/>
    <n v="168"/>
    <n v="100"/>
    <x v="0"/>
    <x v="0"/>
    <x v="0"/>
    <n v="0"/>
    <n v="16800"/>
    <x v="0"/>
    <s v="No Match"/>
  </r>
  <r>
    <n v="420"/>
    <s v="P420"/>
    <x v="5"/>
    <x v="3"/>
    <n v="41"/>
    <n v="41"/>
    <n v="50"/>
    <x v="0"/>
    <x v="0"/>
    <x v="0"/>
    <n v="0"/>
    <n v="2050"/>
    <x v="0"/>
    <s v="No Match"/>
  </r>
  <r>
    <n v="421"/>
    <s v="P421"/>
    <x v="36"/>
    <x v="4"/>
    <n v="144"/>
    <n v="144"/>
    <n v="3000"/>
    <x v="0"/>
    <x v="0"/>
    <x v="0"/>
    <n v="0"/>
    <n v="432000"/>
    <x v="0"/>
    <s v="No Match"/>
  </r>
  <r>
    <n v="422"/>
    <s v="P422"/>
    <x v="50"/>
    <x v="3"/>
    <n v="157"/>
    <n v="157"/>
    <n v="50"/>
    <x v="0"/>
    <x v="0"/>
    <x v="0"/>
    <n v="0"/>
    <n v="7850"/>
    <x v="0"/>
    <s v="No Match"/>
  </r>
  <r>
    <n v="423"/>
    <s v="P423"/>
    <x v="11"/>
    <x v="5"/>
    <n v="144"/>
    <n v="144"/>
    <n v="3000"/>
    <x v="0"/>
    <x v="0"/>
    <x v="0"/>
    <n v="0"/>
    <n v="432000"/>
    <x v="0"/>
    <s v="No Match"/>
  </r>
  <r>
    <n v="424"/>
    <s v="P424"/>
    <x v="60"/>
    <x v="4"/>
    <n v="42"/>
    <n v="42"/>
    <n v="5000"/>
    <x v="0"/>
    <x v="0"/>
    <x v="0"/>
    <n v="0"/>
    <n v="210000"/>
    <x v="0"/>
    <s v="No Match"/>
  </r>
  <r>
    <n v="425"/>
    <s v="P425"/>
    <x v="35"/>
    <x v="4"/>
    <n v="152"/>
    <n v="152"/>
    <n v="2000"/>
    <x v="0"/>
    <x v="0"/>
    <x v="0"/>
    <n v="0"/>
    <n v="304000"/>
    <x v="0"/>
    <s v="No Match"/>
  </r>
  <r>
    <n v="426"/>
    <s v="P426"/>
    <x v="27"/>
    <x v="1"/>
    <n v="38"/>
    <n v="38"/>
    <n v="3000"/>
    <x v="0"/>
    <x v="0"/>
    <x v="0"/>
    <n v="0"/>
    <n v="114000"/>
    <x v="0"/>
    <s v="No Match"/>
  </r>
  <r>
    <n v="427"/>
    <s v="P427"/>
    <x v="58"/>
    <x v="3"/>
    <n v="150"/>
    <n v="150"/>
    <n v="100"/>
    <x v="0"/>
    <x v="0"/>
    <x v="0"/>
    <n v="0"/>
    <n v="15000"/>
    <x v="0"/>
    <s v="No Match"/>
  </r>
  <r>
    <n v="428"/>
    <s v="P428"/>
    <x v="66"/>
    <x v="1"/>
    <n v="170"/>
    <n v="170"/>
    <n v="2000"/>
    <x v="0"/>
    <x v="0"/>
    <x v="0"/>
    <n v="0"/>
    <n v="340000"/>
    <x v="0"/>
    <s v="No Match"/>
  </r>
  <r>
    <n v="429"/>
    <s v="P429"/>
    <x v="28"/>
    <x v="4"/>
    <n v="144"/>
    <n v="144"/>
    <n v="1000"/>
    <x v="0"/>
    <x v="0"/>
    <x v="0"/>
    <n v="0"/>
    <n v="144000"/>
    <x v="0"/>
    <s v="No Match"/>
  </r>
  <r>
    <n v="430"/>
    <s v="P430"/>
    <x v="38"/>
    <x v="0"/>
    <n v="66"/>
    <n v="66"/>
    <n v="2000"/>
    <x v="0"/>
    <x v="0"/>
    <x v="0"/>
    <n v="0"/>
    <n v="132000"/>
    <x v="0"/>
    <s v="No Match"/>
  </r>
  <r>
    <n v="431"/>
    <s v="P431"/>
    <x v="67"/>
    <x v="1"/>
    <n v="152"/>
    <n v="152"/>
    <n v="150000"/>
    <x v="0"/>
    <x v="0"/>
    <x v="0"/>
    <n v="0"/>
    <n v="22800000"/>
    <x v="0"/>
    <s v="No Match"/>
  </r>
  <r>
    <n v="432"/>
    <s v="P432"/>
    <x v="19"/>
    <x v="0"/>
    <n v="63"/>
    <n v="63"/>
    <n v="5000"/>
    <x v="0"/>
    <x v="0"/>
    <x v="0"/>
    <n v="0"/>
    <n v="315000"/>
    <x v="0"/>
    <s v="No Match"/>
  </r>
  <r>
    <n v="433"/>
    <s v="P433"/>
    <x v="22"/>
    <x v="2"/>
    <n v="76"/>
    <n v="42"/>
    <n v="200"/>
    <x v="121"/>
    <x v="1"/>
    <x v="24"/>
    <n v="6800"/>
    <n v="15200"/>
    <x v="1"/>
    <s v="No"/>
  </r>
  <r>
    <n v="434"/>
    <s v="P434"/>
    <x v="15"/>
    <x v="0"/>
    <n v="92"/>
    <n v="149"/>
    <n v="15000"/>
    <x v="7"/>
    <x v="2"/>
    <x v="7"/>
    <n v="855000"/>
    <n v="1380000"/>
    <x v="2"/>
    <s v="Yes"/>
  </r>
  <r>
    <n v="435"/>
    <s v="P435"/>
    <x v="35"/>
    <x v="4"/>
    <n v="126"/>
    <n v="86"/>
    <n v="2000"/>
    <x v="1"/>
    <x v="1"/>
    <x v="1"/>
    <n v="80000"/>
    <n v="252000"/>
    <x v="1"/>
    <s v="No"/>
  </r>
  <r>
    <n v="436"/>
    <s v="P436"/>
    <x v="33"/>
    <x v="0"/>
    <n v="89"/>
    <n v="171"/>
    <n v="12000"/>
    <x v="137"/>
    <x v="2"/>
    <x v="87"/>
    <n v="984000"/>
    <n v="1068000"/>
    <x v="2"/>
    <s v="Yes"/>
  </r>
  <r>
    <n v="437"/>
    <s v="P437"/>
    <x v="41"/>
    <x v="1"/>
    <n v="37"/>
    <n v="118"/>
    <n v="70000"/>
    <x v="138"/>
    <x v="2"/>
    <x v="106"/>
    <n v="5670000"/>
    <n v="2590000"/>
    <x v="2"/>
    <s v="Yes"/>
  </r>
  <r>
    <n v="438"/>
    <s v="P438"/>
    <x v="5"/>
    <x v="3"/>
    <n v="115"/>
    <n v="115"/>
    <n v="50"/>
    <x v="0"/>
    <x v="0"/>
    <x v="0"/>
    <n v="0"/>
    <n v="5750"/>
    <x v="0"/>
    <s v="No Match"/>
  </r>
  <r>
    <n v="439"/>
    <s v="P439"/>
    <x v="19"/>
    <x v="0"/>
    <n v="113"/>
    <n v="113"/>
    <n v="5000"/>
    <x v="0"/>
    <x v="0"/>
    <x v="0"/>
    <n v="0"/>
    <n v="565000"/>
    <x v="0"/>
    <s v="No Match"/>
  </r>
  <r>
    <n v="440"/>
    <s v="P440"/>
    <x v="24"/>
    <x v="5"/>
    <n v="151"/>
    <n v="151"/>
    <n v="200"/>
    <x v="0"/>
    <x v="0"/>
    <x v="0"/>
    <n v="0"/>
    <n v="30200"/>
    <x v="0"/>
    <s v="No Match"/>
  </r>
  <r>
    <n v="441"/>
    <s v="P441"/>
    <x v="47"/>
    <x v="1"/>
    <n v="55"/>
    <n v="55"/>
    <n v="50000"/>
    <x v="0"/>
    <x v="0"/>
    <x v="0"/>
    <n v="0"/>
    <n v="2750000"/>
    <x v="0"/>
    <s v="No Match"/>
  </r>
  <r>
    <n v="442"/>
    <s v="P442"/>
    <x v="50"/>
    <x v="3"/>
    <n v="73"/>
    <n v="73"/>
    <n v="50"/>
    <x v="0"/>
    <x v="0"/>
    <x v="0"/>
    <n v="0"/>
    <n v="3650"/>
    <x v="0"/>
    <s v="No Match"/>
  </r>
  <r>
    <n v="443"/>
    <s v="P443"/>
    <x v="7"/>
    <x v="0"/>
    <n v="49"/>
    <n v="49"/>
    <n v="8000"/>
    <x v="0"/>
    <x v="0"/>
    <x v="0"/>
    <n v="0"/>
    <n v="392000"/>
    <x v="0"/>
    <s v="No Match"/>
  </r>
  <r>
    <n v="444"/>
    <s v="P444"/>
    <x v="30"/>
    <x v="1"/>
    <n v="64"/>
    <n v="64"/>
    <n v="30000"/>
    <x v="0"/>
    <x v="0"/>
    <x v="0"/>
    <n v="0"/>
    <n v="1920000"/>
    <x v="0"/>
    <s v="No Match"/>
  </r>
  <r>
    <n v="445"/>
    <s v="P445"/>
    <x v="7"/>
    <x v="0"/>
    <n v="141"/>
    <n v="141"/>
    <n v="8000"/>
    <x v="0"/>
    <x v="0"/>
    <x v="0"/>
    <n v="0"/>
    <n v="1128000"/>
    <x v="0"/>
    <s v="No Match"/>
  </r>
  <r>
    <n v="446"/>
    <s v="P446"/>
    <x v="12"/>
    <x v="5"/>
    <n v="139"/>
    <n v="139"/>
    <n v="1500"/>
    <x v="0"/>
    <x v="0"/>
    <x v="0"/>
    <n v="0"/>
    <n v="208500"/>
    <x v="0"/>
    <s v="No Match"/>
  </r>
  <r>
    <n v="447"/>
    <s v="P447"/>
    <x v="49"/>
    <x v="2"/>
    <n v="199"/>
    <n v="199"/>
    <n v="800"/>
    <x v="0"/>
    <x v="0"/>
    <x v="0"/>
    <n v="0"/>
    <n v="159200"/>
    <x v="0"/>
    <s v="No Match"/>
  </r>
  <r>
    <n v="448"/>
    <s v="P448"/>
    <x v="4"/>
    <x v="4"/>
    <n v="74"/>
    <n v="74"/>
    <n v="5000"/>
    <x v="0"/>
    <x v="0"/>
    <x v="0"/>
    <n v="0"/>
    <n v="370000"/>
    <x v="0"/>
    <s v="No Match"/>
  </r>
  <r>
    <n v="449"/>
    <s v="P449"/>
    <x v="13"/>
    <x v="3"/>
    <n v="54"/>
    <n v="54"/>
    <n v="30"/>
    <x v="0"/>
    <x v="0"/>
    <x v="0"/>
    <n v="0"/>
    <n v="1620"/>
    <x v="0"/>
    <s v="No Match"/>
  </r>
  <r>
    <n v="450"/>
    <s v="P450"/>
    <x v="61"/>
    <x v="3"/>
    <n v="145"/>
    <n v="145"/>
    <n v="100"/>
    <x v="0"/>
    <x v="0"/>
    <x v="0"/>
    <n v="0"/>
    <n v="14500"/>
    <x v="0"/>
    <s v="No Match"/>
  </r>
  <r>
    <n v="451"/>
    <s v="P451"/>
    <x v="25"/>
    <x v="3"/>
    <n v="47"/>
    <n v="47"/>
    <n v="500"/>
    <x v="0"/>
    <x v="0"/>
    <x v="0"/>
    <n v="0"/>
    <n v="23500"/>
    <x v="0"/>
    <s v="No Match"/>
  </r>
  <r>
    <n v="452"/>
    <s v="P452"/>
    <x v="68"/>
    <x v="2"/>
    <n v="80"/>
    <n v="80"/>
    <n v="15000"/>
    <x v="0"/>
    <x v="0"/>
    <x v="0"/>
    <n v="0"/>
    <n v="1200000"/>
    <x v="0"/>
    <s v="No Match"/>
  </r>
  <r>
    <n v="453"/>
    <s v="P453"/>
    <x v="8"/>
    <x v="4"/>
    <n v="65"/>
    <n v="65"/>
    <n v="5000"/>
    <x v="0"/>
    <x v="0"/>
    <x v="0"/>
    <n v="0"/>
    <n v="325000"/>
    <x v="0"/>
    <s v="No Match"/>
  </r>
  <r>
    <n v="454"/>
    <s v="P454"/>
    <x v="40"/>
    <x v="3"/>
    <n v="39"/>
    <n v="39"/>
    <n v="50"/>
    <x v="0"/>
    <x v="0"/>
    <x v="0"/>
    <n v="0"/>
    <n v="1950"/>
    <x v="0"/>
    <s v="No Match"/>
  </r>
  <r>
    <n v="455"/>
    <s v="P455"/>
    <x v="33"/>
    <x v="0"/>
    <n v="169"/>
    <n v="169"/>
    <n v="12000"/>
    <x v="0"/>
    <x v="0"/>
    <x v="0"/>
    <n v="0"/>
    <n v="2028000"/>
    <x v="0"/>
    <s v="No Match"/>
  </r>
  <r>
    <n v="456"/>
    <s v="P456"/>
    <x v="17"/>
    <x v="3"/>
    <n v="165"/>
    <n v="165"/>
    <n v="30"/>
    <x v="0"/>
    <x v="0"/>
    <x v="0"/>
    <n v="0"/>
    <n v="4950"/>
    <x v="0"/>
    <s v="No Match"/>
  </r>
  <r>
    <n v="457"/>
    <s v="P457"/>
    <x v="43"/>
    <x v="5"/>
    <n v="90"/>
    <n v="90"/>
    <n v="500"/>
    <x v="0"/>
    <x v="0"/>
    <x v="0"/>
    <n v="0"/>
    <n v="45000"/>
    <x v="0"/>
    <s v="No Match"/>
  </r>
  <r>
    <n v="458"/>
    <s v="P458"/>
    <x v="32"/>
    <x v="3"/>
    <n v="187"/>
    <n v="187"/>
    <n v="10"/>
    <x v="0"/>
    <x v="0"/>
    <x v="0"/>
    <n v="0"/>
    <n v="1870"/>
    <x v="0"/>
    <s v="No Match"/>
  </r>
  <r>
    <n v="459"/>
    <s v="P459"/>
    <x v="2"/>
    <x v="2"/>
    <n v="189"/>
    <n v="189"/>
    <n v="200"/>
    <x v="0"/>
    <x v="0"/>
    <x v="0"/>
    <n v="0"/>
    <n v="37800"/>
    <x v="0"/>
    <s v="No Match"/>
  </r>
  <r>
    <n v="460"/>
    <s v="P460"/>
    <x v="41"/>
    <x v="1"/>
    <n v="115"/>
    <n v="115"/>
    <n v="70000"/>
    <x v="0"/>
    <x v="0"/>
    <x v="0"/>
    <n v="0"/>
    <n v="8050000"/>
    <x v="0"/>
    <s v="No Match"/>
  </r>
  <r>
    <n v="461"/>
    <s v="P461"/>
    <x v="45"/>
    <x v="3"/>
    <n v="121"/>
    <n v="121"/>
    <n v="100"/>
    <x v="0"/>
    <x v="0"/>
    <x v="0"/>
    <n v="0"/>
    <n v="12100"/>
    <x v="0"/>
    <s v="No Match"/>
  </r>
  <r>
    <n v="462"/>
    <s v="P462"/>
    <x v="47"/>
    <x v="1"/>
    <n v="156"/>
    <n v="156"/>
    <n v="50000"/>
    <x v="0"/>
    <x v="0"/>
    <x v="0"/>
    <n v="0"/>
    <n v="7800000"/>
    <x v="0"/>
    <s v="No Match"/>
  </r>
  <r>
    <n v="463"/>
    <s v="P463"/>
    <x v="62"/>
    <x v="2"/>
    <n v="62"/>
    <n v="62"/>
    <n v="100"/>
    <x v="0"/>
    <x v="0"/>
    <x v="0"/>
    <n v="0"/>
    <n v="6200"/>
    <x v="0"/>
    <s v="No Match"/>
  </r>
  <r>
    <n v="464"/>
    <s v="P464"/>
    <x v="45"/>
    <x v="3"/>
    <n v="33"/>
    <n v="33"/>
    <n v="100"/>
    <x v="0"/>
    <x v="0"/>
    <x v="0"/>
    <n v="0"/>
    <n v="3300"/>
    <x v="0"/>
    <s v="No Match"/>
  </r>
  <r>
    <n v="465"/>
    <s v="P465"/>
    <x v="0"/>
    <x v="0"/>
    <n v="42"/>
    <n v="75"/>
    <n v="3000"/>
    <x v="102"/>
    <x v="2"/>
    <x v="84"/>
    <n v="99000"/>
    <n v="126000"/>
    <x v="1"/>
    <s v="No"/>
  </r>
  <r>
    <n v="466"/>
    <s v="P466"/>
    <x v="20"/>
    <x v="0"/>
    <n v="149"/>
    <n v="121"/>
    <n v="5000"/>
    <x v="64"/>
    <x v="1"/>
    <x v="58"/>
    <n v="140000"/>
    <n v="745000"/>
    <x v="1"/>
    <s v="No"/>
  </r>
  <r>
    <n v="467"/>
    <s v="P467"/>
    <x v="51"/>
    <x v="4"/>
    <n v="86"/>
    <n v="135"/>
    <n v="4500"/>
    <x v="63"/>
    <x v="2"/>
    <x v="57"/>
    <n v="220500"/>
    <n v="387000"/>
    <x v="1"/>
    <s v="No"/>
  </r>
  <r>
    <n v="468"/>
    <s v="P468"/>
    <x v="7"/>
    <x v="0"/>
    <n v="171"/>
    <n v="138"/>
    <n v="8000"/>
    <x v="139"/>
    <x v="1"/>
    <x v="84"/>
    <n v="264000"/>
    <n v="1368000"/>
    <x v="1"/>
    <s v="No"/>
  </r>
  <r>
    <n v="469"/>
    <s v="P469"/>
    <x v="30"/>
    <x v="1"/>
    <n v="118"/>
    <n v="139"/>
    <n v="30000"/>
    <x v="135"/>
    <x v="2"/>
    <x v="104"/>
    <n v="630000"/>
    <n v="3540000"/>
    <x v="1"/>
    <s v="Yes"/>
  </r>
  <r>
    <n v="470"/>
    <s v="P470"/>
    <x v="34"/>
    <x v="0"/>
    <n v="145"/>
    <n v="195"/>
    <n v="10000"/>
    <x v="76"/>
    <x v="2"/>
    <x v="66"/>
    <n v="500000"/>
    <n v="1450000"/>
    <x v="2"/>
    <s v="No"/>
  </r>
  <r>
    <n v="471"/>
    <s v="P471"/>
    <x v="43"/>
    <x v="5"/>
    <n v="192"/>
    <n v="192"/>
    <n v="500"/>
    <x v="0"/>
    <x v="0"/>
    <x v="0"/>
    <n v="0"/>
    <n v="96000"/>
    <x v="0"/>
    <s v="No Match"/>
  </r>
  <r>
    <n v="472"/>
    <s v="P472"/>
    <x v="43"/>
    <x v="5"/>
    <n v="40"/>
    <n v="40"/>
    <n v="500"/>
    <x v="0"/>
    <x v="0"/>
    <x v="0"/>
    <n v="0"/>
    <n v="20000"/>
    <x v="0"/>
    <s v="No Match"/>
  </r>
  <r>
    <n v="473"/>
    <s v="P473"/>
    <x v="34"/>
    <x v="0"/>
    <n v="159"/>
    <n v="159"/>
    <n v="10000"/>
    <x v="0"/>
    <x v="0"/>
    <x v="0"/>
    <n v="0"/>
    <n v="1590000"/>
    <x v="0"/>
    <s v="No Match"/>
  </r>
  <r>
    <n v="474"/>
    <s v="P474"/>
    <x v="66"/>
    <x v="1"/>
    <n v="73"/>
    <n v="73"/>
    <n v="2000"/>
    <x v="0"/>
    <x v="0"/>
    <x v="0"/>
    <n v="0"/>
    <n v="146000"/>
    <x v="0"/>
    <s v="No Match"/>
  </r>
  <r>
    <n v="475"/>
    <s v="P475"/>
    <x v="34"/>
    <x v="0"/>
    <n v="182"/>
    <n v="182"/>
    <n v="10000"/>
    <x v="0"/>
    <x v="0"/>
    <x v="0"/>
    <n v="0"/>
    <n v="1820000"/>
    <x v="0"/>
    <s v="No Match"/>
  </r>
  <r>
    <n v="476"/>
    <s v="P476"/>
    <x v="19"/>
    <x v="0"/>
    <n v="45"/>
    <n v="45"/>
    <n v="5000"/>
    <x v="0"/>
    <x v="0"/>
    <x v="0"/>
    <n v="0"/>
    <n v="225000"/>
    <x v="0"/>
    <s v="No Match"/>
  </r>
  <r>
    <n v="477"/>
    <s v="P477"/>
    <x v="0"/>
    <x v="0"/>
    <n v="73"/>
    <n v="73"/>
    <n v="3000"/>
    <x v="0"/>
    <x v="0"/>
    <x v="0"/>
    <n v="0"/>
    <n v="219000"/>
    <x v="0"/>
    <s v="No Match"/>
  </r>
  <r>
    <n v="478"/>
    <s v="P478"/>
    <x v="49"/>
    <x v="2"/>
    <n v="200"/>
    <n v="200"/>
    <n v="800"/>
    <x v="0"/>
    <x v="0"/>
    <x v="0"/>
    <n v="0"/>
    <n v="160000"/>
    <x v="0"/>
    <s v="No Match"/>
  </r>
  <r>
    <n v="479"/>
    <s v="P479"/>
    <x v="20"/>
    <x v="0"/>
    <n v="74"/>
    <n v="74"/>
    <n v="5000"/>
    <x v="0"/>
    <x v="0"/>
    <x v="0"/>
    <n v="0"/>
    <n v="370000"/>
    <x v="0"/>
    <s v="No Match"/>
  </r>
  <r>
    <n v="480"/>
    <s v="P480"/>
    <x v="37"/>
    <x v="2"/>
    <n v="30"/>
    <n v="30"/>
    <n v="100"/>
    <x v="0"/>
    <x v="0"/>
    <x v="0"/>
    <n v="0"/>
    <n v="3000"/>
    <x v="0"/>
    <s v="No Match"/>
  </r>
  <r>
    <n v="481"/>
    <s v="P481"/>
    <x v="36"/>
    <x v="4"/>
    <n v="158"/>
    <n v="158"/>
    <n v="3000"/>
    <x v="0"/>
    <x v="0"/>
    <x v="0"/>
    <n v="0"/>
    <n v="474000"/>
    <x v="0"/>
    <s v="No Match"/>
  </r>
  <r>
    <n v="482"/>
    <s v="P482"/>
    <x v="8"/>
    <x v="4"/>
    <n v="153"/>
    <n v="153"/>
    <n v="5000"/>
    <x v="0"/>
    <x v="0"/>
    <x v="0"/>
    <n v="0"/>
    <n v="765000"/>
    <x v="0"/>
    <s v="No Match"/>
  </r>
  <r>
    <n v="483"/>
    <s v="P483"/>
    <x v="10"/>
    <x v="5"/>
    <n v="60"/>
    <n v="60"/>
    <n v="500"/>
    <x v="0"/>
    <x v="0"/>
    <x v="0"/>
    <n v="0"/>
    <n v="30000"/>
    <x v="0"/>
    <s v="No Match"/>
  </r>
  <r>
    <n v="484"/>
    <s v="P484"/>
    <x v="54"/>
    <x v="5"/>
    <n v="170"/>
    <n v="170"/>
    <n v="200"/>
    <x v="0"/>
    <x v="0"/>
    <x v="0"/>
    <n v="0"/>
    <n v="34000"/>
    <x v="0"/>
    <s v="No Match"/>
  </r>
  <r>
    <n v="485"/>
    <s v="P485"/>
    <x v="28"/>
    <x v="4"/>
    <n v="72"/>
    <n v="72"/>
    <n v="1000"/>
    <x v="0"/>
    <x v="0"/>
    <x v="0"/>
    <n v="0"/>
    <n v="72000"/>
    <x v="0"/>
    <s v="No Match"/>
  </r>
  <r>
    <n v="486"/>
    <s v="P486"/>
    <x v="50"/>
    <x v="3"/>
    <n v="199"/>
    <n v="199"/>
    <n v="50"/>
    <x v="0"/>
    <x v="0"/>
    <x v="0"/>
    <n v="0"/>
    <n v="9950"/>
    <x v="0"/>
    <s v="No Match"/>
  </r>
  <r>
    <n v="487"/>
    <s v="P487"/>
    <x v="19"/>
    <x v="0"/>
    <n v="162"/>
    <n v="120"/>
    <n v="5000"/>
    <x v="116"/>
    <x v="1"/>
    <x v="91"/>
    <n v="210000"/>
    <n v="810000"/>
    <x v="1"/>
    <s v="No"/>
  </r>
  <r>
    <n v="488"/>
    <s v="P488"/>
    <x v="1"/>
    <x v="1"/>
    <n v="191"/>
    <n v="114"/>
    <n v="15000"/>
    <x v="140"/>
    <x v="1"/>
    <x v="39"/>
    <n v="1155000"/>
    <n v="2865000"/>
    <x v="2"/>
    <s v="Yes"/>
  </r>
  <r>
    <n v="489"/>
    <s v="P489"/>
    <x v="50"/>
    <x v="3"/>
    <n v="114"/>
    <n v="119"/>
    <n v="50"/>
    <x v="141"/>
    <x v="2"/>
    <x v="20"/>
    <n v="250"/>
    <n v="5700"/>
    <x v="1"/>
    <s v="No"/>
  </r>
  <r>
    <n v="490"/>
    <s v="P490"/>
    <x v="34"/>
    <x v="0"/>
    <n v="40"/>
    <n v="70"/>
    <n v="10000"/>
    <x v="142"/>
    <x v="2"/>
    <x v="107"/>
    <n v="300000"/>
    <n v="400000"/>
    <x v="1"/>
    <s v="No"/>
  </r>
  <r>
    <n v="491"/>
    <s v="P491"/>
    <x v="7"/>
    <x v="0"/>
    <n v="109"/>
    <n v="186"/>
    <n v="8000"/>
    <x v="40"/>
    <x v="2"/>
    <x v="39"/>
    <n v="616000"/>
    <n v="872000"/>
    <x v="2"/>
    <s v="Yes"/>
  </r>
  <r>
    <n v="492"/>
    <s v="P492"/>
    <x v="11"/>
    <x v="5"/>
    <n v="113"/>
    <n v="135"/>
    <n v="3000"/>
    <x v="81"/>
    <x v="2"/>
    <x v="69"/>
    <n v="66000"/>
    <n v="339000"/>
    <x v="1"/>
    <s v="No"/>
  </r>
  <r>
    <n v="493"/>
    <s v="P493"/>
    <x v="62"/>
    <x v="2"/>
    <n v="178"/>
    <n v="36"/>
    <n v="100"/>
    <x v="143"/>
    <x v="1"/>
    <x v="62"/>
    <n v="14200"/>
    <n v="17800"/>
    <x v="3"/>
    <s v="No"/>
  </r>
  <r>
    <n v="494"/>
    <s v="P494"/>
    <x v="55"/>
    <x v="2"/>
    <n v="60"/>
    <n v="52"/>
    <n v="200"/>
    <x v="35"/>
    <x v="1"/>
    <x v="34"/>
    <n v="1600"/>
    <n v="12000"/>
    <x v="1"/>
    <s v="No"/>
  </r>
  <r>
    <n v="495"/>
    <s v="P495"/>
    <x v="28"/>
    <x v="4"/>
    <n v="73"/>
    <n v="106"/>
    <n v="1000"/>
    <x v="102"/>
    <x v="2"/>
    <x v="84"/>
    <n v="33000"/>
    <n v="73000"/>
    <x v="1"/>
    <s v="No"/>
  </r>
  <r>
    <n v="496"/>
    <s v="P496"/>
    <x v="58"/>
    <x v="3"/>
    <n v="88"/>
    <n v="164"/>
    <n v="100"/>
    <x v="11"/>
    <x v="2"/>
    <x v="11"/>
    <n v="7600"/>
    <n v="8800"/>
    <x v="2"/>
    <s v="No"/>
  </r>
  <r>
    <n v="497"/>
    <s v="P497"/>
    <x v="16"/>
    <x v="2"/>
    <n v="171"/>
    <n v="62"/>
    <n v="100"/>
    <x v="29"/>
    <x v="1"/>
    <x v="28"/>
    <n v="10900"/>
    <n v="17100"/>
    <x v="3"/>
    <s v="No"/>
  </r>
  <r>
    <n v="498"/>
    <s v="P498"/>
    <x v="29"/>
    <x v="3"/>
    <n v="42"/>
    <n v="35"/>
    <n v="20"/>
    <x v="144"/>
    <x v="1"/>
    <x v="30"/>
    <n v="140"/>
    <n v="840"/>
    <x v="1"/>
    <s v="No"/>
  </r>
  <r>
    <n v="499"/>
    <s v="P499"/>
    <x v="23"/>
    <x v="2"/>
    <n v="40"/>
    <n v="189"/>
    <n v="2000"/>
    <x v="48"/>
    <x v="2"/>
    <x v="46"/>
    <n v="298000"/>
    <n v="80000"/>
    <x v="3"/>
    <s v="No"/>
  </r>
  <r>
    <n v="500"/>
    <s v="P500"/>
    <x v="66"/>
    <x v="1"/>
    <n v="153"/>
    <n v="128"/>
    <n v="2000"/>
    <x v="145"/>
    <x v="1"/>
    <x v="75"/>
    <n v="50000"/>
    <n v="306000"/>
    <x v="1"/>
    <s v="No"/>
  </r>
  <r>
    <n v="501"/>
    <s v="P501"/>
    <x v="41"/>
    <x v="1"/>
    <n v="156"/>
    <n v="158"/>
    <n v="70000"/>
    <x v="146"/>
    <x v="2"/>
    <x v="99"/>
    <n v="140000"/>
    <n v="10920000"/>
    <x v="1"/>
    <s v="No"/>
  </r>
  <r>
    <n v="502"/>
    <s v="P502"/>
    <x v="9"/>
    <x v="1"/>
    <n v="120"/>
    <n v="120"/>
    <n v="30000"/>
    <x v="0"/>
    <x v="0"/>
    <x v="0"/>
    <n v="0"/>
    <n v="3600000"/>
    <x v="0"/>
    <s v="No Match"/>
  </r>
  <r>
    <n v="503"/>
    <s v="P503"/>
    <x v="64"/>
    <x v="4"/>
    <n v="114"/>
    <n v="114"/>
    <n v="1500"/>
    <x v="0"/>
    <x v="0"/>
    <x v="0"/>
    <n v="0"/>
    <n v="171000"/>
    <x v="0"/>
    <s v="No Match"/>
  </r>
  <r>
    <n v="504"/>
    <s v="P504"/>
    <x v="21"/>
    <x v="5"/>
    <n v="119"/>
    <n v="119"/>
    <n v="100"/>
    <x v="0"/>
    <x v="0"/>
    <x v="0"/>
    <n v="0"/>
    <n v="11900"/>
    <x v="0"/>
    <s v="No Match"/>
  </r>
  <r>
    <n v="505"/>
    <s v="P505"/>
    <x v="36"/>
    <x v="4"/>
    <n v="70"/>
    <n v="70"/>
    <n v="3000"/>
    <x v="0"/>
    <x v="0"/>
    <x v="0"/>
    <n v="0"/>
    <n v="210000"/>
    <x v="0"/>
    <s v="No Match"/>
  </r>
  <r>
    <n v="506"/>
    <s v="P506"/>
    <x v="62"/>
    <x v="2"/>
    <n v="186"/>
    <n v="186"/>
    <n v="100"/>
    <x v="0"/>
    <x v="0"/>
    <x v="0"/>
    <n v="0"/>
    <n v="18600"/>
    <x v="0"/>
    <s v="No Match"/>
  </r>
  <r>
    <n v="507"/>
    <s v="P507"/>
    <x v="19"/>
    <x v="0"/>
    <n v="135"/>
    <n v="135"/>
    <n v="5000"/>
    <x v="0"/>
    <x v="0"/>
    <x v="0"/>
    <n v="0"/>
    <n v="675000"/>
    <x v="0"/>
    <s v="No Match"/>
  </r>
  <r>
    <n v="508"/>
    <s v="P508"/>
    <x v="62"/>
    <x v="2"/>
    <n v="36"/>
    <n v="36"/>
    <n v="100"/>
    <x v="0"/>
    <x v="0"/>
    <x v="0"/>
    <n v="0"/>
    <n v="3600"/>
    <x v="0"/>
    <s v="No Match"/>
  </r>
  <r>
    <n v="509"/>
    <s v="P509"/>
    <x v="32"/>
    <x v="3"/>
    <n v="52"/>
    <n v="52"/>
    <n v="10"/>
    <x v="0"/>
    <x v="0"/>
    <x v="0"/>
    <n v="0"/>
    <n v="520"/>
    <x v="0"/>
    <s v="No Match"/>
  </r>
  <r>
    <n v="510"/>
    <s v="P510"/>
    <x v="19"/>
    <x v="0"/>
    <n v="106"/>
    <n v="106"/>
    <n v="5000"/>
    <x v="0"/>
    <x v="0"/>
    <x v="0"/>
    <n v="0"/>
    <n v="530000"/>
    <x v="0"/>
    <s v="No Match"/>
  </r>
  <r>
    <n v="511"/>
    <s v="P511"/>
    <x v="12"/>
    <x v="5"/>
    <n v="164"/>
    <n v="164"/>
    <n v="1500"/>
    <x v="0"/>
    <x v="0"/>
    <x v="0"/>
    <n v="0"/>
    <n v="246000"/>
    <x v="0"/>
    <s v="No Match"/>
  </r>
  <r>
    <n v="512"/>
    <s v="P512"/>
    <x v="25"/>
    <x v="3"/>
    <n v="62"/>
    <n v="62"/>
    <n v="500"/>
    <x v="0"/>
    <x v="0"/>
    <x v="0"/>
    <n v="0"/>
    <n v="31000"/>
    <x v="0"/>
    <s v="No Match"/>
  </r>
  <r>
    <n v="513"/>
    <s v="P513"/>
    <x v="46"/>
    <x v="5"/>
    <n v="35"/>
    <n v="35"/>
    <n v="500"/>
    <x v="0"/>
    <x v="0"/>
    <x v="0"/>
    <n v="0"/>
    <n v="17500"/>
    <x v="0"/>
    <s v="No Match"/>
  </r>
  <r>
    <n v="514"/>
    <s v="P514"/>
    <x v="28"/>
    <x v="4"/>
    <n v="189"/>
    <n v="189"/>
    <n v="1000"/>
    <x v="0"/>
    <x v="0"/>
    <x v="0"/>
    <n v="0"/>
    <n v="189000"/>
    <x v="0"/>
    <s v="No Match"/>
  </r>
  <r>
    <n v="515"/>
    <s v="P515"/>
    <x v="58"/>
    <x v="3"/>
    <n v="128"/>
    <n v="128"/>
    <n v="100"/>
    <x v="0"/>
    <x v="0"/>
    <x v="0"/>
    <n v="0"/>
    <n v="12800"/>
    <x v="0"/>
    <s v="No Match"/>
  </r>
  <r>
    <n v="516"/>
    <s v="P516"/>
    <x v="49"/>
    <x v="2"/>
    <n v="158"/>
    <n v="158"/>
    <n v="800"/>
    <x v="0"/>
    <x v="0"/>
    <x v="0"/>
    <n v="0"/>
    <n v="126400"/>
    <x v="0"/>
    <s v="No Match"/>
  </r>
  <r>
    <n v="517"/>
    <s v="P517"/>
    <x v="42"/>
    <x v="1"/>
    <n v="113"/>
    <n v="113"/>
    <n v="20000"/>
    <x v="0"/>
    <x v="0"/>
    <x v="0"/>
    <n v="0"/>
    <n v="2260000"/>
    <x v="0"/>
    <s v="No Match"/>
  </r>
  <r>
    <n v="518"/>
    <s v="P518"/>
    <x v="12"/>
    <x v="5"/>
    <n v="51"/>
    <n v="51"/>
    <n v="1500"/>
    <x v="0"/>
    <x v="0"/>
    <x v="0"/>
    <n v="0"/>
    <n v="76500"/>
    <x v="0"/>
    <s v="No Match"/>
  </r>
  <r>
    <n v="519"/>
    <s v="P519"/>
    <x v="14"/>
    <x v="1"/>
    <n v="116"/>
    <n v="116"/>
    <n v="6000"/>
    <x v="0"/>
    <x v="0"/>
    <x v="0"/>
    <n v="0"/>
    <n v="696000"/>
    <x v="0"/>
    <s v="No Match"/>
  </r>
  <r>
    <n v="520"/>
    <s v="P520"/>
    <x v="20"/>
    <x v="0"/>
    <n v="185"/>
    <n v="185"/>
    <n v="5000"/>
    <x v="0"/>
    <x v="0"/>
    <x v="0"/>
    <n v="0"/>
    <n v="925000"/>
    <x v="0"/>
    <s v="No Match"/>
  </r>
  <r>
    <n v="521"/>
    <s v="P521"/>
    <x v="43"/>
    <x v="5"/>
    <n v="99"/>
    <n v="99"/>
    <n v="500"/>
    <x v="0"/>
    <x v="0"/>
    <x v="0"/>
    <n v="0"/>
    <n v="49500"/>
    <x v="0"/>
    <s v="No Match"/>
  </r>
  <r>
    <n v="522"/>
    <s v="P522"/>
    <x v="12"/>
    <x v="5"/>
    <n v="183"/>
    <n v="183"/>
    <n v="1500"/>
    <x v="0"/>
    <x v="0"/>
    <x v="0"/>
    <n v="0"/>
    <n v="274500"/>
    <x v="0"/>
    <s v="No Match"/>
  </r>
  <r>
    <n v="523"/>
    <s v="P523"/>
    <x v="47"/>
    <x v="1"/>
    <n v="140"/>
    <n v="140"/>
    <n v="50000"/>
    <x v="0"/>
    <x v="0"/>
    <x v="0"/>
    <n v="0"/>
    <n v="7000000"/>
    <x v="0"/>
    <s v="No Match"/>
  </r>
  <r>
    <n v="524"/>
    <s v="P524"/>
    <x v="6"/>
    <x v="4"/>
    <n v="100"/>
    <n v="100"/>
    <n v="2000"/>
    <x v="0"/>
    <x v="0"/>
    <x v="0"/>
    <n v="0"/>
    <n v="200000"/>
    <x v="0"/>
    <s v="No Match"/>
  </r>
  <r>
    <n v="525"/>
    <s v="P525"/>
    <x v="23"/>
    <x v="2"/>
    <n v="185"/>
    <n v="185"/>
    <n v="2000"/>
    <x v="0"/>
    <x v="0"/>
    <x v="0"/>
    <n v="0"/>
    <n v="370000"/>
    <x v="0"/>
    <s v="No Match"/>
  </r>
  <r>
    <n v="526"/>
    <s v="P526"/>
    <x v="4"/>
    <x v="4"/>
    <n v="189"/>
    <n v="189"/>
    <n v="5000"/>
    <x v="0"/>
    <x v="0"/>
    <x v="0"/>
    <n v="0"/>
    <n v="945000"/>
    <x v="0"/>
    <s v="No Match"/>
  </r>
  <r>
    <n v="527"/>
    <s v="P527"/>
    <x v="6"/>
    <x v="4"/>
    <n v="52"/>
    <n v="52"/>
    <n v="2000"/>
    <x v="0"/>
    <x v="0"/>
    <x v="0"/>
    <n v="0"/>
    <n v="104000"/>
    <x v="0"/>
    <s v="No Match"/>
  </r>
  <r>
    <n v="528"/>
    <s v="P528"/>
    <x v="43"/>
    <x v="5"/>
    <n v="118"/>
    <n v="118"/>
    <n v="500"/>
    <x v="0"/>
    <x v="0"/>
    <x v="0"/>
    <n v="0"/>
    <n v="59000"/>
    <x v="0"/>
    <s v="No Match"/>
  </r>
  <r>
    <n v="529"/>
    <s v="P529"/>
    <x v="9"/>
    <x v="1"/>
    <n v="104"/>
    <n v="104"/>
    <n v="30000"/>
    <x v="0"/>
    <x v="0"/>
    <x v="0"/>
    <n v="0"/>
    <n v="3120000"/>
    <x v="0"/>
    <s v="No Match"/>
  </r>
  <r>
    <n v="530"/>
    <s v="P530"/>
    <x v="4"/>
    <x v="4"/>
    <n v="69"/>
    <n v="87"/>
    <n v="5000"/>
    <x v="147"/>
    <x v="2"/>
    <x v="95"/>
    <n v="90000"/>
    <n v="345000"/>
    <x v="1"/>
    <s v="No"/>
  </r>
  <r>
    <n v="531"/>
    <s v="P531"/>
    <x v="68"/>
    <x v="2"/>
    <n v="62"/>
    <n v="145"/>
    <n v="15000"/>
    <x v="148"/>
    <x v="2"/>
    <x v="108"/>
    <n v="1245000"/>
    <n v="930000"/>
    <x v="2"/>
    <s v="Yes"/>
  </r>
  <r>
    <n v="532"/>
    <s v="P532"/>
    <x v="53"/>
    <x v="4"/>
    <n v="86"/>
    <n v="143"/>
    <n v="2500"/>
    <x v="7"/>
    <x v="2"/>
    <x v="7"/>
    <n v="142500"/>
    <n v="215000"/>
    <x v="2"/>
    <s v="No"/>
  </r>
  <r>
    <n v="533"/>
    <s v="P533"/>
    <x v="54"/>
    <x v="5"/>
    <n v="114"/>
    <n v="198"/>
    <n v="200"/>
    <x v="78"/>
    <x v="2"/>
    <x v="32"/>
    <n v="16800"/>
    <n v="22800"/>
    <x v="2"/>
    <s v="No"/>
  </r>
  <r>
    <n v="534"/>
    <s v="P534"/>
    <x v="54"/>
    <x v="5"/>
    <n v="142"/>
    <n v="124"/>
    <n v="200"/>
    <x v="123"/>
    <x v="1"/>
    <x v="95"/>
    <n v="3600"/>
    <n v="28400"/>
    <x v="1"/>
    <s v="No"/>
  </r>
  <r>
    <n v="535"/>
    <s v="P535"/>
    <x v="66"/>
    <x v="1"/>
    <n v="138"/>
    <n v="44"/>
    <n v="2000"/>
    <x v="149"/>
    <x v="1"/>
    <x v="36"/>
    <n v="188000"/>
    <n v="276000"/>
    <x v="2"/>
    <s v="No"/>
  </r>
  <r>
    <n v="536"/>
    <s v="P536"/>
    <x v="55"/>
    <x v="2"/>
    <n v="128"/>
    <n v="116"/>
    <n v="200"/>
    <x v="150"/>
    <x v="1"/>
    <x v="109"/>
    <n v="2400"/>
    <n v="25600"/>
    <x v="1"/>
    <s v="No"/>
  </r>
  <r>
    <n v="537"/>
    <s v="P537"/>
    <x v="30"/>
    <x v="1"/>
    <n v="177"/>
    <n v="93"/>
    <n v="30000"/>
    <x v="33"/>
    <x v="1"/>
    <x v="32"/>
    <n v="2520000"/>
    <n v="5310000"/>
    <x v="2"/>
    <s v="Yes"/>
  </r>
  <r>
    <n v="538"/>
    <s v="P538"/>
    <x v="46"/>
    <x v="5"/>
    <n v="148"/>
    <n v="48"/>
    <n v="500"/>
    <x v="151"/>
    <x v="1"/>
    <x v="96"/>
    <n v="50000"/>
    <n v="74000"/>
    <x v="2"/>
    <s v="No"/>
  </r>
  <r>
    <n v="539"/>
    <s v="P539"/>
    <x v="59"/>
    <x v="2"/>
    <n v="105"/>
    <n v="99"/>
    <n v="50"/>
    <x v="46"/>
    <x v="1"/>
    <x v="45"/>
    <n v="300"/>
    <n v="5250"/>
    <x v="1"/>
    <s v="No"/>
  </r>
  <r>
    <n v="540"/>
    <s v="P540"/>
    <x v="43"/>
    <x v="5"/>
    <n v="141"/>
    <n v="102"/>
    <n v="500"/>
    <x v="152"/>
    <x v="1"/>
    <x v="2"/>
    <n v="19500"/>
    <n v="70500"/>
    <x v="1"/>
    <s v="No"/>
  </r>
  <r>
    <n v="541"/>
    <s v="P541"/>
    <x v="41"/>
    <x v="1"/>
    <n v="103"/>
    <n v="95"/>
    <n v="70000"/>
    <x v="35"/>
    <x v="1"/>
    <x v="34"/>
    <n v="560000"/>
    <n v="7210000"/>
    <x v="1"/>
    <s v="Yes"/>
  </r>
  <r>
    <n v="542"/>
    <s v="P542"/>
    <x v="15"/>
    <x v="0"/>
    <n v="53"/>
    <n v="152"/>
    <n v="15000"/>
    <x v="136"/>
    <x v="2"/>
    <x v="105"/>
    <n v="1485000"/>
    <n v="795000"/>
    <x v="2"/>
    <s v="Yes"/>
  </r>
  <r>
    <n v="543"/>
    <s v="P543"/>
    <x v="31"/>
    <x v="3"/>
    <n v="55"/>
    <n v="143"/>
    <n v="100"/>
    <x v="153"/>
    <x v="2"/>
    <x v="110"/>
    <n v="8800"/>
    <n v="5500"/>
    <x v="2"/>
    <s v="No"/>
  </r>
  <r>
    <n v="544"/>
    <s v="P544"/>
    <x v="11"/>
    <x v="5"/>
    <n v="102"/>
    <n v="173"/>
    <n v="3000"/>
    <x v="154"/>
    <x v="2"/>
    <x v="103"/>
    <n v="213000"/>
    <n v="306000"/>
    <x v="2"/>
    <s v="No"/>
  </r>
  <r>
    <n v="545"/>
    <s v="P545"/>
    <x v="41"/>
    <x v="1"/>
    <n v="137"/>
    <n v="71"/>
    <n v="70000"/>
    <x v="155"/>
    <x v="1"/>
    <x v="60"/>
    <n v="4620000"/>
    <n v="9590000"/>
    <x v="2"/>
    <s v="Yes"/>
  </r>
  <r>
    <n v="546"/>
    <s v="P546"/>
    <x v="32"/>
    <x v="3"/>
    <n v="46"/>
    <n v="69"/>
    <n v="10"/>
    <x v="126"/>
    <x v="2"/>
    <x v="97"/>
    <n v="230"/>
    <n v="460"/>
    <x v="1"/>
    <s v="No"/>
  </r>
  <r>
    <n v="547"/>
    <s v="P547"/>
    <x v="55"/>
    <x v="2"/>
    <n v="140"/>
    <n v="85"/>
    <n v="200"/>
    <x v="96"/>
    <x v="1"/>
    <x v="23"/>
    <n v="11000"/>
    <n v="28000"/>
    <x v="2"/>
    <s v="No"/>
  </r>
  <r>
    <n v="548"/>
    <s v="P548"/>
    <x v="3"/>
    <x v="3"/>
    <n v="41"/>
    <n v="152"/>
    <n v="50"/>
    <x v="156"/>
    <x v="2"/>
    <x v="38"/>
    <n v="5550"/>
    <n v="2050"/>
    <x v="3"/>
    <s v="No"/>
  </r>
  <r>
    <n v="549"/>
    <s v="P549"/>
    <x v="1"/>
    <x v="1"/>
    <n v="138"/>
    <n v="194"/>
    <n v="15000"/>
    <x v="132"/>
    <x v="2"/>
    <x v="101"/>
    <n v="840000"/>
    <n v="2070000"/>
    <x v="2"/>
    <s v="Yes"/>
  </r>
  <r>
    <n v="550"/>
    <s v="P550"/>
    <x v="8"/>
    <x v="4"/>
    <n v="64"/>
    <n v="77"/>
    <n v="5000"/>
    <x v="44"/>
    <x v="2"/>
    <x v="43"/>
    <n v="65000"/>
    <n v="320000"/>
    <x v="1"/>
    <s v="No"/>
  </r>
  <r>
    <n v="551"/>
    <s v="P551"/>
    <x v="6"/>
    <x v="4"/>
    <n v="45"/>
    <n v="39"/>
    <n v="2000"/>
    <x v="46"/>
    <x v="1"/>
    <x v="45"/>
    <n v="12000"/>
    <n v="90000"/>
    <x v="1"/>
    <s v="No"/>
  </r>
  <r>
    <n v="552"/>
    <s v="P552"/>
    <x v="52"/>
    <x v="1"/>
    <n v="140"/>
    <n v="78"/>
    <n v="0"/>
    <x v="59"/>
    <x v="1"/>
    <x v="53"/>
    <n v="0"/>
    <n v="0"/>
    <x v="2"/>
    <s v="No Match"/>
  </r>
  <r>
    <n v="553"/>
    <s v="P553"/>
    <x v="36"/>
    <x v="4"/>
    <n v="126"/>
    <n v="81"/>
    <n v="3000"/>
    <x v="157"/>
    <x v="1"/>
    <x v="111"/>
    <n v="135000"/>
    <n v="378000"/>
    <x v="1"/>
    <s v="No"/>
  </r>
  <r>
    <n v="554"/>
    <s v="P554"/>
    <x v="47"/>
    <x v="1"/>
    <n v="165"/>
    <n v="117"/>
    <n v="50000"/>
    <x v="87"/>
    <x v="1"/>
    <x v="73"/>
    <n v="2400000"/>
    <n v="8250000"/>
    <x v="1"/>
    <s v="Yes"/>
  </r>
  <r>
    <n v="555"/>
    <s v="P555"/>
    <x v="39"/>
    <x v="2"/>
    <n v="70"/>
    <n v="177"/>
    <n v="1500"/>
    <x v="80"/>
    <x v="2"/>
    <x v="68"/>
    <n v="160500"/>
    <n v="105000"/>
    <x v="3"/>
    <s v="No"/>
  </r>
  <r>
    <n v="556"/>
    <s v="P556"/>
    <x v="66"/>
    <x v="1"/>
    <n v="39"/>
    <n v="68"/>
    <n v="2000"/>
    <x v="18"/>
    <x v="2"/>
    <x v="18"/>
    <n v="58000"/>
    <n v="78000"/>
    <x v="1"/>
    <s v="No"/>
  </r>
  <r>
    <n v="557"/>
    <s v="P557"/>
    <x v="35"/>
    <x v="4"/>
    <n v="34"/>
    <n v="152"/>
    <n v="2000"/>
    <x v="158"/>
    <x v="2"/>
    <x v="112"/>
    <n v="236000"/>
    <n v="68000"/>
    <x v="3"/>
    <s v="No"/>
  </r>
  <r>
    <n v="558"/>
    <s v="P558"/>
    <x v="20"/>
    <x v="0"/>
    <n v="47"/>
    <n v="173"/>
    <n v="5000"/>
    <x v="159"/>
    <x v="2"/>
    <x v="113"/>
    <n v="630000"/>
    <n v="235000"/>
    <x v="3"/>
    <s v="Yes"/>
  </r>
  <r>
    <n v="559"/>
    <s v="P559"/>
    <x v="11"/>
    <x v="5"/>
    <n v="43"/>
    <n v="119"/>
    <n v="3000"/>
    <x v="11"/>
    <x v="2"/>
    <x v="11"/>
    <n v="228000"/>
    <n v="129000"/>
    <x v="2"/>
    <s v="No"/>
  </r>
  <r>
    <n v="560"/>
    <s v="P560"/>
    <x v="34"/>
    <x v="0"/>
    <n v="182"/>
    <n v="114"/>
    <n v="10000"/>
    <x v="131"/>
    <x v="1"/>
    <x v="100"/>
    <n v="680000"/>
    <n v="1820000"/>
    <x v="2"/>
    <s v="Yes"/>
  </r>
  <r>
    <n v="561"/>
    <s v="P561"/>
    <x v="10"/>
    <x v="5"/>
    <n v="139"/>
    <n v="112"/>
    <n v="500"/>
    <x v="111"/>
    <x v="1"/>
    <x v="89"/>
    <n v="13500"/>
    <n v="69500"/>
    <x v="1"/>
    <s v="No"/>
  </r>
  <r>
    <n v="562"/>
    <s v="P562"/>
    <x v="21"/>
    <x v="5"/>
    <n v="124"/>
    <n v="124"/>
    <n v="100"/>
    <x v="0"/>
    <x v="0"/>
    <x v="0"/>
    <n v="0"/>
    <n v="12400"/>
    <x v="0"/>
    <s v="No Match"/>
  </r>
  <r>
    <n v="563"/>
    <s v="P563"/>
    <x v="11"/>
    <x v="5"/>
    <n v="73"/>
    <n v="73"/>
    <n v="3000"/>
    <x v="0"/>
    <x v="0"/>
    <x v="0"/>
    <n v="0"/>
    <n v="219000"/>
    <x v="0"/>
    <s v="No Match"/>
  </r>
  <r>
    <n v="564"/>
    <s v="P564"/>
    <x v="11"/>
    <x v="5"/>
    <n v="134"/>
    <n v="134"/>
    <n v="3000"/>
    <x v="0"/>
    <x v="0"/>
    <x v="0"/>
    <n v="0"/>
    <n v="402000"/>
    <x v="0"/>
    <s v="No Match"/>
  </r>
  <r>
    <n v="565"/>
    <s v="P565"/>
    <x v="28"/>
    <x v="4"/>
    <n v="139"/>
    <n v="139"/>
    <n v="1000"/>
    <x v="0"/>
    <x v="0"/>
    <x v="0"/>
    <n v="0"/>
    <n v="139000"/>
    <x v="0"/>
    <s v="No Match"/>
  </r>
  <r>
    <n v="566"/>
    <s v="P566"/>
    <x v="58"/>
    <x v="3"/>
    <n v="191"/>
    <n v="191"/>
    <n v="100"/>
    <x v="0"/>
    <x v="0"/>
    <x v="0"/>
    <n v="0"/>
    <n v="19100"/>
    <x v="0"/>
    <s v="No Match"/>
  </r>
  <r>
    <n v="567"/>
    <s v="P567"/>
    <x v="8"/>
    <x v="4"/>
    <n v="174"/>
    <n v="174"/>
    <n v="5000"/>
    <x v="0"/>
    <x v="0"/>
    <x v="0"/>
    <n v="0"/>
    <n v="870000"/>
    <x v="0"/>
    <s v="No Match"/>
  </r>
  <r>
    <n v="568"/>
    <s v="P568"/>
    <x v="23"/>
    <x v="2"/>
    <n v="118"/>
    <n v="118"/>
    <n v="2000"/>
    <x v="0"/>
    <x v="0"/>
    <x v="0"/>
    <n v="0"/>
    <n v="236000"/>
    <x v="0"/>
    <s v="No Match"/>
  </r>
  <r>
    <n v="569"/>
    <s v="P569"/>
    <x v="43"/>
    <x v="5"/>
    <n v="80"/>
    <n v="80"/>
    <n v="500"/>
    <x v="0"/>
    <x v="0"/>
    <x v="0"/>
    <n v="0"/>
    <n v="40000"/>
    <x v="0"/>
    <s v="No Match"/>
  </r>
  <r>
    <n v="570"/>
    <s v="P570"/>
    <x v="15"/>
    <x v="0"/>
    <n v="180"/>
    <n v="180"/>
    <n v="15000"/>
    <x v="0"/>
    <x v="0"/>
    <x v="0"/>
    <n v="0"/>
    <n v="2700000"/>
    <x v="0"/>
    <s v="No Match"/>
  </r>
  <r>
    <n v="571"/>
    <s v="P571"/>
    <x v="61"/>
    <x v="3"/>
    <n v="193"/>
    <n v="193"/>
    <n v="100"/>
    <x v="0"/>
    <x v="0"/>
    <x v="0"/>
    <n v="0"/>
    <n v="19300"/>
    <x v="0"/>
    <s v="No Match"/>
  </r>
  <r>
    <n v="572"/>
    <s v="P572"/>
    <x v="44"/>
    <x v="1"/>
    <n v="89"/>
    <n v="89"/>
    <n v="40000"/>
    <x v="0"/>
    <x v="0"/>
    <x v="0"/>
    <n v="0"/>
    <n v="3560000"/>
    <x v="0"/>
    <s v="No Match"/>
  </r>
  <r>
    <n v="573"/>
    <s v="P573"/>
    <x v="44"/>
    <x v="1"/>
    <n v="196"/>
    <n v="196"/>
    <n v="40000"/>
    <x v="0"/>
    <x v="0"/>
    <x v="0"/>
    <n v="0"/>
    <n v="7840000"/>
    <x v="0"/>
    <s v="No Match"/>
  </r>
  <r>
    <n v="574"/>
    <s v="P574"/>
    <x v="0"/>
    <x v="0"/>
    <n v="162"/>
    <n v="162"/>
    <n v="3000"/>
    <x v="0"/>
    <x v="0"/>
    <x v="0"/>
    <n v="0"/>
    <n v="486000"/>
    <x v="0"/>
    <s v="No Match"/>
  </r>
  <r>
    <n v="575"/>
    <s v="P575"/>
    <x v="6"/>
    <x v="4"/>
    <n v="128"/>
    <n v="128"/>
    <n v="2000"/>
    <x v="0"/>
    <x v="0"/>
    <x v="0"/>
    <n v="0"/>
    <n v="256000"/>
    <x v="0"/>
    <s v="No Match"/>
  </r>
  <r>
    <n v="576"/>
    <s v="P576"/>
    <x v="34"/>
    <x v="0"/>
    <n v="171"/>
    <n v="171"/>
    <n v="10000"/>
    <x v="0"/>
    <x v="0"/>
    <x v="0"/>
    <n v="0"/>
    <n v="1710000"/>
    <x v="0"/>
    <s v="No Match"/>
  </r>
  <r>
    <n v="577"/>
    <s v="P577"/>
    <x v="10"/>
    <x v="5"/>
    <n v="47"/>
    <n v="47"/>
    <n v="500"/>
    <x v="0"/>
    <x v="0"/>
    <x v="0"/>
    <n v="0"/>
    <n v="23500"/>
    <x v="0"/>
    <s v="No Match"/>
  </r>
  <r>
    <n v="578"/>
    <s v="P578"/>
    <x v="27"/>
    <x v="1"/>
    <n v="78"/>
    <n v="78"/>
    <n v="3000"/>
    <x v="0"/>
    <x v="0"/>
    <x v="0"/>
    <n v="0"/>
    <n v="234000"/>
    <x v="0"/>
    <s v="No Match"/>
  </r>
  <r>
    <n v="579"/>
    <s v="P579"/>
    <x v="8"/>
    <x v="4"/>
    <n v="190"/>
    <n v="190"/>
    <n v="5000"/>
    <x v="0"/>
    <x v="0"/>
    <x v="0"/>
    <n v="0"/>
    <n v="950000"/>
    <x v="0"/>
    <s v="No Match"/>
  </r>
  <r>
    <n v="580"/>
    <s v="P580"/>
    <x v="7"/>
    <x v="0"/>
    <n v="133"/>
    <n v="133"/>
    <n v="8000"/>
    <x v="0"/>
    <x v="0"/>
    <x v="0"/>
    <n v="0"/>
    <n v="1064000"/>
    <x v="0"/>
    <s v="No Match"/>
  </r>
  <r>
    <n v="581"/>
    <s v="P581"/>
    <x v="10"/>
    <x v="5"/>
    <n v="63"/>
    <n v="63"/>
    <n v="500"/>
    <x v="0"/>
    <x v="0"/>
    <x v="0"/>
    <n v="0"/>
    <n v="31500"/>
    <x v="0"/>
    <s v="No Match"/>
  </r>
  <r>
    <n v="582"/>
    <s v="P582"/>
    <x v="6"/>
    <x v="4"/>
    <n v="98"/>
    <n v="98"/>
    <n v="2000"/>
    <x v="0"/>
    <x v="0"/>
    <x v="0"/>
    <n v="0"/>
    <n v="196000"/>
    <x v="0"/>
    <s v="No Match"/>
  </r>
  <r>
    <n v="583"/>
    <s v="P583"/>
    <x v="45"/>
    <x v="3"/>
    <n v="121"/>
    <n v="121"/>
    <n v="100"/>
    <x v="0"/>
    <x v="0"/>
    <x v="0"/>
    <n v="0"/>
    <n v="12100"/>
    <x v="0"/>
    <s v="No Match"/>
  </r>
  <r>
    <n v="584"/>
    <s v="P584"/>
    <x v="29"/>
    <x v="3"/>
    <n v="37"/>
    <n v="37"/>
    <n v="20"/>
    <x v="0"/>
    <x v="0"/>
    <x v="0"/>
    <n v="0"/>
    <n v="740"/>
    <x v="0"/>
    <s v="No Match"/>
  </r>
  <r>
    <n v="585"/>
    <s v="P585"/>
    <x v="10"/>
    <x v="5"/>
    <n v="133"/>
    <n v="133"/>
    <n v="500"/>
    <x v="0"/>
    <x v="0"/>
    <x v="0"/>
    <n v="0"/>
    <n v="66500"/>
    <x v="0"/>
    <s v="No Match"/>
  </r>
  <r>
    <n v="586"/>
    <s v="P586"/>
    <x v="33"/>
    <x v="0"/>
    <n v="155"/>
    <n v="155"/>
    <n v="12000"/>
    <x v="0"/>
    <x v="0"/>
    <x v="0"/>
    <n v="0"/>
    <n v="1860000"/>
    <x v="0"/>
    <s v="No Match"/>
  </r>
  <r>
    <n v="587"/>
    <s v="P587"/>
    <x v="54"/>
    <x v="5"/>
    <n v="60"/>
    <n v="60"/>
    <n v="200"/>
    <x v="0"/>
    <x v="0"/>
    <x v="0"/>
    <n v="0"/>
    <n v="12000"/>
    <x v="0"/>
    <s v="No Match"/>
  </r>
  <r>
    <n v="588"/>
    <s v="P588"/>
    <x v="54"/>
    <x v="5"/>
    <n v="75"/>
    <n v="75"/>
    <n v="200"/>
    <x v="0"/>
    <x v="0"/>
    <x v="0"/>
    <n v="0"/>
    <n v="15000"/>
    <x v="0"/>
    <s v="No Match"/>
  </r>
  <r>
    <n v="589"/>
    <s v="P589"/>
    <x v="22"/>
    <x v="2"/>
    <n v="130"/>
    <n v="130"/>
    <n v="200"/>
    <x v="0"/>
    <x v="0"/>
    <x v="0"/>
    <n v="0"/>
    <n v="26000"/>
    <x v="0"/>
    <s v="No Match"/>
  </r>
  <r>
    <n v="590"/>
    <s v="P590"/>
    <x v="15"/>
    <x v="0"/>
    <n v="173"/>
    <n v="173"/>
    <n v="15000"/>
    <x v="0"/>
    <x v="0"/>
    <x v="0"/>
    <n v="0"/>
    <n v="2595000"/>
    <x v="0"/>
    <s v="No Match"/>
  </r>
  <r>
    <n v="591"/>
    <s v="P591"/>
    <x v="9"/>
    <x v="1"/>
    <n v="133"/>
    <n v="133"/>
    <n v="30000"/>
    <x v="0"/>
    <x v="0"/>
    <x v="0"/>
    <n v="0"/>
    <n v="3990000"/>
    <x v="0"/>
    <s v="No Match"/>
  </r>
  <r>
    <n v="592"/>
    <s v="P592"/>
    <x v="52"/>
    <x v="1"/>
    <n v="176"/>
    <n v="176"/>
    <n v="0"/>
    <x v="0"/>
    <x v="0"/>
    <x v="0"/>
    <n v="0"/>
    <n v="0"/>
    <x v="0"/>
    <s v="No Match"/>
  </r>
  <r>
    <n v="593"/>
    <s v="P593"/>
    <x v="35"/>
    <x v="4"/>
    <n v="36"/>
    <n v="36"/>
    <n v="2000"/>
    <x v="0"/>
    <x v="0"/>
    <x v="0"/>
    <n v="0"/>
    <n v="72000"/>
    <x v="0"/>
    <s v="No Match"/>
  </r>
  <r>
    <n v="594"/>
    <s v="P594"/>
    <x v="67"/>
    <x v="1"/>
    <n v="132"/>
    <n v="132"/>
    <n v="150000"/>
    <x v="0"/>
    <x v="0"/>
    <x v="0"/>
    <n v="0"/>
    <n v="19800000"/>
    <x v="0"/>
    <s v="No Match"/>
  </r>
  <r>
    <n v="595"/>
    <s v="P595"/>
    <x v="25"/>
    <x v="3"/>
    <n v="41"/>
    <n v="41"/>
    <n v="500"/>
    <x v="0"/>
    <x v="0"/>
    <x v="0"/>
    <n v="0"/>
    <n v="20500"/>
    <x v="0"/>
    <s v="No Match"/>
  </r>
  <r>
    <n v="596"/>
    <s v="P596"/>
    <x v="30"/>
    <x v="1"/>
    <n v="106"/>
    <n v="106"/>
    <n v="30000"/>
    <x v="0"/>
    <x v="0"/>
    <x v="0"/>
    <n v="0"/>
    <n v="3180000"/>
    <x v="0"/>
    <s v="No Match"/>
  </r>
  <r>
    <n v="597"/>
    <s v="P597"/>
    <x v="1"/>
    <x v="1"/>
    <n v="108"/>
    <n v="108"/>
    <n v="15000"/>
    <x v="0"/>
    <x v="0"/>
    <x v="0"/>
    <n v="0"/>
    <n v="1620000"/>
    <x v="0"/>
    <s v="No Match"/>
  </r>
  <r>
    <n v="598"/>
    <s v="P598"/>
    <x v="20"/>
    <x v="0"/>
    <n v="50"/>
    <n v="50"/>
    <n v="5000"/>
    <x v="0"/>
    <x v="0"/>
    <x v="0"/>
    <n v="0"/>
    <n v="250000"/>
    <x v="0"/>
    <s v="No Match"/>
  </r>
  <r>
    <n v="599"/>
    <s v="P599"/>
    <x v="58"/>
    <x v="3"/>
    <n v="144"/>
    <n v="144"/>
    <n v="100"/>
    <x v="0"/>
    <x v="0"/>
    <x v="0"/>
    <n v="0"/>
    <n v="14400"/>
    <x v="0"/>
    <s v="No Match"/>
  </r>
  <r>
    <n v="600"/>
    <s v="P600"/>
    <x v="0"/>
    <x v="0"/>
    <n v="75"/>
    <n v="75"/>
    <n v="3000"/>
    <x v="0"/>
    <x v="0"/>
    <x v="0"/>
    <n v="0"/>
    <n v="225000"/>
    <x v="0"/>
    <s v="No Match"/>
  </r>
  <r>
    <n v="601"/>
    <s v="P601"/>
    <x v="52"/>
    <x v="1"/>
    <n v="112"/>
    <n v="112"/>
    <n v="0"/>
    <x v="0"/>
    <x v="0"/>
    <x v="0"/>
    <n v="0"/>
    <n v="0"/>
    <x v="0"/>
    <s v="No Match"/>
  </r>
  <r>
    <n v="602"/>
    <s v="P602"/>
    <x v="64"/>
    <x v="4"/>
    <n v="49"/>
    <n v="49"/>
    <n v="1500"/>
    <x v="0"/>
    <x v="0"/>
    <x v="0"/>
    <n v="0"/>
    <n v="73500"/>
    <x v="0"/>
    <s v="No Match"/>
  </r>
  <r>
    <n v="603"/>
    <s v="P603"/>
    <x v="21"/>
    <x v="5"/>
    <n v="52"/>
    <n v="52"/>
    <n v="100"/>
    <x v="0"/>
    <x v="0"/>
    <x v="0"/>
    <n v="0"/>
    <n v="5200"/>
    <x v="0"/>
    <s v="No Match"/>
  </r>
  <r>
    <n v="604"/>
    <s v="P604"/>
    <x v="62"/>
    <x v="2"/>
    <n v="40"/>
    <n v="40"/>
    <n v="100"/>
    <x v="0"/>
    <x v="0"/>
    <x v="0"/>
    <n v="0"/>
    <n v="4000"/>
    <x v="0"/>
    <s v="No Match"/>
  </r>
  <r>
    <n v="605"/>
    <s v="P605"/>
    <x v="40"/>
    <x v="3"/>
    <n v="164"/>
    <n v="62"/>
    <n v="50"/>
    <x v="85"/>
    <x v="1"/>
    <x v="71"/>
    <n v="5100"/>
    <n v="8200"/>
    <x v="3"/>
    <s v="No"/>
  </r>
  <r>
    <n v="606"/>
    <s v="P606"/>
    <x v="51"/>
    <x v="4"/>
    <n v="123"/>
    <n v="52"/>
    <n v="4500"/>
    <x v="134"/>
    <x v="1"/>
    <x v="103"/>
    <n v="319500"/>
    <n v="553500"/>
    <x v="2"/>
    <s v="No"/>
  </r>
  <r>
    <n v="607"/>
    <s v="P607"/>
    <x v="27"/>
    <x v="1"/>
    <n v="174"/>
    <n v="124"/>
    <n v="3000"/>
    <x v="160"/>
    <x v="1"/>
    <x v="66"/>
    <n v="150000"/>
    <n v="522000"/>
    <x v="2"/>
    <s v="No"/>
  </r>
  <r>
    <n v="608"/>
    <s v="P608"/>
    <x v="49"/>
    <x v="2"/>
    <n v="39"/>
    <n v="103"/>
    <n v="800"/>
    <x v="127"/>
    <x v="2"/>
    <x v="3"/>
    <n v="51200"/>
    <n v="31200"/>
    <x v="2"/>
    <s v="No"/>
  </r>
  <r>
    <n v="609"/>
    <s v="P609"/>
    <x v="11"/>
    <x v="5"/>
    <n v="196"/>
    <n v="32"/>
    <n v="3000"/>
    <x v="161"/>
    <x v="1"/>
    <x v="114"/>
    <n v="492000"/>
    <n v="588000"/>
    <x v="3"/>
    <s v="No"/>
  </r>
  <r>
    <n v="610"/>
    <s v="P610"/>
    <x v="28"/>
    <x v="4"/>
    <n v="198"/>
    <n v="156"/>
    <n v="1000"/>
    <x v="116"/>
    <x v="1"/>
    <x v="91"/>
    <n v="42000"/>
    <n v="198000"/>
    <x v="1"/>
    <s v="No"/>
  </r>
  <r>
    <n v="611"/>
    <s v="P611"/>
    <x v="20"/>
    <x v="0"/>
    <n v="132"/>
    <n v="195"/>
    <n v="5000"/>
    <x v="162"/>
    <x v="2"/>
    <x v="51"/>
    <n v="315000"/>
    <n v="660000"/>
    <x v="2"/>
    <s v="No"/>
  </r>
  <r>
    <n v="612"/>
    <s v="P612"/>
    <x v="33"/>
    <x v="0"/>
    <n v="126"/>
    <n v="50"/>
    <n v="12000"/>
    <x v="125"/>
    <x v="1"/>
    <x v="11"/>
    <n v="912000"/>
    <n v="1512000"/>
    <x v="2"/>
    <s v="Yes"/>
  </r>
  <r>
    <n v="613"/>
    <s v="P613"/>
    <x v="0"/>
    <x v="0"/>
    <n v="74"/>
    <n v="124"/>
    <n v="3000"/>
    <x v="76"/>
    <x v="2"/>
    <x v="66"/>
    <n v="150000"/>
    <n v="222000"/>
    <x v="2"/>
    <s v="No"/>
  </r>
  <r>
    <n v="614"/>
    <s v="P614"/>
    <x v="20"/>
    <x v="0"/>
    <n v="177"/>
    <n v="181"/>
    <n v="5000"/>
    <x v="113"/>
    <x v="2"/>
    <x v="86"/>
    <n v="20000"/>
    <n v="885000"/>
    <x v="1"/>
    <s v="No"/>
  </r>
  <r>
    <n v="615"/>
    <s v="P615"/>
    <x v="65"/>
    <x v="2"/>
    <n v="189"/>
    <n v="41"/>
    <n v="100"/>
    <x v="163"/>
    <x v="1"/>
    <x v="115"/>
    <n v="14800"/>
    <n v="18900"/>
    <x v="3"/>
    <s v="No"/>
  </r>
  <r>
    <n v="616"/>
    <s v="P616"/>
    <x v="12"/>
    <x v="5"/>
    <n v="113"/>
    <n v="113"/>
    <n v="1500"/>
    <x v="0"/>
    <x v="0"/>
    <x v="0"/>
    <n v="0"/>
    <n v="169500"/>
    <x v="0"/>
    <s v="No Match"/>
  </r>
  <r>
    <n v="617"/>
    <s v="P617"/>
    <x v="16"/>
    <x v="2"/>
    <n v="133"/>
    <n v="133"/>
    <n v="100"/>
    <x v="0"/>
    <x v="0"/>
    <x v="0"/>
    <n v="0"/>
    <n v="13300"/>
    <x v="0"/>
    <s v="No Match"/>
  </r>
  <r>
    <n v="618"/>
    <s v="P618"/>
    <x v="48"/>
    <x v="1"/>
    <n v="175"/>
    <n v="175"/>
    <n v="4000"/>
    <x v="0"/>
    <x v="0"/>
    <x v="0"/>
    <n v="0"/>
    <n v="700000"/>
    <x v="0"/>
    <s v="No Match"/>
  </r>
  <r>
    <n v="619"/>
    <s v="P619"/>
    <x v="55"/>
    <x v="2"/>
    <n v="59"/>
    <n v="59"/>
    <n v="200"/>
    <x v="0"/>
    <x v="0"/>
    <x v="0"/>
    <n v="0"/>
    <n v="11800"/>
    <x v="0"/>
    <s v="No Match"/>
  </r>
  <r>
    <n v="620"/>
    <s v="P620"/>
    <x v="47"/>
    <x v="1"/>
    <n v="66"/>
    <n v="66"/>
    <n v="50000"/>
    <x v="0"/>
    <x v="0"/>
    <x v="0"/>
    <n v="0"/>
    <n v="3300000"/>
    <x v="0"/>
    <s v="No Match"/>
  </r>
  <r>
    <n v="621"/>
    <s v="P621"/>
    <x v="54"/>
    <x v="5"/>
    <n v="189"/>
    <n v="189"/>
    <n v="200"/>
    <x v="0"/>
    <x v="0"/>
    <x v="0"/>
    <n v="0"/>
    <n v="37800"/>
    <x v="0"/>
    <s v="No Match"/>
  </r>
  <r>
    <n v="622"/>
    <s v="P622"/>
    <x v="37"/>
    <x v="2"/>
    <n v="174"/>
    <n v="174"/>
    <n v="100"/>
    <x v="0"/>
    <x v="0"/>
    <x v="0"/>
    <n v="0"/>
    <n v="17400"/>
    <x v="0"/>
    <s v="No Match"/>
  </r>
  <r>
    <n v="623"/>
    <s v="P623"/>
    <x v="7"/>
    <x v="0"/>
    <n v="152"/>
    <n v="152"/>
    <n v="8000"/>
    <x v="0"/>
    <x v="0"/>
    <x v="0"/>
    <n v="0"/>
    <n v="1216000"/>
    <x v="0"/>
    <s v="No Match"/>
  </r>
  <r>
    <n v="624"/>
    <s v="P624"/>
    <x v="4"/>
    <x v="4"/>
    <n v="98"/>
    <n v="98"/>
    <n v="5000"/>
    <x v="0"/>
    <x v="0"/>
    <x v="0"/>
    <n v="0"/>
    <n v="490000"/>
    <x v="0"/>
    <s v="No Match"/>
  </r>
  <r>
    <n v="625"/>
    <s v="P625"/>
    <x v="49"/>
    <x v="2"/>
    <n v="124"/>
    <n v="124"/>
    <n v="800"/>
    <x v="0"/>
    <x v="0"/>
    <x v="0"/>
    <n v="0"/>
    <n v="99200"/>
    <x v="0"/>
    <s v="No Match"/>
  </r>
  <r>
    <n v="626"/>
    <s v="P626"/>
    <x v="30"/>
    <x v="1"/>
    <n v="68"/>
    <n v="68"/>
    <n v="30000"/>
    <x v="0"/>
    <x v="0"/>
    <x v="0"/>
    <n v="0"/>
    <n v="2040000"/>
    <x v="0"/>
    <s v="No Match"/>
  </r>
  <r>
    <n v="627"/>
    <s v="P627"/>
    <x v="53"/>
    <x v="4"/>
    <n v="30"/>
    <n v="30"/>
    <n v="2500"/>
    <x v="0"/>
    <x v="0"/>
    <x v="0"/>
    <n v="0"/>
    <n v="75000"/>
    <x v="0"/>
    <s v="No Match"/>
  </r>
  <r>
    <n v="628"/>
    <s v="P628"/>
    <x v="60"/>
    <x v="4"/>
    <n v="194"/>
    <n v="194"/>
    <n v="5000"/>
    <x v="0"/>
    <x v="0"/>
    <x v="0"/>
    <n v="0"/>
    <n v="970000"/>
    <x v="0"/>
    <s v="No Match"/>
  </r>
  <r>
    <n v="629"/>
    <s v="P629"/>
    <x v="25"/>
    <x v="3"/>
    <n v="65"/>
    <n v="65"/>
    <n v="500"/>
    <x v="0"/>
    <x v="0"/>
    <x v="0"/>
    <n v="0"/>
    <n v="32500"/>
    <x v="0"/>
    <s v="No Match"/>
  </r>
  <r>
    <n v="630"/>
    <s v="P630"/>
    <x v="54"/>
    <x v="5"/>
    <n v="167"/>
    <n v="167"/>
    <n v="200"/>
    <x v="0"/>
    <x v="0"/>
    <x v="0"/>
    <n v="0"/>
    <n v="33400"/>
    <x v="0"/>
    <s v="No Match"/>
  </r>
  <r>
    <n v="631"/>
    <s v="P631"/>
    <x v="55"/>
    <x v="2"/>
    <n v="171"/>
    <n v="171"/>
    <n v="200"/>
    <x v="0"/>
    <x v="0"/>
    <x v="0"/>
    <n v="0"/>
    <n v="34200"/>
    <x v="0"/>
    <s v="No Match"/>
  </r>
  <r>
    <n v="632"/>
    <s v="P632"/>
    <x v="40"/>
    <x v="3"/>
    <n v="153"/>
    <n v="153"/>
    <n v="50"/>
    <x v="0"/>
    <x v="0"/>
    <x v="0"/>
    <n v="0"/>
    <n v="7650"/>
    <x v="0"/>
    <s v="No Match"/>
  </r>
  <r>
    <n v="633"/>
    <s v="P633"/>
    <x v="26"/>
    <x v="2"/>
    <n v="109"/>
    <n v="109"/>
    <n v="4500"/>
    <x v="0"/>
    <x v="0"/>
    <x v="0"/>
    <n v="0"/>
    <n v="490500"/>
    <x v="0"/>
    <s v="No Match"/>
  </r>
  <r>
    <n v="634"/>
    <s v="P634"/>
    <x v="33"/>
    <x v="0"/>
    <n v="161"/>
    <n v="161"/>
    <n v="12000"/>
    <x v="0"/>
    <x v="0"/>
    <x v="0"/>
    <n v="0"/>
    <n v="1932000"/>
    <x v="0"/>
    <s v="No Match"/>
  </r>
  <r>
    <n v="635"/>
    <s v="P635"/>
    <x v="21"/>
    <x v="5"/>
    <n v="55"/>
    <n v="55"/>
    <n v="100"/>
    <x v="0"/>
    <x v="0"/>
    <x v="0"/>
    <n v="0"/>
    <n v="5500"/>
    <x v="0"/>
    <s v="No Match"/>
  </r>
  <r>
    <n v="636"/>
    <s v="P636"/>
    <x v="16"/>
    <x v="2"/>
    <n v="181"/>
    <n v="181"/>
    <n v="100"/>
    <x v="0"/>
    <x v="0"/>
    <x v="0"/>
    <n v="0"/>
    <n v="18100"/>
    <x v="0"/>
    <s v="No Match"/>
  </r>
  <r>
    <n v="637"/>
    <s v="P637"/>
    <x v="17"/>
    <x v="3"/>
    <n v="155"/>
    <n v="155"/>
    <n v="30"/>
    <x v="0"/>
    <x v="0"/>
    <x v="0"/>
    <n v="0"/>
    <n v="4650"/>
    <x v="0"/>
    <s v="No Match"/>
  </r>
  <r>
    <n v="638"/>
    <s v="P638"/>
    <x v="6"/>
    <x v="4"/>
    <n v="43"/>
    <n v="43"/>
    <n v="2000"/>
    <x v="0"/>
    <x v="0"/>
    <x v="0"/>
    <n v="0"/>
    <n v="86000"/>
    <x v="0"/>
    <s v="No Match"/>
  </r>
  <r>
    <n v="639"/>
    <s v="P639"/>
    <x v="30"/>
    <x v="1"/>
    <n v="133"/>
    <n v="133"/>
    <n v="30000"/>
    <x v="0"/>
    <x v="0"/>
    <x v="0"/>
    <n v="0"/>
    <n v="3990000"/>
    <x v="0"/>
    <s v="No Match"/>
  </r>
  <r>
    <n v="640"/>
    <s v="P640"/>
    <x v="42"/>
    <x v="1"/>
    <n v="122"/>
    <n v="122"/>
    <n v="20000"/>
    <x v="0"/>
    <x v="0"/>
    <x v="0"/>
    <n v="0"/>
    <n v="2440000"/>
    <x v="0"/>
    <s v="No Match"/>
  </r>
  <r>
    <n v="641"/>
    <s v="P641"/>
    <x v="29"/>
    <x v="3"/>
    <n v="140"/>
    <n v="140"/>
    <n v="20"/>
    <x v="0"/>
    <x v="0"/>
    <x v="0"/>
    <n v="0"/>
    <n v="2800"/>
    <x v="0"/>
    <s v="No Match"/>
  </r>
  <r>
    <n v="642"/>
    <s v="P642"/>
    <x v="8"/>
    <x v="4"/>
    <n v="164"/>
    <n v="164"/>
    <n v="5000"/>
    <x v="0"/>
    <x v="0"/>
    <x v="0"/>
    <n v="0"/>
    <n v="820000"/>
    <x v="0"/>
    <s v="No Match"/>
  </r>
  <r>
    <n v="643"/>
    <s v="P643"/>
    <x v="23"/>
    <x v="2"/>
    <n v="105"/>
    <n v="105"/>
    <n v="2000"/>
    <x v="0"/>
    <x v="0"/>
    <x v="0"/>
    <n v="0"/>
    <n v="210000"/>
    <x v="0"/>
    <s v="No Match"/>
  </r>
  <r>
    <n v="644"/>
    <s v="P644"/>
    <x v="68"/>
    <x v="2"/>
    <n v="63"/>
    <n v="63"/>
    <n v="15000"/>
    <x v="0"/>
    <x v="0"/>
    <x v="0"/>
    <n v="0"/>
    <n v="945000"/>
    <x v="0"/>
    <s v="No Match"/>
  </r>
  <r>
    <n v="645"/>
    <s v="P645"/>
    <x v="67"/>
    <x v="1"/>
    <n v="156"/>
    <n v="156"/>
    <n v="150000"/>
    <x v="0"/>
    <x v="0"/>
    <x v="0"/>
    <n v="0"/>
    <n v="23400000"/>
    <x v="0"/>
    <s v="No Match"/>
  </r>
  <r>
    <n v="646"/>
    <s v="P646"/>
    <x v="55"/>
    <x v="2"/>
    <n v="138"/>
    <n v="138"/>
    <n v="200"/>
    <x v="0"/>
    <x v="0"/>
    <x v="0"/>
    <n v="0"/>
    <n v="27600"/>
    <x v="0"/>
    <s v="No Match"/>
  </r>
  <r>
    <n v="647"/>
    <s v="P647"/>
    <x v="2"/>
    <x v="2"/>
    <n v="108"/>
    <n v="108"/>
    <n v="200"/>
    <x v="0"/>
    <x v="0"/>
    <x v="0"/>
    <n v="0"/>
    <n v="21600"/>
    <x v="0"/>
    <s v="No Match"/>
  </r>
  <r>
    <n v="648"/>
    <s v="P648"/>
    <x v="25"/>
    <x v="3"/>
    <n v="160"/>
    <n v="160"/>
    <n v="500"/>
    <x v="0"/>
    <x v="0"/>
    <x v="0"/>
    <n v="0"/>
    <n v="80000"/>
    <x v="0"/>
    <s v="No Match"/>
  </r>
  <r>
    <n v="649"/>
    <s v="P649"/>
    <x v="43"/>
    <x v="5"/>
    <n v="41"/>
    <n v="41"/>
    <n v="500"/>
    <x v="0"/>
    <x v="0"/>
    <x v="0"/>
    <n v="0"/>
    <n v="20500"/>
    <x v="0"/>
    <s v="No Match"/>
  </r>
  <r>
    <n v="650"/>
    <s v="P650"/>
    <x v="30"/>
    <x v="1"/>
    <n v="200"/>
    <n v="200"/>
    <n v="30000"/>
    <x v="0"/>
    <x v="0"/>
    <x v="0"/>
    <n v="0"/>
    <n v="6000000"/>
    <x v="0"/>
    <s v="No Match"/>
  </r>
  <r>
    <n v="651"/>
    <s v="P651"/>
    <x v="61"/>
    <x v="3"/>
    <n v="159"/>
    <n v="159"/>
    <n v="100"/>
    <x v="0"/>
    <x v="0"/>
    <x v="0"/>
    <n v="0"/>
    <n v="15900"/>
    <x v="0"/>
    <s v="No Match"/>
  </r>
  <r>
    <n v="652"/>
    <s v="P652"/>
    <x v="68"/>
    <x v="2"/>
    <n v="80"/>
    <n v="80"/>
    <n v="15000"/>
    <x v="0"/>
    <x v="0"/>
    <x v="0"/>
    <n v="0"/>
    <n v="1200000"/>
    <x v="0"/>
    <s v="No Match"/>
  </r>
  <r>
    <n v="653"/>
    <s v="P653"/>
    <x v="36"/>
    <x v="4"/>
    <n v="42"/>
    <n v="42"/>
    <n v="3000"/>
    <x v="0"/>
    <x v="0"/>
    <x v="0"/>
    <n v="0"/>
    <n v="126000"/>
    <x v="0"/>
    <s v="No Match"/>
  </r>
  <r>
    <n v="654"/>
    <s v="P654"/>
    <x v="38"/>
    <x v="0"/>
    <n v="34"/>
    <n v="34"/>
    <n v="2000"/>
    <x v="0"/>
    <x v="0"/>
    <x v="0"/>
    <n v="0"/>
    <n v="68000"/>
    <x v="0"/>
    <s v="No Match"/>
  </r>
  <r>
    <n v="655"/>
    <s v="P655"/>
    <x v="36"/>
    <x v="4"/>
    <n v="73"/>
    <n v="73"/>
    <n v="3000"/>
    <x v="0"/>
    <x v="0"/>
    <x v="0"/>
    <n v="0"/>
    <n v="219000"/>
    <x v="0"/>
    <s v="No Match"/>
  </r>
  <r>
    <n v="656"/>
    <s v="P656"/>
    <x v="2"/>
    <x v="2"/>
    <n v="120"/>
    <n v="120"/>
    <n v="200"/>
    <x v="0"/>
    <x v="0"/>
    <x v="0"/>
    <n v="0"/>
    <n v="24000"/>
    <x v="0"/>
    <s v="No Match"/>
  </r>
  <r>
    <n v="657"/>
    <s v="P657"/>
    <x v="1"/>
    <x v="1"/>
    <n v="71"/>
    <n v="71"/>
    <n v="15000"/>
    <x v="0"/>
    <x v="0"/>
    <x v="0"/>
    <n v="0"/>
    <n v="1065000"/>
    <x v="0"/>
    <s v="No Match"/>
  </r>
  <r>
    <n v="658"/>
    <s v="P658"/>
    <x v="44"/>
    <x v="1"/>
    <n v="71"/>
    <n v="71"/>
    <n v="40000"/>
    <x v="0"/>
    <x v="0"/>
    <x v="0"/>
    <n v="0"/>
    <n v="2840000"/>
    <x v="0"/>
    <s v="No Match"/>
  </r>
  <r>
    <n v="659"/>
    <s v="P659"/>
    <x v="17"/>
    <x v="3"/>
    <n v="107"/>
    <n v="107"/>
    <n v="30"/>
    <x v="0"/>
    <x v="0"/>
    <x v="0"/>
    <n v="0"/>
    <n v="3210"/>
    <x v="0"/>
    <s v="No Match"/>
  </r>
  <r>
    <n v="660"/>
    <s v="P660"/>
    <x v="55"/>
    <x v="2"/>
    <n v="125"/>
    <n v="125"/>
    <n v="200"/>
    <x v="0"/>
    <x v="0"/>
    <x v="0"/>
    <n v="0"/>
    <n v="25000"/>
    <x v="0"/>
    <s v="No Match"/>
  </r>
  <r>
    <n v="661"/>
    <s v="P661"/>
    <x v="65"/>
    <x v="2"/>
    <n v="65"/>
    <n v="65"/>
    <n v="100"/>
    <x v="0"/>
    <x v="0"/>
    <x v="0"/>
    <n v="0"/>
    <n v="6500"/>
    <x v="0"/>
    <s v="No Match"/>
  </r>
  <r>
    <n v="662"/>
    <s v="P662"/>
    <x v="34"/>
    <x v="0"/>
    <n v="94"/>
    <n v="94"/>
    <n v="10000"/>
    <x v="0"/>
    <x v="0"/>
    <x v="0"/>
    <n v="0"/>
    <n v="940000"/>
    <x v="0"/>
    <s v="No Match"/>
  </r>
  <r>
    <n v="663"/>
    <s v="P663"/>
    <x v="24"/>
    <x v="5"/>
    <n v="179"/>
    <n v="179"/>
    <n v="200"/>
    <x v="0"/>
    <x v="0"/>
    <x v="0"/>
    <n v="0"/>
    <n v="35800"/>
    <x v="0"/>
    <s v="No Match"/>
  </r>
  <r>
    <n v="664"/>
    <s v="P664"/>
    <x v="17"/>
    <x v="3"/>
    <n v="76"/>
    <n v="76"/>
    <n v="30"/>
    <x v="0"/>
    <x v="0"/>
    <x v="0"/>
    <n v="0"/>
    <n v="2280"/>
    <x v="0"/>
    <s v="No Match"/>
  </r>
  <r>
    <n v="665"/>
    <s v="P665"/>
    <x v="35"/>
    <x v="4"/>
    <n v="60"/>
    <n v="60"/>
    <n v="2000"/>
    <x v="0"/>
    <x v="0"/>
    <x v="0"/>
    <n v="0"/>
    <n v="120000"/>
    <x v="0"/>
    <s v="No Match"/>
  </r>
  <r>
    <n v="666"/>
    <s v="P666"/>
    <x v="21"/>
    <x v="5"/>
    <n v="122"/>
    <n v="122"/>
    <n v="100"/>
    <x v="0"/>
    <x v="0"/>
    <x v="0"/>
    <n v="0"/>
    <n v="12200"/>
    <x v="0"/>
    <s v="No Match"/>
  </r>
  <r>
    <n v="667"/>
    <s v="P667"/>
    <x v="43"/>
    <x v="5"/>
    <n v="52"/>
    <n v="52"/>
    <n v="500"/>
    <x v="0"/>
    <x v="0"/>
    <x v="0"/>
    <n v="0"/>
    <n v="26000"/>
    <x v="0"/>
    <s v="No Match"/>
  </r>
  <r>
    <n v="668"/>
    <s v="P668"/>
    <x v="26"/>
    <x v="2"/>
    <n v="44"/>
    <n v="44"/>
    <n v="4500"/>
    <x v="0"/>
    <x v="0"/>
    <x v="0"/>
    <n v="0"/>
    <n v="198000"/>
    <x v="0"/>
    <s v="No Match"/>
  </r>
  <r>
    <n v="669"/>
    <s v="P669"/>
    <x v="64"/>
    <x v="4"/>
    <n v="88"/>
    <n v="88"/>
    <n v="1500"/>
    <x v="0"/>
    <x v="0"/>
    <x v="0"/>
    <n v="0"/>
    <n v="132000"/>
    <x v="0"/>
    <s v="No Match"/>
  </r>
  <r>
    <n v="670"/>
    <s v="P670"/>
    <x v="24"/>
    <x v="5"/>
    <n v="100"/>
    <n v="100"/>
    <n v="200"/>
    <x v="0"/>
    <x v="0"/>
    <x v="0"/>
    <n v="0"/>
    <n v="20000"/>
    <x v="0"/>
    <s v="No Match"/>
  </r>
  <r>
    <n v="671"/>
    <s v="P671"/>
    <x v="21"/>
    <x v="5"/>
    <n v="152"/>
    <n v="152"/>
    <n v="100"/>
    <x v="0"/>
    <x v="0"/>
    <x v="0"/>
    <n v="0"/>
    <n v="15200"/>
    <x v="0"/>
    <s v="No Match"/>
  </r>
  <r>
    <n v="672"/>
    <s v="P672"/>
    <x v="38"/>
    <x v="0"/>
    <n v="91"/>
    <n v="91"/>
    <n v="2000"/>
    <x v="0"/>
    <x v="0"/>
    <x v="0"/>
    <n v="0"/>
    <n v="182000"/>
    <x v="0"/>
    <s v="No Match"/>
  </r>
  <r>
    <n v="673"/>
    <s v="P673"/>
    <x v="41"/>
    <x v="1"/>
    <n v="85"/>
    <n v="85"/>
    <n v="70000"/>
    <x v="0"/>
    <x v="0"/>
    <x v="0"/>
    <n v="0"/>
    <n v="5950000"/>
    <x v="0"/>
    <s v="No Match"/>
  </r>
  <r>
    <n v="674"/>
    <s v="P674"/>
    <x v="49"/>
    <x v="2"/>
    <n v="176"/>
    <n v="176"/>
    <n v="800"/>
    <x v="0"/>
    <x v="0"/>
    <x v="0"/>
    <n v="0"/>
    <n v="140800"/>
    <x v="0"/>
    <s v="No Match"/>
  </r>
  <r>
    <n v="675"/>
    <s v="P675"/>
    <x v="44"/>
    <x v="1"/>
    <n v="186"/>
    <n v="186"/>
    <n v="40000"/>
    <x v="0"/>
    <x v="0"/>
    <x v="0"/>
    <n v="0"/>
    <n v="7440000"/>
    <x v="0"/>
    <s v="No Match"/>
  </r>
  <r>
    <n v="676"/>
    <s v="P676"/>
    <x v="48"/>
    <x v="1"/>
    <n v="51"/>
    <n v="51"/>
    <n v="4000"/>
    <x v="0"/>
    <x v="0"/>
    <x v="0"/>
    <n v="0"/>
    <n v="204000"/>
    <x v="0"/>
    <s v="No Match"/>
  </r>
  <r>
    <n v="677"/>
    <s v="P677"/>
    <x v="19"/>
    <x v="0"/>
    <n v="58"/>
    <n v="58"/>
    <n v="5000"/>
    <x v="0"/>
    <x v="0"/>
    <x v="0"/>
    <n v="0"/>
    <n v="290000"/>
    <x v="0"/>
    <s v="No Match"/>
  </r>
  <r>
    <n v="678"/>
    <s v="P678"/>
    <x v="14"/>
    <x v="1"/>
    <n v="120"/>
    <n v="120"/>
    <n v="6000"/>
    <x v="0"/>
    <x v="0"/>
    <x v="0"/>
    <n v="0"/>
    <n v="720000"/>
    <x v="0"/>
    <s v="No Match"/>
  </r>
  <r>
    <n v="679"/>
    <s v="P679"/>
    <x v="60"/>
    <x v="4"/>
    <n v="65"/>
    <n v="65"/>
    <n v="5000"/>
    <x v="0"/>
    <x v="0"/>
    <x v="0"/>
    <n v="0"/>
    <n v="325000"/>
    <x v="0"/>
    <s v="No Match"/>
  </r>
  <r>
    <n v="680"/>
    <s v="P680"/>
    <x v="50"/>
    <x v="3"/>
    <n v="61"/>
    <n v="61"/>
    <n v="50"/>
    <x v="0"/>
    <x v="0"/>
    <x v="0"/>
    <n v="0"/>
    <n v="3050"/>
    <x v="0"/>
    <s v="No Match"/>
  </r>
  <r>
    <n v="681"/>
    <s v="P681"/>
    <x v="44"/>
    <x v="1"/>
    <n v="56"/>
    <n v="56"/>
    <n v="40000"/>
    <x v="0"/>
    <x v="0"/>
    <x v="0"/>
    <n v="0"/>
    <n v="2240000"/>
    <x v="0"/>
    <s v="No Match"/>
  </r>
  <r>
    <n v="682"/>
    <s v="P682"/>
    <x v="63"/>
    <x v="2"/>
    <n v="119"/>
    <n v="119"/>
    <n v="100"/>
    <x v="0"/>
    <x v="0"/>
    <x v="0"/>
    <n v="0"/>
    <n v="11900"/>
    <x v="0"/>
    <s v="No Match"/>
  </r>
  <r>
    <n v="683"/>
    <s v="P683"/>
    <x v="17"/>
    <x v="3"/>
    <n v="38"/>
    <n v="38"/>
    <n v="30"/>
    <x v="0"/>
    <x v="0"/>
    <x v="0"/>
    <n v="0"/>
    <n v="1140"/>
    <x v="0"/>
    <s v="No Match"/>
  </r>
  <r>
    <n v="684"/>
    <s v="P684"/>
    <x v="0"/>
    <x v="0"/>
    <n v="108"/>
    <n v="108"/>
    <n v="3000"/>
    <x v="0"/>
    <x v="0"/>
    <x v="0"/>
    <n v="0"/>
    <n v="324000"/>
    <x v="0"/>
    <s v="No Match"/>
  </r>
  <r>
    <n v="685"/>
    <s v="P685"/>
    <x v="12"/>
    <x v="5"/>
    <n v="129"/>
    <n v="129"/>
    <n v="1500"/>
    <x v="0"/>
    <x v="0"/>
    <x v="0"/>
    <n v="0"/>
    <n v="193500"/>
    <x v="0"/>
    <s v="No Match"/>
  </r>
  <r>
    <n v="686"/>
    <s v="P686"/>
    <x v="34"/>
    <x v="0"/>
    <n v="56"/>
    <n v="56"/>
    <n v="10000"/>
    <x v="0"/>
    <x v="0"/>
    <x v="0"/>
    <n v="0"/>
    <n v="560000"/>
    <x v="0"/>
    <s v="No Match"/>
  </r>
  <r>
    <n v="687"/>
    <s v="P687"/>
    <x v="42"/>
    <x v="1"/>
    <n v="48"/>
    <n v="48"/>
    <n v="20000"/>
    <x v="0"/>
    <x v="0"/>
    <x v="0"/>
    <n v="0"/>
    <n v="960000"/>
    <x v="0"/>
    <s v="No Match"/>
  </r>
  <r>
    <n v="688"/>
    <s v="P688"/>
    <x v="12"/>
    <x v="5"/>
    <n v="129"/>
    <n v="129"/>
    <n v="1500"/>
    <x v="0"/>
    <x v="0"/>
    <x v="0"/>
    <n v="0"/>
    <n v="193500"/>
    <x v="0"/>
    <s v="No Match"/>
  </r>
  <r>
    <n v="689"/>
    <s v="P689"/>
    <x v="28"/>
    <x v="4"/>
    <n v="38"/>
    <n v="38"/>
    <n v="1000"/>
    <x v="0"/>
    <x v="0"/>
    <x v="0"/>
    <n v="0"/>
    <n v="38000"/>
    <x v="0"/>
    <s v="No Match"/>
  </r>
  <r>
    <n v="690"/>
    <s v="P690"/>
    <x v="30"/>
    <x v="1"/>
    <n v="33"/>
    <n v="33"/>
    <n v="30000"/>
    <x v="0"/>
    <x v="0"/>
    <x v="0"/>
    <n v="0"/>
    <n v="990000"/>
    <x v="0"/>
    <s v="No Match"/>
  </r>
  <r>
    <n v="691"/>
    <s v="P691"/>
    <x v="33"/>
    <x v="0"/>
    <n v="84"/>
    <n v="84"/>
    <n v="12000"/>
    <x v="0"/>
    <x v="0"/>
    <x v="0"/>
    <n v="0"/>
    <n v="1008000"/>
    <x v="0"/>
    <s v="No Match"/>
  </r>
  <r>
    <n v="692"/>
    <s v="P692"/>
    <x v="21"/>
    <x v="5"/>
    <n v="98"/>
    <n v="98"/>
    <n v="100"/>
    <x v="0"/>
    <x v="0"/>
    <x v="0"/>
    <n v="0"/>
    <n v="9800"/>
    <x v="0"/>
    <s v="No Match"/>
  </r>
  <r>
    <n v="693"/>
    <s v="P693"/>
    <x v="1"/>
    <x v="1"/>
    <n v="54"/>
    <n v="54"/>
    <n v="15000"/>
    <x v="0"/>
    <x v="0"/>
    <x v="0"/>
    <n v="0"/>
    <n v="810000"/>
    <x v="0"/>
    <s v="No Match"/>
  </r>
  <r>
    <n v="694"/>
    <s v="P694"/>
    <x v="47"/>
    <x v="1"/>
    <n v="140"/>
    <n v="140"/>
    <n v="50000"/>
    <x v="0"/>
    <x v="0"/>
    <x v="0"/>
    <n v="0"/>
    <n v="7000000"/>
    <x v="0"/>
    <s v="No Match"/>
  </r>
  <r>
    <n v="695"/>
    <s v="P695"/>
    <x v="33"/>
    <x v="0"/>
    <n v="51"/>
    <n v="51"/>
    <n v="12000"/>
    <x v="0"/>
    <x v="0"/>
    <x v="0"/>
    <n v="0"/>
    <n v="612000"/>
    <x v="0"/>
    <s v="No Match"/>
  </r>
  <r>
    <n v="696"/>
    <s v="P696"/>
    <x v="62"/>
    <x v="2"/>
    <n v="72"/>
    <n v="72"/>
    <n v="100"/>
    <x v="0"/>
    <x v="0"/>
    <x v="0"/>
    <n v="0"/>
    <n v="7200"/>
    <x v="0"/>
    <s v="No Match"/>
  </r>
  <r>
    <n v="697"/>
    <s v="P697"/>
    <x v="55"/>
    <x v="2"/>
    <n v="127"/>
    <n v="127"/>
    <n v="200"/>
    <x v="0"/>
    <x v="0"/>
    <x v="0"/>
    <n v="0"/>
    <n v="25400"/>
    <x v="0"/>
    <s v="No Match"/>
  </r>
  <r>
    <n v="698"/>
    <s v="P698"/>
    <x v="40"/>
    <x v="3"/>
    <n v="60"/>
    <n v="60"/>
    <n v="50"/>
    <x v="0"/>
    <x v="0"/>
    <x v="0"/>
    <n v="0"/>
    <n v="3000"/>
    <x v="0"/>
    <s v="No Match"/>
  </r>
  <r>
    <n v="699"/>
    <s v="P699"/>
    <x v="57"/>
    <x v="2"/>
    <n v="139"/>
    <n v="139"/>
    <n v="500"/>
    <x v="0"/>
    <x v="0"/>
    <x v="0"/>
    <n v="0"/>
    <n v="69500"/>
    <x v="0"/>
    <s v="No Match"/>
  </r>
  <r>
    <n v="700"/>
    <s v="P700"/>
    <x v="18"/>
    <x v="1"/>
    <n v="36"/>
    <n v="36"/>
    <n v="20000"/>
    <x v="0"/>
    <x v="0"/>
    <x v="0"/>
    <n v="0"/>
    <n v="720000"/>
    <x v="0"/>
    <s v="No Match"/>
  </r>
  <r>
    <n v="701"/>
    <s v="P701"/>
    <x v="36"/>
    <x v="4"/>
    <n v="173"/>
    <n v="173"/>
    <n v="3000"/>
    <x v="0"/>
    <x v="0"/>
    <x v="0"/>
    <n v="0"/>
    <n v="519000"/>
    <x v="0"/>
    <s v="No Match"/>
  </r>
  <r>
    <n v="702"/>
    <s v="P702"/>
    <x v="10"/>
    <x v="5"/>
    <n v="66"/>
    <n v="66"/>
    <n v="500"/>
    <x v="0"/>
    <x v="0"/>
    <x v="0"/>
    <n v="0"/>
    <n v="33000"/>
    <x v="0"/>
    <s v="No Match"/>
  </r>
  <r>
    <n v="703"/>
    <s v="P703"/>
    <x v="46"/>
    <x v="5"/>
    <n v="47"/>
    <n v="47"/>
    <n v="500"/>
    <x v="0"/>
    <x v="0"/>
    <x v="0"/>
    <n v="0"/>
    <n v="23500"/>
    <x v="0"/>
    <s v="No Match"/>
  </r>
  <r>
    <n v="704"/>
    <s v="P704"/>
    <x v="46"/>
    <x v="5"/>
    <n v="168"/>
    <n v="168"/>
    <n v="500"/>
    <x v="0"/>
    <x v="0"/>
    <x v="0"/>
    <n v="0"/>
    <n v="84000"/>
    <x v="0"/>
    <s v="No Match"/>
  </r>
  <r>
    <n v="705"/>
    <s v="P705"/>
    <x v="10"/>
    <x v="5"/>
    <n v="113"/>
    <n v="113"/>
    <n v="500"/>
    <x v="0"/>
    <x v="0"/>
    <x v="0"/>
    <n v="0"/>
    <n v="56500"/>
    <x v="0"/>
    <s v="No Match"/>
  </r>
  <r>
    <n v="706"/>
    <s v="P706"/>
    <x v="65"/>
    <x v="2"/>
    <n v="149"/>
    <n v="149"/>
    <n v="100"/>
    <x v="0"/>
    <x v="0"/>
    <x v="0"/>
    <n v="0"/>
    <n v="14900"/>
    <x v="0"/>
    <s v="No Match"/>
  </r>
  <r>
    <n v="707"/>
    <s v="P707"/>
    <x v="26"/>
    <x v="2"/>
    <n v="117"/>
    <n v="117"/>
    <n v="4500"/>
    <x v="0"/>
    <x v="0"/>
    <x v="0"/>
    <n v="0"/>
    <n v="526500"/>
    <x v="0"/>
    <s v="No Match"/>
  </r>
  <r>
    <n v="708"/>
    <s v="P708"/>
    <x v="6"/>
    <x v="4"/>
    <n v="158"/>
    <n v="158"/>
    <n v="2000"/>
    <x v="0"/>
    <x v="0"/>
    <x v="0"/>
    <n v="0"/>
    <n v="316000"/>
    <x v="0"/>
    <s v="No Match"/>
  </r>
  <r>
    <n v="709"/>
    <s v="P709"/>
    <x v="65"/>
    <x v="2"/>
    <n v="104"/>
    <n v="104"/>
    <n v="100"/>
    <x v="0"/>
    <x v="0"/>
    <x v="0"/>
    <n v="0"/>
    <n v="10400"/>
    <x v="0"/>
    <s v="No Match"/>
  </r>
  <r>
    <n v="710"/>
    <s v="P710"/>
    <x v="43"/>
    <x v="5"/>
    <n v="200"/>
    <n v="200"/>
    <n v="500"/>
    <x v="0"/>
    <x v="0"/>
    <x v="0"/>
    <n v="0"/>
    <n v="100000"/>
    <x v="0"/>
    <s v="No Match"/>
  </r>
  <r>
    <n v="711"/>
    <s v="P711"/>
    <x v="35"/>
    <x v="4"/>
    <n v="67"/>
    <n v="67"/>
    <n v="2000"/>
    <x v="0"/>
    <x v="0"/>
    <x v="0"/>
    <n v="0"/>
    <n v="134000"/>
    <x v="0"/>
    <s v="No Match"/>
  </r>
  <r>
    <n v="712"/>
    <s v="P712"/>
    <x v="34"/>
    <x v="0"/>
    <n v="188"/>
    <n v="188"/>
    <n v="10000"/>
    <x v="0"/>
    <x v="0"/>
    <x v="0"/>
    <n v="0"/>
    <n v="1880000"/>
    <x v="0"/>
    <s v="No Match"/>
  </r>
  <r>
    <n v="713"/>
    <s v="P713"/>
    <x v="29"/>
    <x v="3"/>
    <n v="55"/>
    <n v="55"/>
    <n v="20"/>
    <x v="0"/>
    <x v="0"/>
    <x v="0"/>
    <n v="0"/>
    <n v="1100"/>
    <x v="0"/>
    <s v="No Match"/>
  </r>
  <r>
    <n v="714"/>
    <s v="P714"/>
    <x v="64"/>
    <x v="4"/>
    <n v="86"/>
    <n v="86"/>
    <n v="1500"/>
    <x v="0"/>
    <x v="0"/>
    <x v="0"/>
    <n v="0"/>
    <n v="129000"/>
    <x v="0"/>
    <s v="No Match"/>
  </r>
  <r>
    <n v="715"/>
    <s v="P715"/>
    <x v="31"/>
    <x v="3"/>
    <n v="109"/>
    <n v="109"/>
    <n v="100"/>
    <x v="0"/>
    <x v="0"/>
    <x v="0"/>
    <n v="0"/>
    <n v="10900"/>
    <x v="0"/>
    <s v="No Match"/>
  </r>
  <r>
    <n v="716"/>
    <s v="P716"/>
    <x v="12"/>
    <x v="5"/>
    <n v="53"/>
    <n v="53"/>
    <n v="1500"/>
    <x v="0"/>
    <x v="0"/>
    <x v="0"/>
    <n v="0"/>
    <n v="79500"/>
    <x v="0"/>
    <s v="No Match"/>
  </r>
  <r>
    <n v="717"/>
    <s v="P717"/>
    <x v="67"/>
    <x v="1"/>
    <n v="128"/>
    <n v="128"/>
    <n v="150000"/>
    <x v="0"/>
    <x v="0"/>
    <x v="0"/>
    <n v="0"/>
    <n v="19200000"/>
    <x v="0"/>
    <s v="No Match"/>
  </r>
  <r>
    <n v="718"/>
    <s v="P718"/>
    <x v="14"/>
    <x v="1"/>
    <n v="37"/>
    <n v="37"/>
    <n v="6000"/>
    <x v="0"/>
    <x v="0"/>
    <x v="0"/>
    <n v="0"/>
    <n v="222000"/>
    <x v="0"/>
    <s v="No Match"/>
  </r>
  <r>
    <n v="719"/>
    <s v="P719"/>
    <x v="52"/>
    <x v="1"/>
    <n v="162"/>
    <n v="178"/>
    <n v="0"/>
    <x v="164"/>
    <x v="2"/>
    <x v="72"/>
    <n v="0"/>
    <n v="0"/>
    <x v="1"/>
    <s v="No Match"/>
  </r>
  <r>
    <n v="720"/>
    <s v="P720"/>
    <x v="39"/>
    <x v="2"/>
    <n v="34"/>
    <n v="126"/>
    <n v="1500"/>
    <x v="165"/>
    <x v="2"/>
    <x v="116"/>
    <n v="138000"/>
    <n v="51000"/>
    <x v="2"/>
    <s v="No"/>
  </r>
  <r>
    <n v="721"/>
    <s v="P721"/>
    <x v="30"/>
    <x v="1"/>
    <n v="162"/>
    <n v="61"/>
    <n v="30000"/>
    <x v="93"/>
    <x v="1"/>
    <x v="77"/>
    <n v="3030000"/>
    <n v="4860000"/>
    <x v="3"/>
    <s v="Yes"/>
  </r>
  <r>
    <n v="722"/>
    <s v="P722"/>
    <x v="10"/>
    <x v="5"/>
    <n v="107"/>
    <n v="30"/>
    <n v="500"/>
    <x v="140"/>
    <x v="1"/>
    <x v="39"/>
    <n v="38500"/>
    <n v="53500"/>
    <x v="2"/>
    <s v="No"/>
  </r>
  <r>
    <n v="723"/>
    <s v="P723"/>
    <x v="52"/>
    <x v="1"/>
    <n v="52"/>
    <n v="84"/>
    <n v="0"/>
    <x v="166"/>
    <x v="2"/>
    <x v="117"/>
    <n v="0"/>
    <n v="0"/>
    <x v="1"/>
    <s v="No Match"/>
  </r>
  <r>
    <n v="724"/>
    <s v="P724"/>
    <x v="48"/>
    <x v="1"/>
    <n v="111"/>
    <n v="181"/>
    <n v="4000"/>
    <x v="70"/>
    <x v="2"/>
    <x v="48"/>
    <n v="280000"/>
    <n v="444000"/>
    <x v="2"/>
    <s v="No"/>
  </r>
  <r>
    <n v="725"/>
    <s v="P725"/>
    <x v="49"/>
    <x v="2"/>
    <n v="158"/>
    <n v="82"/>
    <n v="800"/>
    <x v="125"/>
    <x v="1"/>
    <x v="11"/>
    <n v="60800"/>
    <n v="126400"/>
    <x v="2"/>
    <s v="No"/>
  </r>
  <r>
    <n v="726"/>
    <s v="P726"/>
    <x v="22"/>
    <x v="2"/>
    <n v="30"/>
    <n v="194"/>
    <n v="200"/>
    <x v="167"/>
    <x v="2"/>
    <x v="114"/>
    <n v="32800"/>
    <n v="6000"/>
    <x v="3"/>
    <s v="No"/>
  </r>
  <r>
    <n v="727"/>
    <s v="P727"/>
    <x v="5"/>
    <x v="3"/>
    <n v="181"/>
    <n v="173"/>
    <n v="50"/>
    <x v="35"/>
    <x v="1"/>
    <x v="34"/>
    <n v="400"/>
    <n v="9050"/>
    <x v="1"/>
    <s v="No"/>
  </r>
  <r>
    <n v="728"/>
    <s v="P728"/>
    <x v="28"/>
    <x v="4"/>
    <n v="108"/>
    <n v="177"/>
    <n v="1000"/>
    <x v="30"/>
    <x v="2"/>
    <x v="29"/>
    <n v="69000"/>
    <n v="108000"/>
    <x v="2"/>
    <s v="No"/>
  </r>
  <r>
    <n v="729"/>
    <s v="P729"/>
    <x v="49"/>
    <x v="2"/>
    <n v="94"/>
    <n v="75"/>
    <n v="800"/>
    <x v="168"/>
    <x v="1"/>
    <x v="50"/>
    <n v="15200"/>
    <n v="75200"/>
    <x v="1"/>
    <s v="No"/>
  </r>
  <r>
    <n v="730"/>
    <s v="P730"/>
    <x v="12"/>
    <x v="5"/>
    <n v="120"/>
    <n v="130"/>
    <n v="1500"/>
    <x v="92"/>
    <x v="2"/>
    <x v="76"/>
    <n v="15000"/>
    <n v="180000"/>
    <x v="1"/>
    <s v="No"/>
  </r>
  <r>
    <n v="731"/>
    <s v="P731"/>
    <x v="5"/>
    <x v="3"/>
    <n v="53"/>
    <n v="95"/>
    <n v="50"/>
    <x v="169"/>
    <x v="2"/>
    <x v="91"/>
    <n v="2100"/>
    <n v="2650"/>
    <x v="1"/>
    <s v="No"/>
  </r>
  <r>
    <n v="732"/>
    <s v="P732"/>
    <x v="10"/>
    <x v="5"/>
    <n v="172"/>
    <n v="90"/>
    <n v="500"/>
    <x v="109"/>
    <x v="1"/>
    <x v="87"/>
    <n v="41000"/>
    <n v="86000"/>
    <x v="2"/>
    <s v="No"/>
  </r>
  <r>
    <n v="733"/>
    <s v="P733"/>
    <x v="30"/>
    <x v="1"/>
    <n v="160"/>
    <n v="200"/>
    <n v="30000"/>
    <x v="170"/>
    <x v="2"/>
    <x v="1"/>
    <n v="1200000"/>
    <n v="4800000"/>
    <x v="1"/>
    <s v="Yes"/>
  </r>
  <r>
    <n v="734"/>
    <s v="P734"/>
    <x v="38"/>
    <x v="0"/>
    <n v="141"/>
    <n v="166"/>
    <n v="2000"/>
    <x v="90"/>
    <x v="2"/>
    <x v="75"/>
    <n v="50000"/>
    <n v="282000"/>
    <x v="1"/>
    <s v="No"/>
  </r>
  <r>
    <n v="735"/>
    <s v="P735"/>
    <x v="29"/>
    <x v="3"/>
    <n v="177"/>
    <n v="112"/>
    <n v="20"/>
    <x v="171"/>
    <x v="1"/>
    <x v="61"/>
    <n v="1300"/>
    <n v="3540"/>
    <x v="2"/>
    <s v="No"/>
  </r>
  <r>
    <n v="736"/>
    <s v="P736"/>
    <x v="34"/>
    <x v="0"/>
    <n v="162"/>
    <n v="117"/>
    <n v="10000"/>
    <x v="157"/>
    <x v="1"/>
    <x v="111"/>
    <n v="450000"/>
    <n v="1620000"/>
    <x v="1"/>
    <s v="No"/>
  </r>
  <r>
    <n v="737"/>
    <s v="P737"/>
    <x v="39"/>
    <x v="2"/>
    <n v="38"/>
    <n v="30"/>
    <n v="1500"/>
    <x v="35"/>
    <x v="1"/>
    <x v="34"/>
    <n v="12000"/>
    <n v="57000"/>
    <x v="1"/>
    <s v="No"/>
  </r>
  <r>
    <n v="738"/>
    <s v="P738"/>
    <x v="64"/>
    <x v="4"/>
    <n v="198"/>
    <n v="196"/>
    <n v="1500"/>
    <x v="130"/>
    <x v="1"/>
    <x v="99"/>
    <n v="3000"/>
    <n v="297000"/>
    <x v="1"/>
    <s v="No"/>
  </r>
  <r>
    <n v="739"/>
    <s v="P739"/>
    <x v="40"/>
    <x v="3"/>
    <n v="184"/>
    <n v="184"/>
    <n v="50"/>
    <x v="0"/>
    <x v="0"/>
    <x v="0"/>
    <n v="0"/>
    <n v="9200"/>
    <x v="0"/>
    <s v="No Match"/>
  </r>
  <r>
    <n v="740"/>
    <s v="P740"/>
    <x v="23"/>
    <x v="2"/>
    <n v="122"/>
    <n v="52"/>
    <n v="2000"/>
    <x v="51"/>
    <x v="1"/>
    <x v="48"/>
    <n v="140000"/>
    <n v="244000"/>
    <x v="2"/>
    <s v="No"/>
  </r>
  <r>
    <n v="741"/>
    <s v="P741"/>
    <x v="43"/>
    <x v="5"/>
    <n v="125"/>
    <n v="131"/>
    <n v="500"/>
    <x v="84"/>
    <x v="2"/>
    <x v="45"/>
    <n v="3000"/>
    <n v="62500"/>
    <x v="1"/>
    <s v="No"/>
  </r>
  <r>
    <n v="742"/>
    <s v="P742"/>
    <x v="17"/>
    <x v="3"/>
    <n v="101"/>
    <n v="116"/>
    <n v="30"/>
    <x v="95"/>
    <x v="2"/>
    <x v="78"/>
    <n v="450"/>
    <n v="3030"/>
    <x v="1"/>
    <s v="No"/>
  </r>
  <r>
    <n v="743"/>
    <s v="P743"/>
    <x v="62"/>
    <x v="2"/>
    <n v="67"/>
    <n v="55"/>
    <n v="100"/>
    <x v="150"/>
    <x v="1"/>
    <x v="109"/>
    <n v="1200"/>
    <n v="6700"/>
    <x v="1"/>
    <s v="No"/>
  </r>
  <r>
    <n v="744"/>
    <s v="P744"/>
    <x v="67"/>
    <x v="1"/>
    <n v="155"/>
    <n v="48"/>
    <n v="150000"/>
    <x v="172"/>
    <x v="1"/>
    <x v="68"/>
    <n v="16050000"/>
    <n v="23250000"/>
    <x v="3"/>
    <s v="Yes"/>
  </r>
  <r>
    <n v="745"/>
    <s v="P745"/>
    <x v="21"/>
    <x v="5"/>
    <n v="31"/>
    <n v="119"/>
    <n v="100"/>
    <x v="153"/>
    <x v="2"/>
    <x v="110"/>
    <n v="8800"/>
    <n v="3100"/>
    <x v="2"/>
    <s v="No"/>
  </r>
  <r>
    <n v="746"/>
    <s v="P746"/>
    <x v="53"/>
    <x v="4"/>
    <n v="175"/>
    <n v="44"/>
    <n v="2500"/>
    <x v="173"/>
    <x v="1"/>
    <x v="118"/>
    <n v="327500"/>
    <n v="437500"/>
    <x v="3"/>
    <s v="No"/>
  </r>
  <r>
    <n v="747"/>
    <s v="P747"/>
    <x v="60"/>
    <x v="4"/>
    <n v="172"/>
    <n v="53"/>
    <n v="5000"/>
    <x v="174"/>
    <x v="1"/>
    <x v="119"/>
    <n v="595000"/>
    <n v="860000"/>
    <x v="3"/>
    <s v="Yes"/>
  </r>
  <r>
    <n v="748"/>
    <s v="P748"/>
    <x v="5"/>
    <x v="3"/>
    <n v="81"/>
    <n v="175"/>
    <n v="50"/>
    <x v="37"/>
    <x v="2"/>
    <x v="36"/>
    <n v="4700"/>
    <n v="4050"/>
    <x v="2"/>
    <s v="No"/>
  </r>
  <r>
    <n v="749"/>
    <s v="P749"/>
    <x v="2"/>
    <x v="2"/>
    <n v="114"/>
    <n v="150"/>
    <n v="200"/>
    <x v="98"/>
    <x v="2"/>
    <x v="80"/>
    <n v="7200"/>
    <n v="22800"/>
    <x v="1"/>
    <s v="No"/>
  </r>
  <r>
    <n v="750"/>
    <s v="P750"/>
    <x v="15"/>
    <x v="0"/>
    <n v="172"/>
    <n v="138"/>
    <n v="15000"/>
    <x v="121"/>
    <x v="1"/>
    <x v="24"/>
    <n v="510000"/>
    <n v="2580000"/>
    <x v="1"/>
    <s v="Yes"/>
  </r>
  <r>
    <n v="751"/>
    <s v="P751"/>
    <x v="46"/>
    <x v="5"/>
    <n v="58"/>
    <n v="33"/>
    <n v="500"/>
    <x v="145"/>
    <x v="1"/>
    <x v="75"/>
    <n v="12500"/>
    <n v="29000"/>
    <x v="1"/>
    <s v="No"/>
  </r>
  <r>
    <n v="752"/>
    <s v="P752"/>
    <x v="2"/>
    <x v="2"/>
    <n v="195"/>
    <n v="45"/>
    <n v="200"/>
    <x v="175"/>
    <x v="1"/>
    <x v="120"/>
    <n v="30000"/>
    <n v="39000"/>
    <x v="3"/>
    <s v="No"/>
  </r>
  <r>
    <n v="753"/>
    <s v="P753"/>
    <x v="40"/>
    <x v="3"/>
    <n v="47"/>
    <n v="143"/>
    <n v="50"/>
    <x v="176"/>
    <x v="2"/>
    <x v="79"/>
    <n v="4800"/>
    <n v="2350"/>
    <x v="2"/>
    <s v="No"/>
  </r>
  <r>
    <n v="754"/>
    <s v="P754"/>
    <x v="12"/>
    <x v="5"/>
    <n v="131"/>
    <n v="148"/>
    <n v="1500"/>
    <x v="177"/>
    <x v="2"/>
    <x v="15"/>
    <n v="25500"/>
    <n v="196500"/>
    <x v="1"/>
    <s v="No"/>
  </r>
  <r>
    <n v="755"/>
    <s v="P755"/>
    <x v="6"/>
    <x v="4"/>
    <n v="59"/>
    <n v="140"/>
    <n v="2000"/>
    <x v="138"/>
    <x v="2"/>
    <x v="106"/>
    <n v="162000"/>
    <n v="118000"/>
    <x v="2"/>
    <s v="No"/>
  </r>
  <r>
    <n v="756"/>
    <s v="P756"/>
    <x v="63"/>
    <x v="2"/>
    <n v="83"/>
    <n v="122"/>
    <n v="100"/>
    <x v="2"/>
    <x v="2"/>
    <x v="2"/>
    <n v="3900"/>
    <n v="8300"/>
    <x v="1"/>
    <s v="No"/>
  </r>
  <r>
    <n v="757"/>
    <s v="P757"/>
    <x v="48"/>
    <x v="1"/>
    <n v="134"/>
    <n v="109"/>
    <n v="4000"/>
    <x v="145"/>
    <x v="1"/>
    <x v="75"/>
    <n v="100000"/>
    <n v="536000"/>
    <x v="1"/>
    <s v="No"/>
  </r>
  <r>
    <n v="758"/>
    <s v="P758"/>
    <x v="66"/>
    <x v="1"/>
    <n v="35"/>
    <n v="140"/>
    <n v="2000"/>
    <x v="178"/>
    <x v="2"/>
    <x v="102"/>
    <n v="210000"/>
    <n v="70000"/>
    <x v="3"/>
    <s v="No"/>
  </r>
  <r>
    <n v="759"/>
    <s v="P759"/>
    <x v="28"/>
    <x v="4"/>
    <n v="160"/>
    <n v="195"/>
    <n v="1000"/>
    <x v="83"/>
    <x v="2"/>
    <x v="70"/>
    <n v="35000"/>
    <n v="160000"/>
    <x v="1"/>
    <s v="No"/>
  </r>
  <r>
    <n v="760"/>
    <s v="P760"/>
    <x v="55"/>
    <x v="2"/>
    <n v="89"/>
    <n v="58"/>
    <n v="200"/>
    <x v="5"/>
    <x v="1"/>
    <x v="5"/>
    <n v="6200"/>
    <n v="17800"/>
    <x v="1"/>
    <s v="No"/>
  </r>
  <r>
    <n v="761"/>
    <s v="P761"/>
    <x v="57"/>
    <x v="2"/>
    <n v="127"/>
    <n v="185"/>
    <n v="500"/>
    <x v="79"/>
    <x v="2"/>
    <x v="17"/>
    <n v="29000"/>
    <n v="63500"/>
    <x v="2"/>
    <s v="No"/>
  </r>
  <r>
    <n v="762"/>
    <s v="P762"/>
    <x v="1"/>
    <x v="1"/>
    <n v="43"/>
    <n v="55"/>
    <n v="15000"/>
    <x v="179"/>
    <x v="2"/>
    <x v="109"/>
    <n v="180000"/>
    <n v="645000"/>
    <x v="1"/>
    <s v="No"/>
  </r>
  <r>
    <n v="763"/>
    <s v="P763"/>
    <x v="54"/>
    <x v="5"/>
    <n v="123"/>
    <n v="192"/>
    <n v="200"/>
    <x v="30"/>
    <x v="2"/>
    <x v="29"/>
    <n v="13800"/>
    <n v="24600"/>
    <x v="2"/>
    <s v="No"/>
  </r>
  <r>
    <n v="764"/>
    <s v="P764"/>
    <x v="14"/>
    <x v="1"/>
    <n v="56"/>
    <n v="105"/>
    <n v="6000"/>
    <x v="63"/>
    <x v="2"/>
    <x v="57"/>
    <n v="294000"/>
    <n v="336000"/>
    <x v="1"/>
    <s v="No"/>
  </r>
  <r>
    <n v="765"/>
    <s v="P765"/>
    <x v="48"/>
    <x v="1"/>
    <n v="168"/>
    <n v="168"/>
    <n v="4000"/>
    <x v="0"/>
    <x v="0"/>
    <x v="0"/>
    <n v="0"/>
    <n v="672000"/>
    <x v="0"/>
    <s v="No Match"/>
  </r>
  <r>
    <n v="766"/>
    <s v="P766"/>
    <x v="5"/>
    <x v="3"/>
    <n v="151"/>
    <n v="151"/>
    <n v="50"/>
    <x v="0"/>
    <x v="0"/>
    <x v="0"/>
    <n v="0"/>
    <n v="7550"/>
    <x v="0"/>
    <s v="No Match"/>
  </r>
  <r>
    <n v="767"/>
    <s v="P767"/>
    <x v="10"/>
    <x v="5"/>
    <n v="90"/>
    <n v="90"/>
    <n v="500"/>
    <x v="0"/>
    <x v="0"/>
    <x v="0"/>
    <n v="0"/>
    <n v="45000"/>
    <x v="0"/>
    <s v="No Match"/>
  </r>
  <r>
    <n v="768"/>
    <s v="P768"/>
    <x v="35"/>
    <x v="4"/>
    <n v="176"/>
    <n v="176"/>
    <n v="2000"/>
    <x v="0"/>
    <x v="0"/>
    <x v="0"/>
    <n v="0"/>
    <n v="352000"/>
    <x v="0"/>
    <s v="No Match"/>
  </r>
  <r>
    <n v="769"/>
    <s v="P769"/>
    <x v="23"/>
    <x v="2"/>
    <n v="97"/>
    <n v="97"/>
    <n v="2000"/>
    <x v="0"/>
    <x v="0"/>
    <x v="0"/>
    <n v="0"/>
    <n v="194000"/>
    <x v="0"/>
    <s v="No Match"/>
  </r>
  <r>
    <n v="770"/>
    <s v="P770"/>
    <x v="15"/>
    <x v="0"/>
    <n v="103"/>
    <n v="103"/>
    <n v="15000"/>
    <x v="0"/>
    <x v="0"/>
    <x v="0"/>
    <n v="0"/>
    <n v="1545000"/>
    <x v="0"/>
    <s v="No Match"/>
  </r>
  <r>
    <n v="771"/>
    <s v="P771"/>
    <x v="7"/>
    <x v="0"/>
    <n v="124"/>
    <n v="124"/>
    <n v="8000"/>
    <x v="0"/>
    <x v="0"/>
    <x v="0"/>
    <n v="0"/>
    <n v="992000"/>
    <x v="0"/>
    <s v="No Match"/>
  </r>
  <r>
    <n v="772"/>
    <s v="P772"/>
    <x v="7"/>
    <x v="0"/>
    <n v="59"/>
    <n v="59"/>
    <n v="8000"/>
    <x v="0"/>
    <x v="0"/>
    <x v="0"/>
    <n v="0"/>
    <n v="472000"/>
    <x v="0"/>
    <s v="No Match"/>
  </r>
  <r>
    <n v="773"/>
    <s v="P773"/>
    <x v="46"/>
    <x v="5"/>
    <n v="89"/>
    <n v="89"/>
    <n v="500"/>
    <x v="0"/>
    <x v="0"/>
    <x v="0"/>
    <n v="0"/>
    <n v="44500"/>
    <x v="0"/>
    <s v="No Match"/>
  </r>
  <r>
    <n v="774"/>
    <s v="P774"/>
    <x v="37"/>
    <x v="2"/>
    <n v="165"/>
    <n v="165"/>
    <n v="100"/>
    <x v="0"/>
    <x v="0"/>
    <x v="0"/>
    <n v="0"/>
    <n v="16500"/>
    <x v="0"/>
    <s v="No Match"/>
  </r>
  <r>
    <n v="775"/>
    <s v="P775"/>
    <x v="33"/>
    <x v="0"/>
    <n v="178"/>
    <n v="178"/>
    <n v="12000"/>
    <x v="0"/>
    <x v="0"/>
    <x v="0"/>
    <n v="0"/>
    <n v="2136000"/>
    <x v="0"/>
    <s v="No Match"/>
  </r>
  <r>
    <n v="776"/>
    <s v="P776"/>
    <x v="16"/>
    <x v="2"/>
    <n v="140"/>
    <n v="140"/>
    <n v="100"/>
    <x v="0"/>
    <x v="0"/>
    <x v="0"/>
    <n v="0"/>
    <n v="14000"/>
    <x v="0"/>
    <s v="No Match"/>
  </r>
  <r>
    <n v="777"/>
    <s v="P777"/>
    <x v="31"/>
    <x v="3"/>
    <n v="165"/>
    <n v="165"/>
    <n v="100"/>
    <x v="0"/>
    <x v="0"/>
    <x v="0"/>
    <n v="0"/>
    <n v="16500"/>
    <x v="0"/>
    <s v="No Match"/>
  </r>
  <r>
    <n v="778"/>
    <s v="P778"/>
    <x v="39"/>
    <x v="2"/>
    <n v="65"/>
    <n v="65"/>
    <n v="1500"/>
    <x v="0"/>
    <x v="0"/>
    <x v="0"/>
    <n v="0"/>
    <n v="97500"/>
    <x v="0"/>
    <s v="No Match"/>
  </r>
  <r>
    <n v="779"/>
    <s v="P779"/>
    <x v="38"/>
    <x v="0"/>
    <n v="44"/>
    <n v="44"/>
    <n v="2000"/>
    <x v="0"/>
    <x v="0"/>
    <x v="0"/>
    <n v="0"/>
    <n v="88000"/>
    <x v="0"/>
    <s v="No Match"/>
  </r>
  <r>
    <n v="780"/>
    <s v="P780"/>
    <x v="46"/>
    <x v="5"/>
    <n v="170"/>
    <n v="170"/>
    <n v="500"/>
    <x v="0"/>
    <x v="0"/>
    <x v="0"/>
    <n v="0"/>
    <n v="85000"/>
    <x v="0"/>
    <s v="No Match"/>
  </r>
  <r>
    <n v="781"/>
    <s v="P781"/>
    <x v="16"/>
    <x v="2"/>
    <n v="107"/>
    <n v="107"/>
    <n v="100"/>
    <x v="0"/>
    <x v="0"/>
    <x v="0"/>
    <n v="0"/>
    <n v="10700"/>
    <x v="0"/>
    <s v="No Match"/>
  </r>
  <r>
    <n v="782"/>
    <s v="P782"/>
    <x v="7"/>
    <x v="0"/>
    <n v="76"/>
    <n v="76"/>
    <n v="8000"/>
    <x v="0"/>
    <x v="0"/>
    <x v="0"/>
    <n v="0"/>
    <n v="608000"/>
    <x v="0"/>
    <s v="No Match"/>
  </r>
  <r>
    <n v="783"/>
    <s v="P783"/>
    <x v="12"/>
    <x v="5"/>
    <n v="110"/>
    <n v="110"/>
    <n v="1500"/>
    <x v="0"/>
    <x v="0"/>
    <x v="0"/>
    <n v="0"/>
    <n v="165000"/>
    <x v="0"/>
    <s v="No Match"/>
  </r>
  <r>
    <n v="784"/>
    <s v="P784"/>
    <x v="18"/>
    <x v="1"/>
    <n v="128"/>
    <n v="128"/>
    <n v="20000"/>
    <x v="0"/>
    <x v="0"/>
    <x v="0"/>
    <n v="0"/>
    <n v="2560000"/>
    <x v="0"/>
    <s v="No Match"/>
  </r>
  <r>
    <n v="785"/>
    <s v="P785"/>
    <x v="54"/>
    <x v="5"/>
    <n v="37"/>
    <n v="37"/>
    <n v="200"/>
    <x v="0"/>
    <x v="0"/>
    <x v="0"/>
    <n v="0"/>
    <n v="7400"/>
    <x v="0"/>
    <s v="No Match"/>
  </r>
  <r>
    <n v="786"/>
    <s v="P786"/>
    <x v="12"/>
    <x v="5"/>
    <n v="152"/>
    <n v="152"/>
    <n v="1500"/>
    <x v="0"/>
    <x v="0"/>
    <x v="0"/>
    <n v="0"/>
    <n v="228000"/>
    <x v="0"/>
    <s v="No Match"/>
  </r>
  <r>
    <n v="787"/>
    <s v="P787"/>
    <x v="28"/>
    <x v="4"/>
    <n v="70"/>
    <n v="70"/>
    <n v="1000"/>
    <x v="0"/>
    <x v="0"/>
    <x v="0"/>
    <n v="0"/>
    <n v="70000"/>
    <x v="0"/>
    <s v="No Match"/>
  </r>
  <r>
    <n v="788"/>
    <s v="P788"/>
    <x v="7"/>
    <x v="0"/>
    <n v="112"/>
    <n v="112"/>
    <n v="8000"/>
    <x v="0"/>
    <x v="0"/>
    <x v="0"/>
    <n v="0"/>
    <n v="896000"/>
    <x v="0"/>
    <s v="No Match"/>
  </r>
  <r>
    <n v="789"/>
    <s v="P789"/>
    <x v="34"/>
    <x v="0"/>
    <n v="158"/>
    <n v="158"/>
    <n v="10000"/>
    <x v="0"/>
    <x v="0"/>
    <x v="0"/>
    <n v="0"/>
    <n v="1580000"/>
    <x v="0"/>
    <s v="No Match"/>
  </r>
  <r>
    <n v="790"/>
    <s v="P790"/>
    <x v="44"/>
    <x v="1"/>
    <n v="164"/>
    <n v="164"/>
    <n v="40000"/>
    <x v="0"/>
    <x v="0"/>
    <x v="0"/>
    <n v="0"/>
    <n v="6560000"/>
    <x v="0"/>
    <s v="No Match"/>
  </r>
  <r>
    <n v="791"/>
    <s v="P791"/>
    <x v="37"/>
    <x v="2"/>
    <n v="34"/>
    <n v="34"/>
    <n v="100"/>
    <x v="0"/>
    <x v="0"/>
    <x v="0"/>
    <n v="0"/>
    <n v="3400"/>
    <x v="0"/>
    <s v="No Match"/>
  </r>
  <r>
    <n v="792"/>
    <s v="P792"/>
    <x v="35"/>
    <x v="4"/>
    <n v="120"/>
    <n v="120"/>
    <n v="2000"/>
    <x v="0"/>
    <x v="0"/>
    <x v="0"/>
    <n v="0"/>
    <n v="240000"/>
    <x v="0"/>
    <s v="No Match"/>
  </r>
  <r>
    <n v="793"/>
    <s v="P793"/>
    <x v="1"/>
    <x v="1"/>
    <n v="131"/>
    <n v="131"/>
    <n v="15000"/>
    <x v="0"/>
    <x v="0"/>
    <x v="0"/>
    <n v="0"/>
    <n v="1965000"/>
    <x v="0"/>
    <s v="No Match"/>
  </r>
  <r>
    <n v="794"/>
    <s v="P794"/>
    <x v="18"/>
    <x v="1"/>
    <n v="107"/>
    <n v="107"/>
    <n v="20000"/>
    <x v="0"/>
    <x v="0"/>
    <x v="0"/>
    <n v="0"/>
    <n v="2140000"/>
    <x v="0"/>
    <s v="No Match"/>
  </r>
  <r>
    <n v="795"/>
    <s v="P795"/>
    <x v="33"/>
    <x v="0"/>
    <n v="171"/>
    <n v="171"/>
    <n v="12000"/>
    <x v="0"/>
    <x v="0"/>
    <x v="0"/>
    <n v="0"/>
    <n v="2052000"/>
    <x v="0"/>
    <s v="No Match"/>
  </r>
  <r>
    <n v="796"/>
    <s v="P796"/>
    <x v="59"/>
    <x v="2"/>
    <n v="102"/>
    <n v="102"/>
    <n v="50"/>
    <x v="0"/>
    <x v="0"/>
    <x v="0"/>
    <n v="0"/>
    <n v="5100"/>
    <x v="0"/>
    <s v="No Match"/>
  </r>
  <r>
    <n v="797"/>
    <s v="P797"/>
    <x v="15"/>
    <x v="0"/>
    <n v="116"/>
    <n v="116"/>
    <n v="15000"/>
    <x v="0"/>
    <x v="0"/>
    <x v="0"/>
    <n v="0"/>
    <n v="1740000"/>
    <x v="0"/>
    <s v="No Match"/>
  </r>
  <r>
    <n v="798"/>
    <s v="P798"/>
    <x v="45"/>
    <x v="3"/>
    <n v="199"/>
    <n v="199"/>
    <n v="100"/>
    <x v="0"/>
    <x v="0"/>
    <x v="0"/>
    <n v="0"/>
    <n v="19900"/>
    <x v="0"/>
    <s v="No Match"/>
  </r>
  <r>
    <n v="799"/>
    <s v="P799"/>
    <x v="65"/>
    <x v="2"/>
    <n v="180"/>
    <n v="180"/>
    <n v="100"/>
    <x v="0"/>
    <x v="0"/>
    <x v="0"/>
    <n v="0"/>
    <n v="18000"/>
    <x v="0"/>
    <s v="No Match"/>
  </r>
  <r>
    <n v="800"/>
    <s v="P800"/>
    <x v="31"/>
    <x v="3"/>
    <n v="144"/>
    <n v="144"/>
    <n v="100"/>
    <x v="0"/>
    <x v="0"/>
    <x v="0"/>
    <n v="0"/>
    <n v="14400"/>
    <x v="0"/>
    <s v="No Match"/>
  </r>
  <r>
    <n v="801"/>
    <s v="P801"/>
    <x v="0"/>
    <x v="0"/>
    <n v="45"/>
    <n v="45"/>
    <n v="3000"/>
    <x v="0"/>
    <x v="0"/>
    <x v="0"/>
    <n v="0"/>
    <n v="135000"/>
    <x v="0"/>
    <s v="No Match"/>
  </r>
  <r>
    <n v="802"/>
    <s v="P802"/>
    <x v="40"/>
    <x v="3"/>
    <n v="196"/>
    <n v="196"/>
    <n v="50"/>
    <x v="0"/>
    <x v="0"/>
    <x v="0"/>
    <n v="0"/>
    <n v="9800"/>
    <x v="0"/>
    <s v="No Match"/>
  </r>
  <r>
    <n v="803"/>
    <s v="P803"/>
    <x v="40"/>
    <x v="3"/>
    <n v="197"/>
    <n v="197"/>
    <n v="50"/>
    <x v="0"/>
    <x v="0"/>
    <x v="0"/>
    <n v="0"/>
    <n v="9850"/>
    <x v="0"/>
    <s v="No Match"/>
  </r>
  <r>
    <n v="804"/>
    <s v="P804"/>
    <x v="42"/>
    <x v="1"/>
    <n v="186"/>
    <n v="186"/>
    <n v="20000"/>
    <x v="0"/>
    <x v="0"/>
    <x v="0"/>
    <n v="0"/>
    <n v="3720000"/>
    <x v="0"/>
    <s v="No Match"/>
  </r>
  <r>
    <n v="805"/>
    <s v="P805"/>
    <x v="53"/>
    <x v="4"/>
    <n v="186"/>
    <n v="186"/>
    <n v="2500"/>
    <x v="0"/>
    <x v="0"/>
    <x v="0"/>
    <n v="0"/>
    <n v="465000"/>
    <x v="0"/>
    <s v="No Match"/>
  </r>
  <r>
    <n v="806"/>
    <s v="P806"/>
    <x v="46"/>
    <x v="5"/>
    <n v="120"/>
    <n v="120"/>
    <n v="500"/>
    <x v="0"/>
    <x v="0"/>
    <x v="0"/>
    <n v="0"/>
    <n v="60000"/>
    <x v="0"/>
    <s v="No Match"/>
  </r>
  <r>
    <n v="807"/>
    <s v="P807"/>
    <x v="62"/>
    <x v="2"/>
    <n v="91"/>
    <n v="91"/>
    <n v="100"/>
    <x v="0"/>
    <x v="0"/>
    <x v="0"/>
    <n v="0"/>
    <n v="9100"/>
    <x v="0"/>
    <s v="No Match"/>
  </r>
  <r>
    <n v="808"/>
    <s v="P808"/>
    <x v="1"/>
    <x v="1"/>
    <n v="61"/>
    <n v="61"/>
    <n v="15000"/>
    <x v="0"/>
    <x v="0"/>
    <x v="0"/>
    <n v="0"/>
    <n v="915000"/>
    <x v="0"/>
    <s v="No Match"/>
  </r>
  <r>
    <n v="809"/>
    <s v="P809"/>
    <x v="64"/>
    <x v="4"/>
    <n v="85"/>
    <n v="85"/>
    <n v="1500"/>
    <x v="0"/>
    <x v="0"/>
    <x v="0"/>
    <n v="0"/>
    <n v="127500"/>
    <x v="0"/>
    <s v="No Match"/>
  </r>
  <r>
    <n v="810"/>
    <s v="P810"/>
    <x v="9"/>
    <x v="1"/>
    <n v="168"/>
    <n v="168"/>
    <n v="30000"/>
    <x v="0"/>
    <x v="0"/>
    <x v="0"/>
    <n v="0"/>
    <n v="5040000"/>
    <x v="0"/>
    <s v="No Match"/>
  </r>
  <r>
    <n v="811"/>
    <s v="P811"/>
    <x v="38"/>
    <x v="0"/>
    <n v="34"/>
    <n v="34"/>
    <n v="2000"/>
    <x v="0"/>
    <x v="0"/>
    <x v="0"/>
    <n v="0"/>
    <n v="68000"/>
    <x v="0"/>
    <s v="No Match"/>
  </r>
  <r>
    <n v="812"/>
    <s v="P812"/>
    <x v="50"/>
    <x v="3"/>
    <n v="172"/>
    <n v="172"/>
    <n v="50"/>
    <x v="0"/>
    <x v="0"/>
    <x v="0"/>
    <n v="0"/>
    <n v="8600"/>
    <x v="0"/>
    <s v="No Match"/>
  </r>
  <r>
    <n v="813"/>
    <s v="P813"/>
    <x v="20"/>
    <x v="0"/>
    <n v="181"/>
    <n v="181"/>
    <n v="5000"/>
    <x v="0"/>
    <x v="0"/>
    <x v="0"/>
    <n v="0"/>
    <n v="905000"/>
    <x v="0"/>
    <s v="No Match"/>
  </r>
  <r>
    <n v="814"/>
    <s v="P814"/>
    <x v="11"/>
    <x v="5"/>
    <n v="151"/>
    <n v="151"/>
    <n v="3000"/>
    <x v="0"/>
    <x v="0"/>
    <x v="0"/>
    <n v="0"/>
    <n v="453000"/>
    <x v="0"/>
    <s v="No Match"/>
  </r>
  <r>
    <n v="815"/>
    <s v="P815"/>
    <x v="47"/>
    <x v="1"/>
    <n v="181"/>
    <n v="181"/>
    <n v="50000"/>
    <x v="0"/>
    <x v="0"/>
    <x v="0"/>
    <n v="0"/>
    <n v="9050000"/>
    <x v="0"/>
    <s v="No Match"/>
  </r>
  <r>
    <n v="816"/>
    <s v="P816"/>
    <x v="6"/>
    <x v="4"/>
    <n v="181"/>
    <n v="181"/>
    <n v="2000"/>
    <x v="0"/>
    <x v="0"/>
    <x v="0"/>
    <n v="0"/>
    <n v="362000"/>
    <x v="0"/>
    <s v="No Match"/>
  </r>
  <r>
    <n v="817"/>
    <s v="P817"/>
    <x v="55"/>
    <x v="2"/>
    <n v="178"/>
    <n v="178"/>
    <n v="200"/>
    <x v="0"/>
    <x v="0"/>
    <x v="0"/>
    <n v="0"/>
    <n v="35600"/>
    <x v="0"/>
    <s v="No Match"/>
  </r>
  <r>
    <n v="818"/>
    <s v="P818"/>
    <x v="3"/>
    <x v="3"/>
    <n v="95"/>
    <n v="95"/>
    <n v="50"/>
    <x v="0"/>
    <x v="0"/>
    <x v="0"/>
    <n v="0"/>
    <n v="4750"/>
    <x v="0"/>
    <s v="No Match"/>
  </r>
  <r>
    <n v="819"/>
    <s v="P819"/>
    <x v="59"/>
    <x v="2"/>
    <n v="112"/>
    <n v="112"/>
    <n v="50"/>
    <x v="0"/>
    <x v="0"/>
    <x v="0"/>
    <n v="0"/>
    <n v="5600"/>
    <x v="0"/>
    <s v="No Match"/>
  </r>
  <r>
    <n v="820"/>
    <s v="P820"/>
    <x v="46"/>
    <x v="5"/>
    <n v="198"/>
    <n v="198"/>
    <n v="500"/>
    <x v="0"/>
    <x v="0"/>
    <x v="0"/>
    <n v="0"/>
    <n v="99000"/>
    <x v="0"/>
    <s v="No Match"/>
  </r>
  <r>
    <n v="821"/>
    <s v="P821"/>
    <x v="7"/>
    <x v="0"/>
    <n v="77"/>
    <n v="77"/>
    <n v="8000"/>
    <x v="0"/>
    <x v="0"/>
    <x v="0"/>
    <n v="0"/>
    <n v="616000"/>
    <x v="0"/>
    <s v="No Match"/>
  </r>
  <r>
    <n v="822"/>
    <s v="P822"/>
    <x v="54"/>
    <x v="5"/>
    <n v="121"/>
    <n v="121"/>
    <n v="200"/>
    <x v="0"/>
    <x v="0"/>
    <x v="0"/>
    <n v="0"/>
    <n v="24200"/>
    <x v="0"/>
    <s v="No Match"/>
  </r>
  <r>
    <n v="823"/>
    <s v="P823"/>
    <x v="42"/>
    <x v="1"/>
    <n v="36"/>
    <n v="36"/>
    <n v="20000"/>
    <x v="0"/>
    <x v="0"/>
    <x v="0"/>
    <n v="0"/>
    <n v="720000"/>
    <x v="0"/>
    <s v="No Match"/>
  </r>
  <r>
    <n v="824"/>
    <s v="P824"/>
    <x v="48"/>
    <x v="1"/>
    <n v="69"/>
    <n v="69"/>
    <n v="4000"/>
    <x v="0"/>
    <x v="0"/>
    <x v="0"/>
    <n v="0"/>
    <n v="276000"/>
    <x v="0"/>
    <s v="No Match"/>
  </r>
  <r>
    <n v="825"/>
    <s v="P825"/>
    <x v="42"/>
    <x v="1"/>
    <n v="160"/>
    <n v="160"/>
    <n v="20000"/>
    <x v="0"/>
    <x v="0"/>
    <x v="0"/>
    <n v="0"/>
    <n v="3200000"/>
    <x v="0"/>
    <s v="No Match"/>
  </r>
  <r>
    <n v="826"/>
    <s v="P826"/>
    <x v="19"/>
    <x v="0"/>
    <n v="51"/>
    <n v="51"/>
    <n v="5000"/>
    <x v="0"/>
    <x v="0"/>
    <x v="0"/>
    <n v="0"/>
    <n v="255000"/>
    <x v="0"/>
    <s v="No Match"/>
  </r>
  <r>
    <n v="827"/>
    <s v="P827"/>
    <x v="42"/>
    <x v="1"/>
    <n v="102"/>
    <n v="102"/>
    <n v="20000"/>
    <x v="0"/>
    <x v="0"/>
    <x v="0"/>
    <n v="0"/>
    <n v="2040000"/>
    <x v="0"/>
    <s v="No Match"/>
  </r>
  <r>
    <n v="828"/>
    <s v="P828"/>
    <x v="14"/>
    <x v="1"/>
    <n v="191"/>
    <n v="191"/>
    <n v="6000"/>
    <x v="0"/>
    <x v="0"/>
    <x v="0"/>
    <n v="0"/>
    <n v="1146000"/>
    <x v="0"/>
    <s v="No Match"/>
  </r>
  <r>
    <n v="829"/>
    <s v="P829"/>
    <x v="21"/>
    <x v="5"/>
    <n v="100"/>
    <n v="100"/>
    <n v="100"/>
    <x v="0"/>
    <x v="0"/>
    <x v="0"/>
    <n v="0"/>
    <n v="10000"/>
    <x v="0"/>
    <s v="No Match"/>
  </r>
  <r>
    <n v="830"/>
    <s v="P830"/>
    <x v="67"/>
    <x v="1"/>
    <n v="175"/>
    <n v="175"/>
    <n v="150000"/>
    <x v="0"/>
    <x v="0"/>
    <x v="0"/>
    <n v="0"/>
    <n v="26250000"/>
    <x v="0"/>
    <s v="No Match"/>
  </r>
  <r>
    <n v="831"/>
    <s v="P831"/>
    <x v="25"/>
    <x v="3"/>
    <n v="132"/>
    <n v="132"/>
    <n v="500"/>
    <x v="0"/>
    <x v="0"/>
    <x v="0"/>
    <n v="0"/>
    <n v="66000"/>
    <x v="0"/>
    <s v="No Match"/>
  </r>
  <r>
    <n v="832"/>
    <s v="P832"/>
    <x v="41"/>
    <x v="1"/>
    <n v="135"/>
    <n v="135"/>
    <n v="70000"/>
    <x v="0"/>
    <x v="0"/>
    <x v="0"/>
    <n v="0"/>
    <n v="9450000"/>
    <x v="0"/>
    <s v="No Match"/>
  </r>
  <r>
    <n v="833"/>
    <s v="P833"/>
    <x v="0"/>
    <x v="0"/>
    <n v="191"/>
    <n v="191"/>
    <n v="3000"/>
    <x v="0"/>
    <x v="0"/>
    <x v="0"/>
    <n v="0"/>
    <n v="573000"/>
    <x v="0"/>
    <s v="No Match"/>
  </r>
  <r>
    <n v="834"/>
    <s v="P834"/>
    <x v="19"/>
    <x v="0"/>
    <n v="97"/>
    <n v="97"/>
    <n v="5000"/>
    <x v="0"/>
    <x v="0"/>
    <x v="0"/>
    <n v="0"/>
    <n v="485000"/>
    <x v="0"/>
    <s v="No Match"/>
  </r>
  <r>
    <n v="835"/>
    <s v="P835"/>
    <x v="38"/>
    <x v="0"/>
    <n v="137"/>
    <n v="137"/>
    <n v="2000"/>
    <x v="0"/>
    <x v="0"/>
    <x v="0"/>
    <n v="0"/>
    <n v="274000"/>
    <x v="0"/>
    <s v="No Match"/>
  </r>
  <r>
    <n v="836"/>
    <s v="P836"/>
    <x v="55"/>
    <x v="2"/>
    <n v="61"/>
    <n v="61"/>
    <n v="200"/>
    <x v="0"/>
    <x v="0"/>
    <x v="0"/>
    <n v="0"/>
    <n v="12200"/>
    <x v="0"/>
    <s v="No Match"/>
  </r>
  <r>
    <n v="837"/>
    <s v="P837"/>
    <x v="38"/>
    <x v="0"/>
    <n v="63"/>
    <n v="63"/>
    <n v="2000"/>
    <x v="0"/>
    <x v="0"/>
    <x v="0"/>
    <n v="0"/>
    <n v="126000"/>
    <x v="0"/>
    <s v="No Match"/>
  </r>
  <r>
    <n v="838"/>
    <s v="P838"/>
    <x v="13"/>
    <x v="3"/>
    <n v="159"/>
    <n v="159"/>
    <n v="30"/>
    <x v="0"/>
    <x v="0"/>
    <x v="0"/>
    <n v="0"/>
    <n v="4770"/>
    <x v="0"/>
    <s v="No Match"/>
  </r>
  <r>
    <n v="839"/>
    <s v="P839"/>
    <x v="38"/>
    <x v="0"/>
    <n v="66"/>
    <n v="66"/>
    <n v="2000"/>
    <x v="0"/>
    <x v="0"/>
    <x v="0"/>
    <n v="0"/>
    <n v="132000"/>
    <x v="0"/>
    <s v="No Match"/>
  </r>
  <r>
    <n v="840"/>
    <s v="P840"/>
    <x v="38"/>
    <x v="0"/>
    <n v="192"/>
    <n v="192"/>
    <n v="2000"/>
    <x v="0"/>
    <x v="0"/>
    <x v="0"/>
    <n v="0"/>
    <n v="384000"/>
    <x v="0"/>
    <s v="No Match"/>
  </r>
  <r>
    <n v="841"/>
    <s v="P841"/>
    <x v="8"/>
    <x v="4"/>
    <n v="46"/>
    <n v="46"/>
    <n v="5000"/>
    <x v="0"/>
    <x v="0"/>
    <x v="0"/>
    <n v="0"/>
    <n v="230000"/>
    <x v="0"/>
    <s v="No Match"/>
  </r>
  <r>
    <n v="842"/>
    <s v="P842"/>
    <x v="8"/>
    <x v="4"/>
    <n v="49"/>
    <n v="49"/>
    <n v="5000"/>
    <x v="0"/>
    <x v="0"/>
    <x v="0"/>
    <n v="0"/>
    <n v="245000"/>
    <x v="0"/>
    <s v="No Match"/>
  </r>
  <r>
    <n v="843"/>
    <s v="P843"/>
    <x v="23"/>
    <x v="2"/>
    <n v="42"/>
    <n v="42"/>
    <n v="2000"/>
    <x v="0"/>
    <x v="0"/>
    <x v="0"/>
    <n v="0"/>
    <n v="84000"/>
    <x v="0"/>
    <s v="No Match"/>
  </r>
  <r>
    <n v="844"/>
    <s v="P844"/>
    <x v="22"/>
    <x v="2"/>
    <n v="108"/>
    <n v="108"/>
    <n v="200"/>
    <x v="0"/>
    <x v="0"/>
    <x v="0"/>
    <n v="0"/>
    <n v="21600"/>
    <x v="0"/>
    <s v="No Match"/>
  </r>
  <r>
    <n v="845"/>
    <s v="P845"/>
    <x v="9"/>
    <x v="1"/>
    <n v="78"/>
    <n v="78"/>
    <n v="30000"/>
    <x v="0"/>
    <x v="0"/>
    <x v="0"/>
    <n v="0"/>
    <n v="2340000"/>
    <x v="0"/>
    <s v="No Match"/>
  </r>
  <r>
    <n v="846"/>
    <s v="P846"/>
    <x v="42"/>
    <x v="1"/>
    <n v="57"/>
    <n v="57"/>
    <n v="20000"/>
    <x v="0"/>
    <x v="0"/>
    <x v="0"/>
    <n v="0"/>
    <n v="1140000"/>
    <x v="0"/>
    <s v="No Match"/>
  </r>
  <r>
    <n v="847"/>
    <s v="P847"/>
    <x v="20"/>
    <x v="0"/>
    <n v="189"/>
    <n v="189"/>
    <n v="5000"/>
    <x v="0"/>
    <x v="0"/>
    <x v="0"/>
    <n v="0"/>
    <n v="945000"/>
    <x v="0"/>
    <s v="No Match"/>
  </r>
  <r>
    <n v="848"/>
    <s v="P848"/>
    <x v="57"/>
    <x v="2"/>
    <n v="98"/>
    <n v="98"/>
    <n v="500"/>
    <x v="0"/>
    <x v="0"/>
    <x v="0"/>
    <n v="0"/>
    <n v="49000"/>
    <x v="0"/>
    <s v="No Match"/>
  </r>
  <r>
    <n v="849"/>
    <s v="P849"/>
    <x v="10"/>
    <x v="5"/>
    <n v="145"/>
    <n v="145"/>
    <n v="500"/>
    <x v="0"/>
    <x v="0"/>
    <x v="0"/>
    <n v="0"/>
    <n v="72500"/>
    <x v="0"/>
    <s v="No Match"/>
  </r>
  <r>
    <n v="850"/>
    <s v="P850"/>
    <x v="66"/>
    <x v="1"/>
    <n v="143"/>
    <n v="143"/>
    <n v="2000"/>
    <x v="0"/>
    <x v="0"/>
    <x v="0"/>
    <n v="0"/>
    <n v="286000"/>
    <x v="0"/>
    <s v="No Match"/>
  </r>
  <r>
    <n v="851"/>
    <s v="P851"/>
    <x v="61"/>
    <x v="3"/>
    <n v="91"/>
    <n v="91"/>
    <n v="100"/>
    <x v="0"/>
    <x v="0"/>
    <x v="0"/>
    <n v="0"/>
    <n v="9100"/>
    <x v="0"/>
    <s v="No Match"/>
  </r>
  <r>
    <n v="852"/>
    <s v="P852"/>
    <x v="47"/>
    <x v="1"/>
    <n v="184"/>
    <n v="184"/>
    <n v="50000"/>
    <x v="0"/>
    <x v="0"/>
    <x v="0"/>
    <n v="0"/>
    <n v="9200000"/>
    <x v="0"/>
    <s v="No Match"/>
  </r>
  <r>
    <n v="853"/>
    <s v="P853"/>
    <x v="40"/>
    <x v="3"/>
    <n v="196"/>
    <n v="196"/>
    <n v="50"/>
    <x v="0"/>
    <x v="0"/>
    <x v="0"/>
    <n v="0"/>
    <n v="9800"/>
    <x v="0"/>
    <s v="No Match"/>
  </r>
  <r>
    <n v="854"/>
    <s v="P854"/>
    <x v="25"/>
    <x v="3"/>
    <n v="179"/>
    <n v="179"/>
    <n v="500"/>
    <x v="0"/>
    <x v="0"/>
    <x v="0"/>
    <n v="0"/>
    <n v="89500"/>
    <x v="0"/>
    <s v="No Match"/>
  </r>
  <r>
    <n v="855"/>
    <s v="P855"/>
    <x v="0"/>
    <x v="0"/>
    <n v="135"/>
    <n v="135"/>
    <n v="3000"/>
    <x v="0"/>
    <x v="0"/>
    <x v="0"/>
    <n v="0"/>
    <n v="405000"/>
    <x v="0"/>
    <s v="No Match"/>
  </r>
  <r>
    <n v="856"/>
    <s v="P856"/>
    <x v="59"/>
    <x v="2"/>
    <n v="138"/>
    <n v="138"/>
    <n v="50"/>
    <x v="0"/>
    <x v="0"/>
    <x v="0"/>
    <n v="0"/>
    <n v="6900"/>
    <x v="0"/>
    <s v="No Match"/>
  </r>
  <r>
    <n v="857"/>
    <s v="P857"/>
    <x v="11"/>
    <x v="5"/>
    <n v="60"/>
    <n v="60"/>
    <n v="3000"/>
    <x v="0"/>
    <x v="0"/>
    <x v="0"/>
    <n v="0"/>
    <n v="180000"/>
    <x v="0"/>
    <s v="No Match"/>
  </r>
  <r>
    <n v="858"/>
    <s v="P858"/>
    <x v="65"/>
    <x v="2"/>
    <n v="187"/>
    <n v="187"/>
    <n v="100"/>
    <x v="0"/>
    <x v="0"/>
    <x v="0"/>
    <n v="0"/>
    <n v="18700"/>
    <x v="0"/>
    <s v="No Match"/>
  </r>
  <r>
    <n v="859"/>
    <s v="P859"/>
    <x v="23"/>
    <x v="2"/>
    <n v="109"/>
    <n v="109"/>
    <n v="2000"/>
    <x v="0"/>
    <x v="0"/>
    <x v="0"/>
    <n v="0"/>
    <n v="218000"/>
    <x v="0"/>
    <s v="No Match"/>
  </r>
  <r>
    <n v="860"/>
    <s v="P860"/>
    <x v="33"/>
    <x v="0"/>
    <n v="158"/>
    <n v="158"/>
    <n v="12000"/>
    <x v="0"/>
    <x v="0"/>
    <x v="0"/>
    <n v="0"/>
    <n v="1896000"/>
    <x v="0"/>
    <s v="No Match"/>
  </r>
  <r>
    <n v="861"/>
    <s v="P861"/>
    <x v="56"/>
    <x v="4"/>
    <n v="126"/>
    <n v="126"/>
    <n v="200"/>
    <x v="0"/>
    <x v="0"/>
    <x v="0"/>
    <n v="0"/>
    <n v="25200"/>
    <x v="0"/>
    <s v="No Match"/>
  </r>
  <r>
    <n v="862"/>
    <s v="P862"/>
    <x v="41"/>
    <x v="1"/>
    <n v="167"/>
    <n v="167"/>
    <n v="70000"/>
    <x v="0"/>
    <x v="0"/>
    <x v="0"/>
    <n v="0"/>
    <n v="11690000"/>
    <x v="0"/>
    <s v="No Match"/>
  </r>
  <r>
    <n v="863"/>
    <s v="P863"/>
    <x v="26"/>
    <x v="2"/>
    <n v="61"/>
    <n v="61"/>
    <n v="4500"/>
    <x v="0"/>
    <x v="0"/>
    <x v="0"/>
    <n v="0"/>
    <n v="274500"/>
    <x v="0"/>
    <s v="No Match"/>
  </r>
  <r>
    <n v="864"/>
    <s v="P864"/>
    <x v="1"/>
    <x v="1"/>
    <n v="72"/>
    <n v="72"/>
    <n v="15000"/>
    <x v="0"/>
    <x v="0"/>
    <x v="0"/>
    <n v="0"/>
    <n v="1080000"/>
    <x v="0"/>
    <s v="No Match"/>
  </r>
  <r>
    <n v="865"/>
    <s v="P865"/>
    <x v="38"/>
    <x v="0"/>
    <n v="107"/>
    <n v="107"/>
    <n v="2000"/>
    <x v="0"/>
    <x v="0"/>
    <x v="0"/>
    <n v="0"/>
    <n v="214000"/>
    <x v="0"/>
    <s v="No Match"/>
  </r>
  <r>
    <n v="866"/>
    <s v="P866"/>
    <x v="11"/>
    <x v="5"/>
    <n v="175"/>
    <n v="175"/>
    <n v="3000"/>
    <x v="0"/>
    <x v="0"/>
    <x v="0"/>
    <n v="0"/>
    <n v="525000"/>
    <x v="0"/>
    <s v="No Match"/>
  </r>
  <r>
    <n v="867"/>
    <s v="P867"/>
    <x v="46"/>
    <x v="5"/>
    <n v="88"/>
    <n v="88"/>
    <n v="500"/>
    <x v="0"/>
    <x v="0"/>
    <x v="0"/>
    <n v="0"/>
    <n v="44000"/>
    <x v="0"/>
    <s v="No Match"/>
  </r>
  <r>
    <n v="868"/>
    <s v="P868"/>
    <x v="21"/>
    <x v="5"/>
    <n v="97"/>
    <n v="97"/>
    <n v="100"/>
    <x v="0"/>
    <x v="0"/>
    <x v="0"/>
    <n v="0"/>
    <n v="9700"/>
    <x v="0"/>
    <s v="No Match"/>
  </r>
  <r>
    <n v="869"/>
    <s v="P869"/>
    <x v="46"/>
    <x v="5"/>
    <n v="138"/>
    <n v="138"/>
    <n v="500"/>
    <x v="0"/>
    <x v="0"/>
    <x v="0"/>
    <n v="0"/>
    <n v="69000"/>
    <x v="0"/>
    <s v="No Match"/>
  </r>
  <r>
    <n v="870"/>
    <s v="P870"/>
    <x v="46"/>
    <x v="5"/>
    <n v="107"/>
    <n v="107"/>
    <n v="500"/>
    <x v="0"/>
    <x v="0"/>
    <x v="0"/>
    <n v="0"/>
    <n v="53500"/>
    <x v="0"/>
    <s v="No Match"/>
  </r>
  <r>
    <n v="871"/>
    <s v="P871"/>
    <x v="38"/>
    <x v="0"/>
    <n v="102"/>
    <n v="102"/>
    <n v="2000"/>
    <x v="0"/>
    <x v="0"/>
    <x v="0"/>
    <n v="0"/>
    <n v="204000"/>
    <x v="0"/>
    <s v="No Match"/>
  </r>
  <r>
    <n v="872"/>
    <s v="P872"/>
    <x v="22"/>
    <x v="2"/>
    <n v="142"/>
    <n v="142"/>
    <n v="200"/>
    <x v="0"/>
    <x v="0"/>
    <x v="0"/>
    <n v="0"/>
    <n v="28400"/>
    <x v="0"/>
    <s v="No Match"/>
  </r>
  <r>
    <n v="873"/>
    <s v="P873"/>
    <x v="32"/>
    <x v="3"/>
    <n v="159"/>
    <n v="159"/>
    <n v="10"/>
    <x v="0"/>
    <x v="0"/>
    <x v="0"/>
    <n v="0"/>
    <n v="1590"/>
    <x v="0"/>
    <s v="No Match"/>
  </r>
  <r>
    <n v="874"/>
    <s v="P874"/>
    <x v="1"/>
    <x v="1"/>
    <n v="104"/>
    <n v="104"/>
    <n v="15000"/>
    <x v="0"/>
    <x v="0"/>
    <x v="0"/>
    <n v="0"/>
    <n v="1560000"/>
    <x v="0"/>
    <s v="No Match"/>
  </r>
  <r>
    <n v="875"/>
    <s v="P875"/>
    <x v="5"/>
    <x v="3"/>
    <n v="100"/>
    <n v="100"/>
    <n v="50"/>
    <x v="0"/>
    <x v="0"/>
    <x v="0"/>
    <n v="0"/>
    <n v="5000"/>
    <x v="0"/>
    <s v="No Match"/>
  </r>
  <r>
    <n v="876"/>
    <s v="P876"/>
    <x v="58"/>
    <x v="3"/>
    <n v="157"/>
    <n v="157"/>
    <n v="100"/>
    <x v="0"/>
    <x v="0"/>
    <x v="0"/>
    <n v="0"/>
    <n v="15700"/>
    <x v="0"/>
    <s v="No Match"/>
  </r>
  <r>
    <n v="877"/>
    <s v="P877"/>
    <x v="8"/>
    <x v="4"/>
    <n v="54"/>
    <n v="54"/>
    <n v="5000"/>
    <x v="0"/>
    <x v="0"/>
    <x v="0"/>
    <n v="0"/>
    <n v="270000"/>
    <x v="0"/>
    <s v="No Match"/>
  </r>
  <r>
    <n v="878"/>
    <s v="P878"/>
    <x v="18"/>
    <x v="1"/>
    <n v="36"/>
    <n v="36"/>
    <n v="20000"/>
    <x v="0"/>
    <x v="0"/>
    <x v="0"/>
    <n v="0"/>
    <n v="720000"/>
    <x v="0"/>
    <s v="No Match"/>
  </r>
  <r>
    <n v="879"/>
    <s v="P879"/>
    <x v="57"/>
    <x v="2"/>
    <n v="93"/>
    <n v="93"/>
    <n v="500"/>
    <x v="0"/>
    <x v="0"/>
    <x v="0"/>
    <n v="0"/>
    <n v="46500"/>
    <x v="0"/>
    <s v="No Match"/>
  </r>
  <r>
    <n v="880"/>
    <s v="P880"/>
    <x v="10"/>
    <x v="5"/>
    <n v="56"/>
    <n v="56"/>
    <n v="500"/>
    <x v="0"/>
    <x v="0"/>
    <x v="0"/>
    <n v="0"/>
    <n v="28000"/>
    <x v="0"/>
    <s v="No Match"/>
  </r>
  <r>
    <n v="881"/>
    <s v="P881"/>
    <x v="11"/>
    <x v="5"/>
    <n v="100"/>
    <n v="100"/>
    <n v="3000"/>
    <x v="0"/>
    <x v="0"/>
    <x v="0"/>
    <n v="0"/>
    <n v="300000"/>
    <x v="0"/>
    <s v="No Match"/>
  </r>
  <r>
    <n v="882"/>
    <s v="P882"/>
    <x v="67"/>
    <x v="1"/>
    <n v="184"/>
    <n v="184"/>
    <n v="150000"/>
    <x v="0"/>
    <x v="0"/>
    <x v="0"/>
    <n v="0"/>
    <n v="27600000"/>
    <x v="0"/>
    <s v="No Match"/>
  </r>
  <r>
    <n v="883"/>
    <s v="P883"/>
    <x v="23"/>
    <x v="2"/>
    <n v="136"/>
    <n v="136"/>
    <n v="2000"/>
    <x v="0"/>
    <x v="0"/>
    <x v="0"/>
    <n v="0"/>
    <n v="272000"/>
    <x v="0"/>
    <s v="No Match"/>
  </r>
  <r>
    <n v="884"/>
    <s v="P884"/>
    <x v="12"/>
    <x v="5"/>
    <n v="98"/>
    <n v="98"/>
    <n v="1500"/>
    <x v="0"/>
    <x v="0"/>
    <x v="0"/>
    <n v="0"/>
    <n v="147000"/>
    <x v="0"/>
    <s v="No Match"/>
  </r>
  <r>
    <n v="885"/>
    <s v="P885"/>
    <x v="5"/>
    <x v="3"/>
    <n v="77"/>
    <n v="77"/>
    <n v="50"/>
    <x v="0"/>
    <x v="0"/>
    <x v="0"/>
    <n v="0"/>
    <n v="3850"/>
    <x v="0"/>
    <s v="No Match"/>
  </r>
  <r>
    <n v="886"/>
    <s v="P886"/>
    <x v="36"/>
    <x v="4"/>
    <n v="136"/>
    <n v="136"/>
    <n v="3000"/>
    <x v="0"/>
    <x v="0"/>
    <x v="0"/>
    <n v="0"/>
    <n v="408000"/>
    <x v="0"/>
    <s v="No Match"/>
  </r>
  <r>
    <n v="887"/>
    <s v="P887"/>
    <x v="29"/>
    <x v="3"/>
    <n v="89"/>
    <n v="89"/>
    <n v="20"/>
    <x v="0"/>
    <x v="0"/>
    <x v="0"/>
    <n v="0"/>
    <n v="1780"/>
    <x v="0"/>
    <s v="No Match"/>
  </r>
  <r>
    <n v="888"/>
    <s v="P888"/>
    <x v="40"/>
    <x v="3"/>
    <n v="105"/>
    <n v="105"/>
    <n v="50"/>
    <x v="0"/>
    <x v="0"/>
    <x v="0"/>
    <n v="0"/>
    <n v="5250"/>
    <x v="0"/>
    <s v="No Match"/>
  </r>
  <r>
    <n v="889"/>
    <s v="P889"/>
    <x v="40"/>
    <x v="3"/>
    <n v="183"/>
    <n v="183"/>
    <n v="50"/>
    <x v="0"/>
    <x v="0"/>
    <x v="0"/>
    <n v="0"/>
    <n v="9150"/>
    <x v="0"/>
    <s v="No Match"/>
  </r>
  <r>
    <n v="890"/>
    <s v="P890"/>
    <x v="43"/>
    <x v="5"/>
    <n v="156"/>
    <n v="156"/>
    <n v="500"/>
    <x v="0"/>
    <x v="0"/>
    <x v="0"/>
    <n v="0"/>
    <n v="78000"/>
    <x v="0"/>
    <s v="No Match"/>
  </r>
  <r>
    <n v="891"/>
    <s v="P891"/>
    <x v="3"/>
    <x v="3"/>
    <n v="50"/>
    <n v="50"/>
    <n v="50"/>
    <x v="0"/>
    <x v="0"/>
    <x v="0"/>
    <n v="0"/>
    <n v="2500"/>
    <x v="0"/>
    <s v="No Match"/>
  </r>
  <r>
    <n v="892"/>
    <s v="P892"/>
    <x v="45"/>
    <x v="3"/>
    <n v="159"/>
    <n v="159"/>
    <n v="100"/>
    <x v="0"/>
    <x v="0"/>
    <x v="0"/>
    <n v="0"/>
    <n v="15900"/>
    <x v="0"/>
    <s v="No Match"/>
  </r>
  <r>
    <n v="893"/>
    <s v="P893"/>
    <x v="25"/>
    <x v="3"/>
    <n v="116"/>
    <n v="116"/>
    <n v="500"/>
    <x v="0"/>
    <x v="0"/>
    <x v="0"/>
    <n v="0"/>
    <n v="58000"/>
    <x v="0"/>
    <s v="No Match"/>
  </r>
  <r>
    <n v="894"/>
    <s v="P894"/>
    <x v="57"/>
    <x v="2"/>
    <n v="54"/>
    <n v="54"/>
    <n v="500"/>
    <x v="0"/>
    <x v="0"/>
    <x v="0"/>
    <n v="0"/>
    <n v="27000"/>
    <x v="0"/>
    <s v="No Match"/>
  </r>
  <r>
    <n v="895"/>
    <s v="P895"/>
    <x v="11"/>
    <x v="5"/>
    <n v="58"/>
    <n v="58"/>
    <n v="3000"/>
    <x v="0"/>
    <x v="0"/>
    <x v="0"/>
    <n v="0"/>
    <n v="174000"/>
    <x v="0"/>
    <s v="No Match"/>
  </r>
  <r>
    <n v="896"/>
    <s v="P896"/>
    <x v="0"/>
    <x v="0"/>
    <n v="198"/>
    <n v="198"/>
    <n v="3000"/>
    <x v="0"/>
    <x v="0"/>
    <x v="0"/>
    <n v="0"/>
    <n v="594000"/>
    <x v="0"/>
    <s v="No Match"/>
  </r>
  <r>
    <n v="897"/>
    <s v="P897"/>
    <x v="37"/>
    <x v="2"/>
    <n v="167"/>
    <n v="167"/>
    <n v="100"/>
    <x v="0"/>
    <x v="0"/>
    <x v="0"/>
    <n v="0"/>
    <n v="16700"/>
    <x v="0"/>
    <s v="No Match"/>
  </r>
  <r>
    <n v="898"/>
    <s v="P898"/>
    <x v="19"/>
    <x v="0"/>
    <n v="48"/>
    <n v="48"/>
    <n v="5000"/>
    <x v="0"/>
    <x v="0"/>
    <x v="0"/>
    <n v="0"/>
    <n v="240000"/>
    <x v="0"/>
    <s v="No Match"/>
  </r>
  <r>
    <n v="899"/>
    <s v="P899"/>
    <x v="62"/>
    <x v="2"/>
    <n v="36"/>
    <n v="36"/>
    <n v="100"/>
    <x v="0"/>
    <x v="0"/>
    <x v="0"/>
    <n v="0"/>
    <n v="3600"/>
    <x v="0"/>
    <s v="No Match"/>
  </r>
  <r>
    <n v="900"/>
    <s v="P900"/>
    <x v="41"/>
    <x v="1"/>
    <n v="43"/>
    <n v="43"/>
    <n v="70000"/>
    <x v="0"/>
    <x v="0"/>
    <x v="0"/>
    <n v="0"/>
    <n v="3010000"/>
    <x v="0"/>
    <s v="No Match"/>
  </r>
  <r>
    <n v="901"/>
    <s v="P901"/>
    <x v="22"/>
    <x v="2"/>
    <n v="35"/>
    <n v="35"/>
    <n v="200"/>
    <x v="0"/>
    <x v="0"/>
    <x v="0"/>
    <n v="0"/>
    <n v="7000"/>
    <x v="0"/>
    <s v="No Match"/>
  </r>
  <r>
    <n v="902"/>
    <s v="P902"/>
    <x v="55"/>
    <x v="2"/>
    <n v="80"/>
    <n v="80"/>
    <n v="200"/>
    <x v="0"/>
    <x v="0"/>
    <x v="0"/>
    <n v="0"/>
    <n v="16000"/>
    <x v="0"/>
    <s v="No Match"/>
  </r>
  <r>
    <n v="903"/>
    <s v="P903"/>
    <x v="56"/>
    <x v="4"/>
    <n v="72"/>
    <n v="72"/>
    <n v="200"/>
    <x v="0"/>
    <x v="0"/>
    <x v="0"/>
    <n v="0"/>
    <n v="14400"/>
    <x v="0"/>
    <s v="No Match"/>
  </r>
  <r>
    <n v="904"/>
    <s v="P904"/>
    <x v="61"/>
    <x v="3"/>
    <n v="100"/>
    <n v="100"/>
    <n v="100"/>
    <x v="0"/>
    <x v="0"/>
    <x v="0"/>
    <n v="0"/>
    <n v="10000"/>
    <x v="0"/>
    <s v="No Match"/>
  </r>
  <r>
    <n v="905"/>
    <s v="P905"/>
    <x v="17"/>
    <x v="3"/>
    <n v="74"/>
    <n v="74"/>
    <n v="30"/>
    <x v="0"/>
    <x v="0"/>
    <x v="0"/>
    <n v="0"/>
    <n v="2220"/>
    <x v="0"/>
    <s v="No Match"/>
  </r>
  <r>
    <n v="906"/>
    <s v="P906"/>
    <x v="34"/>
    <x v="0"/>
    <n v="64"/>
    <n v="64"/>
    <n v="10000"/>
    <x v="0"/>
    <x v="0"/>
    <x v="0"/>
    <n v="0"/>
    <n v="640000"/>
    <x v="0"/>
    <s v="No Match"/>
  </r>
  <r>
    <n v="907"/>
    <s v="P907"/>
    <x v="46"/>
    <x v="5"/>
    <n v="43"/>
    <n v="43"/>
    <n v="500"/>
    <x v="0"/>
    <x v="0"/>
    <x v="0"/>
    <n v="0"/>
    <n v="21500"/>
    <x v="0"/>
    <s v="No Match"/>
  </r>
  <r>
    <n v="908"/>
    <s v="P908"/>
    <x v="3"/>
    <x v="3"/>
    <n v="119"/>
    <n v="119"/>
    <n v="50"/>
    <x v="0"/>
    <x v="0"/>
    <x v="0"/>
    <n v="0"/>
    <n v="5950"/>
    <x v="0"/>
    <s v="No Match"/>
  </r>
  <r>
    <n v="909"/>
    <s v="P909"/>
    <x v="40"/>
    <x v="3"/>
    <n v="41"/>
    <n v="41"/>
    <n v="50"/>
    <x v="0"/>
    <x v="0"/>
    <x v="0"/>
    <n v="0"/>
    <n v="2050"/>
    <x v="0"/>
    <s v="No Match"/>
  </r>
  <r>
    <n v="910"/>
    <s v="P910"/>
    <x v="9"/>
    <x v="1"/>
    <n v="52"/>
    <n v="52"/>
    <n v="30000"/>
    <x v="0"/>
    <x v="0"/>
    <x v="0"/>
    <n v="0"/>
    <n v="1560000"/>
    <x v="0"/>
    <s v="No Match"/>
  </r>
  <r>
    <n v="911"/>
    <s v="P911"/>
    <x v="28"/>
    <x v="4"/>
    <n v="79"/>
    <n v="79"/>
    <n v="1000"/>
    <x v="0"/>
    <x v="0"/>
    <x v="0"/>
    <n v="0"/>
    <n v="79000"/>
    <x v="0"/>
    <s v="No Match"/>
  </r>
  <r>
    <n v="912"/>
    <s v="P912"/>
    <x v="45"/>
    <x v="3"/>
    <n v="137"/>
    <n v="137"/>
    <n v="100"/>
    <x v="0"/>
    <x v="0"/>
    <x v="0"/>
    <n v="0"/>
    <n v="13700"/>
    <x v="0"/>
    <s v="No Match"/>
  </r>
  <r>
    <n v="913"/>
    <s v="P913"/>
    <x v="46"/>
    <x v="5"/>
    <n v="174"/>
    <n v="174"/>
    <n v="500"/>
    <x v="0"/>
    <x v="0"/>
    <x v="0"/>
    <n v="0"/>
    <n v="87000"/>
    <x v="0"/>
    <s v="No Match"/>
  </r>
  <r>
    <n v="914"/>
    <s v="P914"/>
    <x v="62"/>
    <x v="2"/>
    <n v="166"/>
    <n v="166"/>
    <n v="100"/>
    <x v="0"/>
    <x v="0"/>
    <x v="0"/>
    <n v="0"/>
    <n v="16600"/>
    <x v="0"/>
    <s v="No Match"/>
  </r>
  <r>
    <n v="915"/>
    <s v="P915"/>
    <x v="59"/>
    <x v="2"/>
    <n v="178"/>
    <n v="178"/>
    <n v="50"/>
    <x v="0"/>
    <x v="0"/>
    <x v="0"/>
    <n v="0"/>
    <n v="8900"/>
    <x v="0"/>
    <s v="No Match"/>
  </r>
  <r>
    <n v="916"/>
    <s v="P916"/>
    <x v="61"/>
    <x v="3"/>
    <n v="121"/>
    <n v="121"/>
    <n v="100"/>
    <x v="0"/>
    <x v="0"/>
    <x v="0"/>
    <n v="0"/>
    <n v="12100"/>
    <x v="0"/>
    <s v="No Match"/>
  </r>
  <r>
    <n v="917"/>
    <s v="P917"/>
    <x v="33"/>
    <x v="0"/>
    <n v="71"/>
    <n v="71"/>
    <n v="12000"/>
    <x v="0"/>
    <x v="0"/>
    <x v="0"/>
    <n v="0"/>
    <n v="852000"/>
    <x v="0"/>
    <s v="No Match"/>
  </r>
  <r>
    <n v="918"/>
    <s v="P918"/>
    <x v="41"/>
    <x v="1"/>
    <n v="102"/>
    <n v="102"/>
    <n v="70000"/>
    <x v="0"/>
    <x v="0"/>
    <x v="0"/>
    <n v="0"/>
    <n v="7140000"/>
    <x v="0"/>
    <s v="No Match"/>
  </r>
  <r>
    <n v="919"/>
    <s v="P919"/>
    <x v="19"/>
    <x v="0"/>
    <n v="95"/>
    <n v="95"/>
    <n v="5000"/>
    <x v="0"/>
    <x v="0"/>
    <x v="0"/>
    <n v="0"/>
    <n v="475000"/>
    <x v="0"/>
    <s v="No Match"/>
  </r>
  <r>
    <n v="920"/>
    <s v="P920"/>
    <x v="54"/>
    <x v="5"/>
    <n v="186"/>
    <n v="186"/>
    <n v="200"/>
    <x v="0"/>
    <x v="0"/>
    <x v="0"/>
    <n v="0"/>
    <n v="37200"/>
    <x v="0"/>
    <s v="No Match"/>
  </r>
  <r>
    <n v="921"/>
    <s v="P921"/>
    <x v="43"/>
    <x v="5"/>
    <n v="125"/>
    <n v="125"/>
    <n v="500"/>
    <x v="0"/>
    <x v="0"/>
    <x v="0"/>
    <n v="0"/>
    <n v="62500"/>
    <x v="0"/>
    <s v="No Match"/>
  </r>
  <r>
    <n v="922"/>
    <s v="P922"/>
    <x v="25"/>
    <x v="3"/>
    <n v="55"/>
    <n v="55"/>
    <n v="500"/>
    <x v="0"/>
    <x v="0"/>
    <x v="0"/>
    <n v="0"/>
    <n v="27500"/>
    <x v="0"/>
    <s v="No Match"/>
  </r>
  <r>
    <n v="923"/>
    <s v="P923"/>
    <x v="10"/>
    <x v="5"/>
    <n v="186"/>
    <n v="186"/>
    <n v="500"/>
    <x v="0"/>
    <x v="0"/>
    <x v="0"/>
    <n v="0"/>
    <n v="93000"/>
    <x v="0"/>
    <s v="No Match"/>
  </r>
  <r>
    <n v="924"/>
    <s v="P924"/>
    <x v="60"/>
    <x v="4"/>
    <n v="180"/>
    <n v="180"/>
    <n v="5000"/>
    <x v="0"/>
    <x v="0"/>
    <x v="0"/>
    <n v="0"/>
    <n v="900000"/>
    <x v="0"/>
    <s v="No Match"/>
  </r>
  <r>
    <n v="925"/>
    <s v="P925"/>
    <x v="38"/>
    <x v="0"/>
    <n v="48"/>
    <n v="48"/>
    <n v="2000"/>
    <x v="0"/>
    <x v="0"/>
    <x v="0"/>
    <n v="0"/>
    <n v="96000"/>
    <x v="0"/>
    <s v="No Match"/>
  </r>
  <r>
    <n v="926"/>
    <s v="P926"/>
    <x v="24"/>
    <x v="5"/>
    <n v="193"/>
    <n v="193"/>
    <n v="200"/>
    <x v="0"/>
    <x v="0"/>
    <x v="0"/>
    <n v="0"/>
    <n v="38600"/>
    <x v="0"/>
    <s v="No Match"/>
  </r>
  <r>
    <n v="927"/>
    <s v="P927"/>
    <x v="17"/>
    <x v="3"/>
    <n v="119"/>
    <n v="119"/>
    <n v="30"/>
    <x v="0"/>
    <x v="0"/>
    <x v="0"/>
    <n v="0"/>
    <n v="3570"/>
    <x v="0"/>
    <s v="No Match"/>
  </r>
  <r>
    <n v="928"/>
    <s v="P928"/>
    <x v="11"/>
    <x v="5"/>
    <n v="90"/>
    <n v="90"/>
    <n v="3000"/>
    <x v="0"/>
    <x v="0"/>
    <x v="0"/>
    <n v="0"/>
    <n v="270000"/>
    <x v="0"/>
    <s v="No Match"/>
  </r>
  <r>
    <n v="929"/>
    <s v="P929"/>
    <x v="67"/>
    <x v="1"/>
    <n v="32"/>
    <n v="32"/>
    <n v="150000"/>
    <x v="0"/>
    <x v="0"/>
    <x v="0"/>
    <n v="0"/>
    <n v="4800000"/>
    <x v="0"/>
    <s v="No Match"/>
  </r>
  <r>
    <n v="930"/>
    <s v="P930"/>
    <x v="30"/>
    <x v="1"/>
    <n v="48"/>
    <n v="48"/>
    <n v="30000"/>
    <x v="0"/>
    <x v="0"/>
    <x v="0"/>
    <n v="0"/>
    <n v="1440000"/>
    <x v="0"/>
    <s v="No Match"/>
  </r>
  <r>
    <n v="931"/>
    <s v="P931"/>
    <x v="1"/>
    <x v="1"/>
    <n v="108"/>
    <n v="108"/>
    <n v="15000"/>
    <x v="0"/>
    <x v="0"/>
    <x v="0"/>
    <n v="0"/>
    <n v="1620000"/>
    <x v="0"/>
    <s v="No Match"/>
  </r>
  <r>
    <n v="932"/>
    <s v="P932"/>
    <x v="10"/>
    <x v="5"/>
    <n v="166"/>
    <n v="166"/>
    <n v="500"/>
    <x v="0"/>
    <x v="0"/>
    <x v="0"/>
    <n v="0"/>
    <n v="83000"/>
    <x v="0"/>
    <s v="No Match"/>
  </r>
  <r>
    <n v="933"/>
    <s v="P933"/>
    <x v="37"/>
    <x v="2"/>
    <n v="117"/>
    <n v="117"/>
    <n v="100"/>
    <x v="0"/>
    <x v="0"/>
    <x v="0"/>
    <n v="0"/>
    <n v="11700"/>
    <x v="0"/>
    <s v="No Match"/>
  </r>
  <r>
    <n v="934"/>
    <s v="P934"/>
    <x v="65"/>
    <x v="2"/>
    <n v="187"/>
    <n v="187"/>
    <n v="100"/>
    <x v="0"/>
    <x v="0"/>
    <x v="0"/>
    <n v="0"/>
    <n v="18700"/>
    <x v="0"/>
    <s v="No Match"/>
  </r>
  <r>
    <n v="935"/>
    <s v="P935"/>
    <x v="6"/>
    <x v="4"/>
    <n v="112"/>
    <n v="112"/>
    <n v="2000"/>
    <x v="0"/>
    <x v="0"/>
    <x v="0"/>
    <n v="0"/>
    <n v="224000"/>
    <x v="0"/>
    <s v="No Match"/>
  </r>
  <r>
    <n v="936"/>
    <s v="P936"/>
    <x v="46"/>
    <x v="5"/>
    <n v="70"/>
    <n v="70"/>
    <n v="500"/>
    <x v="0"/>
    <x v="0"/>
    <x v="0"/>
    <n v="0"/>
    <n v="35000"/>
    <x v="0"/>
    <s v="No Match"/>
  </r>
  <r>
    <n v="937"/>
    <s v="P937"/>
    <x v="0"/>
    <x v="0"/>
    <n v="159"/>
    <n v="159"/>
    <n v="3000"/>
    <x v="0"/>
    <x v="0"/>
    <x v="0"/>
    <n v="0"/>
    <n v="477000"/>
    <x v="0"/>
    <s v="No Match"/>
  </r>
  <r>
    <n v="938"/>
    <s v="P938"/>
    <x v="36"/>
    <x v="4"/>
    <n v="56"/>
    <n v="56"/>
    <n v="3000"/>
    <x v="0"/>
    <x v="0"/>
    <x v="0"/>
    <n v="0"/>
    <n v="168000"/>
    <x v="0"/>
    <s v="No Match"/>
  </r>
  <r>
    <n v="939"/>
    <s v="P939"/>
    <x v="58"/>
    <x v="3"/>
    <n v="54"/>
    <n v="54"/>
    <n v="100"/>
    <x v="0"/>
    <x v="0"/>
    <x v="0"/>
    <n v="0"/>
    <n v="5400"/>
    <x v="0"/>
    <s v="No Match"/>
  </r>
  <r>
    <n v="940"/>
    <s v="P940"/>
    <x v="14"/>
    <x v="1"/>
    <n v="106"/>
    <n v="106"/>
    <n v="6000"/>
    <x v="0"/>
    <x v="0"/>
    <x v="0"/>
    <n v="0"/>
    <n v="636000"/>
    <x v="0"/>
    <s v="No Match"/>
  </r>
  <r>
    <n v="941"/>
    <s v="P941"/>
    <x v="51"/>
    <x v="4"/>
    <n v="100"/>
    <n v="100"/>
    <n v="4500"/>
    <x v="0"/>
    <x v="0"/>
    <x v="0"/>
    <n v="0"/>
    <n v="450000"/>
    <x v="0"/>
    <s v="No Match"/>
  </r>
  <r>
    <n v="942"/>
    <s v="P942"/>
    <x v="52"/>
    <x v="1"/>
    <n v="194"/>
    <n v="194"/>
    <n v="0"/>
    <x v="0"/>
    <x v="0"/>
    <x v="0"/>
    <n v="0"/>
    <n v="0"/>
    <x v="0"/>
    <s v="No Match"/>
  </r>
  <r>
    <n v="943"/>
    <s v="P943"/>
    <x v="25"/>
    <x v="3"/>
    <n v="84"/>
    <n v="84"/>
    <n v="500"/>
    <x v="0"/>
    <x v="0"/>
    <x v="0"/>
    <n v="0"/>
    <n v="42000"/>
    <x v="0"/>
    <s v="No Match"/>
  </r>
  <r>
    <n v="944"/>
    <s v="P944"/>
    <x v="46"/>
    <x v="5"/>
    <n v="102"/>
    <n v="102"/>
    <n v="500"/>
    <x v="0"/>
    <x v="0"/>
    <x v="0"/>
    <n v="0"/>
    <n v="51000"/>
    <x v="0"/>
    <s v="No Match"/>
  </r>
  <r>
    <n v="945"/>
    <s v="P945"/>
    <x v="31"/>
    <x v="3"/>
    <n v="189"/>
    <n v="189"/>
    <n v="100"/>
    <x v="0"/>
    <x v="0"/>
    <x v="0"/>
    <n v="0"/>
    <n v="18900"/>
    <x v="0"/>
    <s v="No Match"/>
  </r>
  <r>
    <n v="946"/>
    <s v="P946"/>
    <x v="51"/>
    <x v="4"/>
    <n v="72"/>
    <n v="72"/>
    <n v="4500"/>
    <x v="0"/>
    <x v="0"/>
    <x v="0"/>
    <n v="0"/>
    <n v="324000"/>
    <x v="0"/>
    <s v="No Match"/>
  </r>
  <r>
    <n v="947"/>
    <s v="P947"/>
    <x v="37"/>
    <x v="2"/>
    <n v="171"/>
    <n v="171"/>
    <n v="100"/>
    <x v="0"/>
    <x v="0"/>
    <x v="0"/>
    <n v="0"/>
    <n v="17100"/>
    <x v="0"/>
    <s v="No Match"/>
  </r>
  <r>
    <n v="948"/>
    <s v="P948"/>
    <x v="17"/>
    <x v="3"/>
    <n v="161"/>
    <n v="161"/>
    <n v="30"/>
    <x v="0"/>
    <x v="0"/>
    <x v="0"/>
    <n v="0"/>
    <n v="4830"/>
    <x v="0"/>
    <s v="No Match"/>
  </r>
  <r>
    <n v="949"/>
    <s v="P949"/>
    <x v="3"/>
    <x v="3"/>
    <n v="74"/>
    <n v="74"/>
    <n v="50"/>
    <x v="0"/>
    <x v="0"/>
    <x v="0"/>
    <n v="0"/>
    <n v="3700"/>
    <x v="0"/>
    <s v="No Match"/>
  </r>
  <r>
    <n v="950"/>
    <s v="P950"/>
    <x v="44"/>
    <x v="1"/>
    <n v="157"/>
    <n v="157"/>
    <n v="40000"/>
    <x v="0"/>
    <x v="0"/>
    <x v="0"/>
    <n v="0"/>
    <n v="6280000"/>
    <x v="0"/>
    <s v="No Match"/>
  </r>
  <r>
    <n v="951"/>
    <s v="P951"/>
    <x v="10"/>
    <x v="5"/>
    <n v="96"/>
    <n v="96"/>
    <n v="500"/>
    <x v="0"/>
    <x v="0"/>
    <x v="0"/>
    <n v="0"/>
    <n v="48000"/>
    <x v="0"/>
    <s v="No Match"/>
  </r>
  <r>
    <n v="952"/>
    <s v="P952"/>
    <x v="6"/>
    <x v="4"/>
    <n v="54"/>
    <n v="54"/>
    <n v="2000"/>
    <x v="0"/>
    <x v="0"/>
    <x v="0"/>
    <n v="0"/>
    <n v="108000"/>
    <x v="0"/>
    <s v="No Match"/>
  </r>
  <r>
    <n v="953"/>
    <s v="P953"/>
    <x v="68"/>
    <x v="2"/>
    <n v="66"/>
    <n v="66"/>
    <n v="15000"/>
    <x v="0"/>
    <x v="0"/>
    <x v="0"/>
    <n v="0"/>
    <n v="990000"/>
    <x v="0"/>
    <s v="No Match"/>
  </r>
  <r>
    <n v="954"/>
    <s v="P954"/>
    <x v="14"/>
    <x v="1"/>
    <n v="129"/>
    <n v="129"/>
    <n v="6000"/>
    <x v="0"/>
    <x v="0"/>
    <x v="0"/>
    <n v="0"/>
    <n v="774000"/>
    <x v="0"/>
    <s v="No Match"/>
  </r>
  <r>
    <n v="955"/>
    <s v="P955"/>
    <x v="19"/>
    <x v="0"/>
    <n v="153"/>
    <n v="153"/>
    <n v="5000"/>
    <x v="0"/>
    <x v="0"/>
    <x v="0"/>
    <n v="0"/>
    <n v="765000"/>
    <x v="0"/>
    <s v="No Match"/>
  </r>
  <r>
    <n v="956"/>
    <s v="P956"/>
    <x v="64"/>
    <x v="4"/>
    <n v="84"/>
    <n v="84"/>
    <n v="1500"/>
    <x v="0"/>
    <x v="0"/>
    <x v="0"/>
    <n v="0"/>
    <n v="126000"/>
    <x v="0"/>
    <s v="No Match"/>
  </r>
  <r>
    <n v="957"/>
    <s v="P957"/>
    <x v="58"/>
    <x v="3"/>
    <n v="115"/>
    <n v="115"/>
    <n v="100"/>
    <x v="0"/>
    <x v="0"/>
    <x v="0"/>
    <n v="0"/>
    <n v="11500"/>
    <x v="0"/>
    <s v="No Match"/>
  </r>
  <r>
    <n v="958"/>
    <s v="P958"/>
    <x v="7"/>
    <x v="0"/>
    <n v="118"/>
    <n v="118"/>
    <n v="8000"/>
    <x v="0"/>
    <x v="0"/>
    <x v="0"/>
    <n v="0"/>
    <n v="944000"/>
    <x v="0"/>
    <s v="No Match"/>
  </r>
  <r>
    <n v="959"/>
    <s v="P959"/>
    <x v="16"/>
    <x v="2"/>
    <n v="173"/>
    <n v="173"/>
    <n v="100"/>
    <x v="0"/>
    <x v="0"/>
    <x v="0"/>
    <n v="0"/>
    <n v="17300"/>
    <x v="0"/>
    <s v="No Match"/>
  </r>
  <r>
    <n v="960"/>
    <s v="P960"/>
    <x v="18"/>
    <x v="1"/>
    <n v="159"/>
    <n v="159"/>
    <n v="20000"/>
    <x v="0"/>
    <x v="0"/>
    <x v="0"/>
    <n v="0"/>
    <n v="3180000"/>
    <x v="0"/>
    <s v="No Match"/>
  </r>
  <r>
    <n v="961"/>
    <s v="P961"/>
    <x v="0"/>
    <x v="0"/>
    <n v="50"/>
    <n v="50"/>
    <n v="3000"/>
    <x v="0"/>
    <x v="0"/>
    <x v="0"/>
    <n v="0"/>
    <n v="150000"/>
    <x v="0"/>
    <s v="No Match"/>
  </r>
  <r>
    <n v="962"/>
    <s v="P962"/>
    <x v="5"/>
    <x v="3"/>
    <n v="79"/>
    <n v="79"/>
    <n v="50"/>
    <x v="0"/>
    <x v="0"/>
    <x v="0"/>
    <n v="0"/>
    <n v="3950"/>
    <x v="0"/>
    <s v="No Match"/>
  </r>
  <r>
    <n v="963"/>
    <s v="P963"/>
    <x v="55"/>
    <x v="2"/>
    <n v="118"/>
    <n v="118"/>
    <n v="200"/>
    <x v="0"/>
    <x v="0"/>
    <x v="0"/>
    <n v="0"/>
    <n v="23600"/>
    <x v="0"/>
    <s v="No Match"/>
  </r>
  <r>
    <n v="964"/>
    <s v="P964"/>
    <x v="63"/>
    <x v="2"/>
    <n v="189"/>
    <n v="189"/>
    <n v="100"/>
    <x v="0"/>
    <x v="0"/>
    <x v="0"/>
    <n v="0"/>
    <n v="18900"/>
    <x v="0"/>
    <s v="No Match"/>
  </r>
  <r>
    <n v="965"/>
    <s v="P965"/>
    <x v="43"/>
    <x v="5"/>
    <n v="171"/>
    <n v="171"/>
    <n v="500"/>
    <x v="0"/>
    <x v="0"/>
    <x v="0"/>
    <n v="0"/>
    <n v="85500"/>
    <x v="0"/>
    <s v="No Match"/>
  </r>
  <r>
    <n v="966"/>
    <s v="P966"/>
    <x v="66"/>
    <x v="1"/>
    <n v="30"/>
    <n v="30"/>
    <n v="2000"/>
    <x v="0"/>
    <x v="0"/>
    <x v="0"/>
    <n v="0"/>
    <n v="60000"/>
    <x v="0"/>
    <s v="No Match"/>
  </r>
  <r>
    <n v="967"/>
    <s v="P967"/>
    <x v="4"/>
    <x v="4"/>
    <n v="149"/>
    <n v="149"/>
    <n v="5000"/>
    <x v="0"/>
    <x v="0"/>
    <x v="0"/>
    <n v="0"/>
    <n v="745000"/>
    <x v="0"/>
    <s v="No Match"/>
  </r>
  <r>
    <n v="968"/>
    <s v="P968"/>
    <x v="44"/>
    <x v="1"/>
    <n v="115"/>
    <n v="115"/>
    <n v="40000"/>
    <x v="0"/>
    <x v="0"/>
    <x v="0"/>
    <n v="0"/>
    <n v="4600000"/>
    <x v="0"/>
    <s v="No Match"/>
  </r>
  <r>
    <n v="969"/>
    <s v="P969"/>
    <x v="24"/>
    <x v="5"/>
    <n v="185"/>
    <n v="185"/>
    <n v="200"/>
    <x v="0"/>
    <x v="0"/>
    <x v="0"/>
    <n v="0"/>
    <n v="37000"/>
    <x v="0"/>
    <s v="No Match"/>
  </r>
  <r>
    <n v="970"/>
    <s v="P970"/>
    <x v="15"/>
    <x v="0"/>
    <n v="87"/>
    <n v="87"/>
    <n v="15000"/>
    <x v="0"/>
    <x v="0"/>
    <x v="0"/>
    <n v="0"/>
    <n v="1305000"/>
    <x v="0"/>
    <s v="No Match"/>
  </r>
  <r>
    <n v="971"/>
    <s v="P971"/>
    <x v="58"/>
    <x v="3"/>
    <n v="167"/>
    <n v="167"/>
    <n v="100"/>
    <x v="0"/>
    <x v="0"/>
    <x v="0"/>
    <n v="0"/>
    <n v="16700"/>
    <x v="0"/>
    <s v="No Match"/>
  </r>
  <r>
    <n v="972"/>
    <s v="P972"/>
    <x v="19"/>
    <x v="0"/>
    <n v="93"/>
    <n v="93"/>
    <n v="5000"/>
    <x v="0"/>
    <x v="0"/>
    <x v="0"/>
    <n v="0"/>
    <n v="465000"/>
    <x v="0"/>
    <s v="No Match"/>
  </r>
  <r>
    <n v="973"/>
    <s v="P973"/>
    <x v="5"/>
    <x v="3"/>
    <n v="176"/>
    <n v="176"/>
    <n v="50"/>
    <x v="0"/>
    <x v="0"/>
    <x v="0"/>
    <n v="0"/>
    <n v="8800"/>
    <x v="0"/>
    <s v="No Match"/>
  </r>
  <r>
    <n v="974"/>
    <s v="P974"/>
    <x v="15"/>
    <x v="0"/>
    <n v="139"/>
    <n v="139"/>
    <n v="15000"/>
    <x v="0"/>
    <x v="0"/>
    <x v="0"/>
    <n v="0"/>
    <n v="2085000"/>
    <x v="0"/>
    <s v="No Match"/>
  </r>
  <r>
    <n v="975"/>
    <s v="P975"/>
    <x v="24"/>
    <x v="5"/>
    <n v="142"/>
    <n v="142"/>
    <n v="200"/>
    <x v="0"/>
    <x v="0"/>
    <x v="0"/>
    <n v="0"/>
    <n v="28400"/>
    <x v="0"/>
    <s v="No Match"/>
  </r>
  <r>
    <n v="976"/>
    <s v="P976"/>
    <x v="0"/>
    <x v="0"/>
    <n v="179"/>
    <n v="179"/>
    <n v="3000"/>
    <x v="0"/>
    <x v="0"/>
    <x v="0"/>
    <n v="0"/>
    <n v="537000"/>
    <x v="0"/>
    <s v="No Match"/>
  </r>
  <r>
    <n v="977"/>
    <s v="P977"/>
    <x v="34"/>
    <x v="0"/>
    <n v="50"/>
    <n v="50"/>
    <n v="10000"/>
    <x v="0"/>
    <x v="0"/>
    <x v="0"/>
    <n v="0"/>
    <n v="500000"/>
    <x v="0"/>
    <s v="No Match"/>
  </r>
  <r>
    <n v="978"/>
    <s v="P978"/>
    <x v="7"/>
    <x v="0"/>
    <n v="59"/>
    <n v="59"/>
    <n v="8000"/>
    <x v="0"/>
    <x v="0"/>
    <x v="0"/>
    <n v="0"/>
    <n v="472000"/>
    <x v="0"/>
    <s v="No Match"/>
  </r>
  <r>
    <n v="979"/>
    <s v="P979"/>
    <x v="16"/>
    <x v="2"/>
    <n v="96"/>
    <n v="96"/>
    <n v="100"/>
    <x v="0"/>
    <x v="0"/>
    <x v="0"/>
    <n v="0"/>
    <n v="9600"/>
    <x v="0"/>
    <s v="No Match"/>
  </r>
  <r>
    <n v="980"/>
    <s v="P980"/>
    <x v="8"/>
    <x v="4"/>
    <n v="91"/>
    <n v="91"/>
    <n v="5000"/>
    <x v="0"/>
    <x v="0"/>
    <x v="0"/>
    <n v="0"/>
    <n v="455000"/>
    <x v="0"/>
    <s v="No Match"/>
  </r>
  <r>
    <n v="981"/>
    <s v="P981"/>
    <x v="43"/>
    <x v="5"/>
    <n v="93"/>
    <n v="93"/>
    <n v="500"/>
    <x v="0"/>
    <x v="0"/>
    <x v="0"/>
    <n v="0"/>
    <n v="46500"/>
    <x v="0"/>
    <s v="No Match"/>
  </r>
  <r>
    <n v="982"/>
    <s v="P982"/>
    <x v="14"/>
    <x v="1"/>
    <n v="107"/>
    <n v="107"/>
    <n v="6000"/>
    <x v="0"/>
    <x v="0"/>
    <x v="0"/>
    <n v="0"/>
    <n v="642000"/>
    <x v="0"/>
    <s v="No Match"/>
  </r>
  <r>
    <n v="983"/>
    <s v="P983"/>
    <x v="29"/>
    <x v="3"/>
    <n v="120"/>
    <n v="120"/>
    <n v="20"/>
    <x v="0"/>
    <x v="0"/>
    <x v="0"/>
    <n v="0"/>
    <n v="2400"/>
    <x v="0"/>
    <s v="No Match"/>
  </r>
  <r>
    <n v="984"/>
    <s v="P984"/>
    <x v="7"/>
    <x v="0"/>
    <n v="127"/>
    <n v="127"/>
    <n v="8000"/>
    <x v="0"/>
    <x v="0"/>
    <x v="0"/>
    <n v="0"/>
    <n v="1016000"/>
    <x v="0"/>
    <s v="No Match"/>
  </r>
  <r>
    <n v="985"/>
    <s v="P985"/>
    <x v="50"/>
    <x v="3"/>
    <n v="181"/>
    <n v="181"/>
    <n v="50"/>
    <x v="0"/>
    <x v="0"/>
    <x v="0"/>
    <n v="0"/>
    <n v="9050"/>
    <x v="0"/>
    <s v="No Match"/>
  </r>
  <r>
    <n v="986"/>
    <s v="P986"/>
    <x v="42"/>
    <x v="1"/>
    <n v="184"/>
    <n v="184"/>
    <n v="20000"/>
    <x v="0"/>
    <x v="0"/>
    <x v="0"/>
    <n v="0"/>
    <n v="3680000"/>
    <x v="0"/>
    <s v="No Match"/>
  </r>
  <r>
    <n v="987"/>
    <s v="P987"/>
    <x v="54"/>
    <x v="5"/>
    <n v="197"/>
    <n v="197"/>
    <n v="200"/>
    <x v="0"/>
    <x v="0"/>
    <x v="0"/>
    <n v="0"/>
    <n v="39400"/>
    <x v="0"/>
    <s v="No Match"/>
  </r>
  <r>
    <n v="988"/>
    <s v="P988"/>
    <x v="22"/>
    <x v="2"/>
    <n v="77"/>
    <n v="77"/>
    <n v="200"/>
    <x v="0"/>
    <x v="0"/>
    <x v="0"/>
    <n v="0"/>
    <n v="15400"/>
    <x v="0"/>
    <s v="No Match"/>
  </r>
  <r>
    <n v="989"/>
    <s v="P989"/>
    <x v="59"/>
    <x v="2"/>
    <n v="36"/>
    <n v="36"/>
    <n v="50"/>
    <x v="0"/>
    <x v="0"/>
    <x v="0"/>
    <n v="0"/>
    <n v="1800"/>
    <x v="0"/>
    <s v="No Match"/>
  </r>
  <r>
    <n v="990"/>
    <s v="P990"/>
    <x v="66"/>
    <x v="1"/>
    <n v="91"/>
    <n v="91"/>
    <n v="2000"/>
    <x v="0"/>
    <x v="0"/>
    <x v="0"/>
    <n v="0"/>
    <n v="182000"/>
    <x v="0"/>
    <s v="No Match"/>
  </r>
  <r>
    <n v="991"/>
    <s v="P991"/>
    <x v="49"/>
    <x v="2"/>
    <n v="105"/>
    <n v="105"/>
    <n v="800"/>
    <x v="0"/>
    <x v="0"/>
    <x v="0"/>
    <n v="0"/>
    <n v="84000"/>
    <x v="0"/>
    <s v="No Match"/>
  </r>
  <r>
    <n v="992"/>
    <s v="P992"/>
    <x v="10"/>
    <x v="5"/>
    <n v="72"/>
    <n v="72"/>
    <n v="500"/>
    <x v="0"/>
    <x v="0"/>
    <x v="0"/>
    <n v="0"/>
    <n v="36000"/>
    <x v="0"/>
    <s v="No Match"/>
  </r>
  <r>
    <n v="993"/>
    <s v="P993"/>
    <x v="65"/>
    <x v="2"/>
    <n v="128"/>
    <n v="128"/>
    <n v="100"/>
    <x v="0"/>
    <x v="0"/>
    <x v="0"/>
    <n v="0"/>
    <n v="12800"/>
    <x v="0"/>
    <s v="No Match"/>
  </r>
  <r>
    <n v="994"/>
    <s v="P994"/>
    <x v="40"/>
    <x v="3"/>
    <n v="184"/>
    <n v="184"/>
    <n v="50"/>
    <x v="0"/>
    <x v="0"/>
    <x v="0"/>
    <n v="0"/>
    <n v="9200"/>
    <x v="0"/>
    <s v="No Match"/>
  </r>
  <r>
    <n v="995"/>
    <s v="P995"/>
    <x v="11"/>
    <x v="5"/>
    <n v="139"/>
    <n v="139"/>
    <n v="3000"/>
    <x v="0"/>
    <x v="0"/>
    <x v="0"/>
    <n v="0"/>
    <n v="417000"/>
    <x v="0"/>
    <s v="No Match"/>
  </r>
  <r>
    <n v="996"/>
    <s v="P996"/>
    <x v="7"/>
    <x v="0"/>
    <n v="190"/>
    <n v="190"/>
    <n v="8000"/>
    <x v="0"/>
    <x v="0"/>
    <x v="0"/>
    <n v="0"/>
    <n v="1520000"/>
    <x v="0"/>
    <s v="No Match"/>
  </r>
  <r>
    <n v="997"/>
    <s v="P997"/>
    <x v="6"/>
    <x v="4"/>
    <n v="45"/>
    <n v="45"/>
    <n v="2000"/>
    <x v="0"/>
    <x v="0"/>
    <x v="0"/>
    <n v="0"/>
    <n v="90000"/>
    <x v="0"/>
    <s v="No Match"/>
  </r>
  <r>
    <n v="998"/>
    <s v="P998"/>
    <x v="40"/>
    <x v="3"/>
    <n v="99"/>
    <n v="99"/>
    <n v="50"/>
    <x v="0"/>
    <x v="0"/>
    <x v="0"/>
    <n v="0"/>
    <n v="4950"/>
    <x v="0"/>
    <s v="No Match"/>
  </r>
  <r>
    <n v="999"/>
    <s v="P999"/>
    <x v="31"/>
    <x v="3"/>
    <n v="47"/>
    <n v="47"/>
    <n v="100"/>
    <x v="0"/>
    <x v="0"/>
    <x v="0"/>
    <n v="0"/>
    <n v="4700"/>
    <x v="0"/>
    <s v="No Match"/>
  </r>
  <r>
    <n v="1000"/>
    <s v="P1000"/>
    <x v="11"/>
    <x v="5"/>
    <n v="53"/>
    <n v="53"/>
    <n v="3000"/>
    <x v="0"/>
    <x v="0"/>
    <x v="0"/>
    <n v="0"/>
    <n v="159000"/>
    <x v="0"/>
    <s v="No 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197C8-D5F5-4916-810F-9BE69835B56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C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Sr.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EE986-61A3-469B-8CF3-14B72413518A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T5:U16" firstHeaderRow="1" firstDataRow="1" firstDataCol="1" rowPageCount="1" colPageCount="1"/>
  <pivotFields count="14">
    <pivotField showAll="0"/>
    <pivotField showAll="0"/>
    <pivotField axis="axisRow" showAll="0" measureFilter="1" sortType="descending">
      <items count="70">
        <item x="47"/>
        <item x="53"/>
        <item x="9"/>
        <item x="57"/>
        <item x="0"/>
        <item x="51"/>
        <item x="41"/>
        <item x="1"/>
        <item x="5"/>
        <item x="12"/>
        <item x="19"/>
        <item x="40"/>
        <item x="17"/>
        <item x="52"/>
        <item x="33"/>
        <item x="38"/>
        <item x="34"/>
        <item x="11"/>
        <item x="27"/>
        <item x="49"/>
        <item x="45"/>
        <item x="28"/>
        <item x="61"/>
        <item x="44"/>
        <item x="22"/>
        <item x="67"/>
        <item x="26"/>
        <item x="25"/>
        <item x="54"/>
        <item x="48"/>
        <item x="35"/>
        <item x="8"/>
        <item x="6"/>
        <item x="36"/>
        <item x="2"/>
        <item x="31"/>
        <item x="58"/>
        <item x="16"/>
        <item x="55"/>
        <item x="10"/>
        <item x="4"/>
        <item x="32"/>
        <item x="13"/>
        <item x="59"/>
        <item x="21"/>
        <item x="46"/>
        <item x="64"/>
        <item x="68"/>
        <item x="62"/>
        <item x="14"/>
        <item x="65"/>
        <item x="50"/>
        <item x="20"/>
        <item x="56"/>
        <item x="7"/>
        <item x="23"/>
        <item x="30"/>
        <item x="66"/>
        <item x="63"/>
        <item x="42"/>
        <item x="29"/>
        <item x="39"/>
        <item x="43"/>
        <item x="15"/>
        <item x="3"/>
        <item x="37"/>
        <item x="18"/>
        <item x="24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x="2"/>
        <item h="1" x="0"/>
        <item h="1"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11">
    <i>
      <x v="63"/>
    </i>
    <i>
      <x v="36"/>
    </i>
    <i>
      <x v="12"/>
    </i>
    <i>
      <x v="52"/>
    </i>
    <i>
      <x v="1"/>
    </i>
    <i>
      <x v="24"/>
    </i>
    <i>
      <x v="62"/>
    </i>
    <i>
      <x v="64"/>
    </i>
    <i>
      <x v="61"/>
    </i>
    <i>
      <x v="34"/>
    </i>
    <i t="grand">
      <x/>
    </i>
  </rowItems>
  <colItems count="1">
    <i/>
  </colItems>
  <pageFields count="1">
    <pageField fld="8" hier="-1"/>
  </pageFields>
  <dataFields count="1">
    <dataField name="Sum of Mismatch Qty" fld="9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23370-95E9-4FBC-AF61-4D68B877E603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4:O15" firstHeaderRow="1" firstDataRow="1" firstDataCol="1"/>
  <pivotFields count="14">
    <pivotField showAll="0"/>
    <pivotField showAll="0"/>
    <pivotField axis="axisRow" showAll="0" measureFilter="1" sortType="descending">
      <items count="70">
        <item x="47"/>
        <item x="53"/>
        <item x="9"/>
        <item x="57"/>
        <item x="0"/>
        <item x="51"/>
        <item x="41"/>
        <item x="1"/>
        <item x="5"/>
        <item x="12"/>
        <item x="19"/>
        <item x="40"/>
        <item x="17"/>
        <item x="52"/>
        <item x="33"/>
        <item x="38"/>
        <item x="34"/>
        <item x="11"/>
        <item x="27"/>
        <item x="49"/>
        <item x="45"/>
        <item x="28"/>
        <item x="61"/>
        <item x="44"/>
        <item x="22"/>
        <item x="67"/>
        <item x="26"/>
        <item x="25"/>
        <item x="54"/>
        <item x="48"/>
        <item x="35"/>
        <item x="8"/>
        <item x="6"/>
        <item x="36"/>
        <item x="2"/>
        <item x="31"/>
        <item x="58"/>
        <item x="16"/>
        <item x="55"/>
        <item x="10"/>
        <item x="4"/>
        <item x="32"/>
        <item x="13"/>
        <item x="59"/>
        <item x="21"/>
        <item x="46"/>
        <item x="64"/>
        <item x="68"/>
        <item x="62"/>
        <item x="14"/>
        <item x="65"/>
        <item x="50"/>
        <item x="20"/>
        <item x="56"/>
        <item x="7"/>
        <item x="23"/>
        <item x="30"/>
        <item x="66"/>
        <item x="63"/>
        <item x="42"/>
        <item x="29"/>
        <item x="39"/>
        <item x="43"/>
        <item x="15"/>
        <item x="3"/>
        <item x="37"/>
        <item x="18"/>
        <item x="24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11">
    <i>
      <x v="25"/>
    </i>
    <i>
      <x v="6"/>
    </i>
    <i>
      <x v="63"/>
    </i>
    <i>
      <x/>
    </i>
    <i>
      <x v="2"/>
    </i>
    <i>
      <x v="56"/>
    </i>
    <i>
      <x v="16"/>
    </i>
    <i>
      <x v="59"/>
    </i>
    <i>
      <x v="7"/>
    </i>
    <i>
      <x v="14"/>
    </i>
    <i t="grand">
      <x/>
    </i>
  </rowItems>
  <colItems count="1">
    <i/>
  </colItems>
  <dataFields count="1">
    <dataField name="Sum of Value Impact" fld="10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3F382-7BDB-4853-A99F-89FB782CDC2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4:L8" firstHeaderRow="1" firstDataRow="1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h="1" x="0"/>
        <item x="2"/>
        <item t="default"/>
      </items>
    </pivotField>
    <pivotField showAll="0"/>
  </pivotFields>
  <rowFields count="1">
    <field x="12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Product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F9DCA-E50A-4058-AE42-2B4A9C7AC67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4:I11" firstHeaderRow="1" firstDataRow="1" firstDataCol="1" rowPageCount="1" colPageCount="1"/>
  <pivotFields count="14">
    <pivotField showAll="0"/>
    <pivotField dataField="1" showAll="0"/>
    <pivotField showAll="0"/>
    <pivotField axis="axisRow" showAll="0">
      <items count="7">
        <item x="2"/>
        <item x="1"/>
        <item x="0"/>
        <item x="5"/>
        <item x="4"/>
        <item x="3"/>
        <item t="default"/>
      </items>
    </pivotField>
    <pivotField showAll="0"/>
    <pivotField showAll="0"/>
    <pivotField showAll="0"/>
    <pivotField showAll="0">
      <items count="181">
        <item x="27"/>
        <item x="161"/>
        <item x="77"/>
        <item x="175"/>
        <item x="163"/>
        <item x="100"/>
        <item x="143"/>
        <item x="52"/>
        <item x="73"/>
        <item x="115"/>
        <item x="173"/>
        <item x="8"/>
        <item x="65"/>
        <item x="41"/>
        <item x="61"/>
        <item x="174"/>
        <item x="88"/>
        <item x="21"/>
        <item x="39"/>
        <item x="29"/>
        <item x="172"/>
        <item x="133"/>
        <item x="9"/>
        <item x="85"/>
        <item x="93"/>
        <item x="151"/>
        <item x="99"/>
        <item x="38"/>
        <item x="97"/>
        <item x="56"/>
        <item x="149"/>
        <item x="45"/>
        <item x="6"/>
        <item x="10"/>
        <item x="33"/>
        <item x="109"/>
        <item x="36"/>
        <item x="140"/>
        <item x="125"/>
        <item x="134"/>
        <item x="51"/>
        <item x="53"/>
        <item x="131"/>
        <item x="155"/>
        <item x="171"/>
        <item x="3"/>
        <item x="57"/>
        <item x="59"/>
        <item x="32"/>
        <item x="17"/>
        <item x="94"/>
        <item x="96"/>
        <item x="104"/>
        <item x="129"/>
        <item x="160"/>
        <item x="72"/>
        <item x="87"/>
        <item x="42"/>
        <item x="157"/>
        <item x="43"/>
        <item x="110"/>
        <item x="116"/>
        <item x="91"/>
        <item x="1"/>
        <item x="152"/>
        <item x="58"/>
        <item x="75"/>
        <item x="121"/>
        <item x="139"/>
        <item x="5"/>
        <item x="47"/>
        <item x="64"/>
        <item x="111"/>
        <item x="101"/>
        <item x="145"/>
        <item x="62"/>
        <item x="60"/>
        <item x="168"/>
        <item x="123"/>
        <item x="15"/>
        <item x="86"/>
        <item x="119"/>
        <item x="128"/>
        <item x="120"/>
        <item x="150"/>
        <item x="16"/>
        <item x="117"/>
        <item x="35"/>
        <item x="144"/>
        <item x="46"/>
        <item x="20"/>
        <item x="105"/>
        <item x="130"/>
        <item x="0"/>
        <item x="19"/>
        <item x="146"/>
        <item x="113"/>
        <item x="141"/>
        <item x="84"/>
        <item x="31"/>
        <item x="92"/>
        <item x="50"/>
        <item x="179"/>
        <item x="44"/>
        <item x="74"/>
        <item x="95"/>
        <item x="164"/>
        <item x="177"/>
        <item x="147"/>
        <item x="55"/>
        <item x="135"/>
        <item x="81"/>
        <item x="126"/>
        <item x="66"/>
        <item x="90"/>
        <item x="103"/>
        <item x="114"/>
        <item x="18"/>
        <item x="142"/>
        <item x="22"/>
        <item x="166"/>
        <item x="102"/>
        <item x="25"/>
        <item x="83"/>
        <item x="98"/>
        <item x="2"/>
        <item x="170"/>
        <item x="54"/>
        <item x="169"/>
        <item x="69"/>
        <item x="4"/>
        <item x="106"/>
        <item x="63"/>
        <item x="76"/>
        <item x="24"/>
        <item x="132"/>
        <item x="7"/>
        <item x="79"/>
        <item x="122"/>
        <item x="112"/>
        <item x="162"/>
        <item x="127"/>
        <item x="68"/>
        <item x="67"/>
        <item x="30"/>
        <item x="70"/>
        <item x="154"/>
        <item x="13"/>
        <item x="34"/>
        <item x="11"/>
        <item x="40"/>
        <item x="82"/>
        <item x="138"/>
        <item x="137"/>
        <item x="148"/>
        <item x="78"/>
        <item x="153"/>
        <item x="165"/>
        <item x="37"/>
        <item x="14"/>
        <item x="176"/>
        <item x="108"/>
        <item x="136"/>
        <item x="124"/>
        <item x="107"/>
        <item x="49"/>
        <item x="178"/>
        <item x="80"/>
        <item x="156"/>
        <item x="89"/>
        <item x="12"/>
        <item x="26"/>
        <item x="158"/>
        <item x="23"/>
        <item x="118"/>
        <item x="159"/>
        <item x="28"/>
        <item x="71"/>
        <item x="48"/>
        <item x="167"/>
        <item t="default"/>
      </items>
    </pivotField>
    <pivotField axis="axisPage" multipleItemSelectionAllowed="1" showAll="0">
      <items count="4">
        <item x="2"/>
        <item x="0"/>
        <item x="1"/>
        <item t="default"/>
      </items>
    </pivotField>
    <pivotField showAll="0">
      <items count="122">
        <item x="0"/>
        <item x="19"/>
        <item x="99"/>
        <item x="86"/>
        <item x="20"/>
        <item x="45"/>
        <item x="30"/>
        <item x="34"/>
        <item x="92"/>
        <item x="76"/>
        <item x="16"/>
        <item x="109"/>
        <item x="43"/>
        <item x="64"/>
        <item x="78"/>
        <item x="72"/>
        <item x="15"/>
        <item x="95"/>
        <item x="50"/>
        <item x="54"/>
        <item x="104"/>
        <item x="69"/>
        <item x="97"/>
        <item x="56"/>
        <item x="75"/>
        <item x="83"/>
        <item x="89"/>
        <item x="58"/>
        <item x="18"/>
        <item x="107"/>
        <item x="5"/>
        <item x="117"/>
        <item x="84"/>
        <item x="24"/>
        <item x="70"/>
        <item x="80"/>
        <item x="65"/>
        <item x="52"/>
        <item x="2"/>
        <item x="1"/>
        <item x="49"/>
        <item x="91"/>
        <item x="88"/>
        <item x="42"/>
        <item x="111"/>
        <item x="4"/>
        <item x="41"/>
        <item x="73"/>
        <item x="57"/>
        <item x="66"/>
        <item x="98"/>
        <item x="85"/>
        <item x="23"/>
        <item x="101"/>
        <item x="7"/>
        <item x="17"/>
        <item x="31"/>
        <item x="94"/>
        <item x="53"/>
        <item x="51"/>
        <item x="3"/>
        <item x="61"/>
        <item x="60"/>
        <item x="100"/>
        <item x="29"/>
        <item x="48"/>
        <item x="103"/>
        <item x="13"/>
        <item x="33"/>
        <item x="11"/>
        <item x="39"/>
        <item x="35"/>
        <item x="106"/>
        <item x="87"/>
        <item x="108"/>
        <item x="32"/>
        <item x="10"/>
        <item x="110"/>
        <item x="6"/>
        <item x="116"/>
        <item x="44"/>
        <item x="36"/>
        <item x="14"/>
        <item x="79"/>
        <item x="37"/>
        <item x="81"/>
        <item x="105"/>
        <item x="96"/>
        <item x="77"/>
        <item x="71"/>
        <item x="9"/>
        <item x="47"/>
        <item x="102"/>
        <item x="68"/>
        <item x="28"/>
        <item x="38"/>
        <item x="21"/>
        <item x="74"/>
        <item x="12"/>
        <item x="25"/>
        <item x="112"/>
        <item x="119"/>
        <item x="22"/>
        <item x="55"/>
        <item x="40"/>
        <item x="59"/>
        <item x="93"/>
        <item x="8"/>
        <item x="113"/>
        <item x="118"/>
        <item x="90"/>
        <item x="63"/>
        <item x="27"/>
        <item x="62"/>
        <item x="82"/>
        <item x="115"/>
        <item x="46"/>
        <item x="120"/>
        <item x="67"/>
        <item x="114"/>
        <item x="26"/>
        <item t="default"/>
      </items>
    </pivotField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Count of Product ID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5FCCA-6317-4241-AA20-E622F4E7730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10" firstHeaderRow="1" firstDataRow="1" firstDataCol="1"/>
  <pivotFields count="14">
    <pivotField showAll="0"/>
    <pivotField showAll="0"/>
    <pivotField showAll="0"/>
    <pivotField axis="axisRow" showAll="0" sortType="descending">
      <items count="7">
        <item x="2"/>
        <item x="1"/>
        <item x="0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4"/>
    </i>
    <i>
      <x/>
    </i>
    <i>
      <x v="3"/>
    </i>
    <i>
      <x v="5"/>
    </i>
    <i t="grand">
      <x/>
    </i>
  </rowItems>
  <colItems count="1">
    <i/>
  </colItems>
  <dataFields count="1">
    <dataField name="Sum of Value Impact" fld="10" baseField="0" baseItem="0" numFmtId="166"/>
  </dataFields>
  <formats count="2">
    <format dxfId="2">
      <pivotArea outline="0" collapsedLevelsAreSubtotals="1" fieldPosition="0"/>
    </format>
    <format dxfId="1">
      <pivotArea collapsedLevelsAreSubtotals="1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740D2-85D5-4B53-9668-76E99A95CF92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4:R15" firstHeaderRow="1" firstDataRow="1" firstDataCol="1" rowPageCount="1" colPageCount="1"/>
  <pivotFields count="14">
    <pivotField showAll="0"/>
    <pivotField showAll="0"/>
    <pivotField axis="axisRow" showAll="0" measureFilter="1" sortType="descending">
      <items count="70">
        <item x="47"/>
        <item x="53"/>
        <item x="9"/>
        <item x="57"/>
        <item x="0"/>
        <item x="51"/>
        <item x="41"/>
        <item x="1"/>
        <item x="5"/>
        <item x="12"/>
        <item x="19"/>
        <item x="40"/>
        <item x="17"/>
        <item x="52"/>
        <item x="33"/>
        <item x="38"/>
        <item x="34"/>
        <item x="11"/>
        <item x="27"/>
        <item x="49"/>
        <item x="45"/>
        <item x="28"/>
        <item x="61"/>
        <item x="44"/>
        <item x="22"/>
        <item x="67"/>
        <item x="26"/>
        <item x="25"/>
        <item x="54"/>
        <item x="48"/>
        <item x="35"/>
        <item x="8"/>
        <item x="6"/>
        <item x="36"/>
        <item x="2"/>
        <item x="31"/>
        <item x="58"/>
        <item x="16"/>
        <item x="55"/>
        <item x="10"/>
        <item x="4"/>
        <item x="32"/>
        <item x="13"/>
        <item x="59"/>
        <item x="21"/>
        <item x="46"/>
        <item x="64"/>
        <item x="68"/>
        <item x="62"/>
        <item x="14"/>
        <item x="65"/>
        <item x="50"/>
        <item x="20"/>
        <item x="56"/>
        <item x="7"/>
        <item x="23"/>
        <item x="30"/>
        <item x="66"/>
        <item x="63"/>
        <item x="42"/>
        <item x="29"/>
        <item x="39"/>
        <item x="43"/>
        <item x="15"/>
        <item x="3"/>
        <item x="37"/>
        <item x="18"/>
        <item x="24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h="1" x="2"/>
        <item h="1"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11">
    <i>
      <x v="16"/>
    </i>
    <i>
      <x v="17"/>
    </i>
    <i>
      <x v="63"/>
    </i>
    <i>
      <x v="18"/>
    </i>
    <i>
      <x v="30"/>
    </i>
    <i>
      <x v="5"/>
    </i>
    <i>
      <x v="9"/>
    </i>
    <i>
      <x v="39"/>
    </i>
    <i>
      <x v="24"/>
    </i>
    <i>
      <x v="62"/>
    </i>
    <i t="grand">
      <x/>
    </i>
  </rowItems>
  <colItems count="1">
    <i/>
  </colItems>
  <pageFields count="1">
    <pageField fld="8" hier="-1"/>
  </pageFields>
  <dataFields count="1">
    <dataField name="Sum of Mismatch Qty" fld="9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50359-7F5C-43A6-946E-D409CEEEC853}" name="Table1" displayName="Table1" ref="B2:H1002" totalsRowShown="0" headerRowDxfId="38" dataDxfId="36" headerRowBorderDxfId="37" tableBorderDxfId="35" totalsRowBorderDxfId="34">
  <autoFilter ref="B2:H1002" xr:uid="{00000000-0001-0000-0000-000000000000}"/>
  <tableColumns count="7">
    <tableColumn id="1" xr3:uid="{5287A7EA-9E83-43D7-A1B0-12E8EB9D9900}" name="Sr. No. " dataDxfId="33"/>
    <tableColumn id="2" xr3:uid="{37A5B991-7C59-4D46-BB90-AB46019CF328}" name="Product ID " dataDxfId="32"/>
    <tableColumn id="3" xr3:uid="{0EA72090-6E0B-4963-BB47-B4852B3D421F}" name="Prdocut Name" dataDxfId="31"/>
    <tableColumn id="4" xr3:uid="{1C09269E-92FD-46C8-AD8C-E88469D365B9}" name="Category" dataDxfId="30"/>
    <tableColumn id="5" xr3:uid="{A2719451-F04B-46BB-98A4-AC1559F79CE4}" name="System_Stock_Qty" dataDxfId="29"/>
    <tableColumn id="6" xr3:uid="{8BAB3596-E892-46DC-A75D-131634A39D8F}" name="Physical_Stock_Qty" dataDxfId="28"/>
    <tableColumn id="7" xr3:uid="{A920040E-E83D-4A28-AAF6-834BE055A714}" name="Unit_Cost" dataDxfId="27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7A8DC-17D5-4D57-A720-AB1869379864}" name="Table13" displayName="Table13" ref="B2:O1003" totalsRowShown="0" headerRowDxfId="21" dataDxfId="19" headerRowBorderDxfId="20" tableBorderDxfId="18" totalsRowBorderDxfId="17">
  <autoFilter ref="B2:O1003" xr:uid="{3567A8DC-17D5-4D57-A720-AB1869379864}">
    <filterColumn colId="8">
      <filters>
        <filter val="Excess"/>
        <filter val="Shortage"/>
      </filters>
    </filterColumn>
  </autoFilter>
  <tableColumns count="14">
    <tableColumn id="1" xr3:uid="{3402756F-BBCB-4F2E-875E-CC6B307386CB}" name="Sr. No. " dataDxfId="16"/>
    <tableColumn id="2" xr3:uid="{9550FBB6-AD79-46A2-9E88-FE9A81F4B88C}" name="Product ID " dataDxfId="15"/>
    <tableColumn id="3" xr3:uid="{DB6A999F-1221-4C53-A332-E9CDBA5E8ABF}" name="Prdocut Name" dataDxfId="14"/>
    <tableColumn id="4" xr3:uid="{6E19415A-61B0-44BE-9134-B77474FFDA67}" name="Category" dataDxfId="13"/>
    <tableColumn id="5" xr3:uid="{1A42A2D8-BA12-4DB5-A226-377C329D2436}" name="System_Stock_Qty" dataDxfId="12"/>
    <tableColumn id="6" xr3:uid="{DF96BD0A-6409-4CBE-B899-4FCB6EFE9216}" name="Physical_Stock_Qty" dataDxfId="11"/>
    <tableColumn id="7" xr3:uid="{F8C3EEE3-9FE3-461F-9426-C6B2D8DDFA63}" name="Unit_Cost" dataDxfId="10"/>
    <tableColumn id="8" xr3:uid="{7113661D-ACAE-47CA-BE24-50801172FEC7}" name="Stock Difference" dataDxfId="9">
      <calculatedColumnFormula>Table13[[#This Row],[Physical_Stock_Qty]]-Table13[[#This Row],[System_Stock_Qty]]</calculatedColumnFormula>
    </tableColumn>
    <tableColumn id="9" xr3:uid="{4FE20D20-569F-4794-BFDC-0296B3E523F8}" name="Status" dataDxfId="8">
      <calculatedColumnFormula array="1">_xlfn.IFS(I3=0,"Matched",I3&gt;0,"Excess",I3&lt;0,"Shortage")</calculatedColumnFormula>
    </tableColumn>
    <tableColumn id="10" xr3:uid="{DA2F0E92-507E-428B-A9DC-FD2236FF2721}" name="Mismatch Qty" dataDxfId="7">
      <calculatedColumnFormula>ABS(Table13[[#This Row],[Stock Difference]])</calculatedColumnFormula>
    </tableColumn>
    <tableColumn id="11" xr3:uid="{D8408F2B-90E3-4DD8-920D-46C963C269A1}" name="Value Impact" dataDxfId="6">
      <calculatedColumnFormula>(K3*H3)</calculatedColumnFormula>
    </tableColumn>
    <tableColumn id="12" xr3:uid="{6A43110A-02BF-4ABB-ABB7-CC2F3D680E42}" name="Total Product Value" dataDxfId="5">
      <calculatedColumnFormula>F3*H3</calculatedColumnFormula>
    </tableColumn>
    <tableColumn id="13" xr3:uid="{3CD4C0DA-AD40-4D96-953B-E45C0F0E66AF}" name="Severity" dataDxfId="4">
      <calculatedColumnFormula array="1">_xlfn.IFS(K3=0,"Matched", K3&gt;100,"High", K3&gt;=50,"Medium", K3&lt;50,"Low")</calculatedColumnFormula>
    </tableColumn>
    <tableColumn id="14" xr3:uid="{3A8319D7-C6E7-4F50-AAC2-CAC522E70A30}" name="High Value Flag" dataDxfId="3">
      <calculatedColumnFormula>IF(L3&gt;500000,"Yes",IF(L3=0,"No Match","No"))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002"/>
  <sheetViews>
    <sheetView showGridLines="0" zoomScale="86" zoomScaleNormal="38" workbookViewId="0">
      <selection activeCell="F13" sqref="F13"/>
    </sheetView>
  </sheetViews>
  <sheetFormatPr defaultRowHeight="14.4" x14ac:dyDescent="0.3"/>
  <cols>
    <col min="1" max="1" width="1.5546875" customWidth="1"/>
    <col min="2" max="2" width="12.109375" bestFit="1" customWidth="1"/>
    <col min="3" max="3" width="15.88671875" bestFit="1" customWidth="1"/>
    <col min="4" max="4" width="27.5546875" bestFit="1" customWidth="1"/>
    <col min="5" max="5" width="13.6640625" bestFit="1" customWidth="1"/>
    <col min="6" max="6" width="22.77734375" bestFit="1" customWidth="1"/>
    <col min="7" max="7" width="23.6640625" bestFit="1" customWidth="1"/>
    <col min="8" max="8" width="14.6640625" bestFit="1" customWidth="1"/>
    <col min="10" max="10" width="15.77734375" bestFit="1" customWidth="1"/>
    <col min="11" max="11" width="12.77734375" customWidth="1"/>
    <col min="12" max="12" width="13.21875" bestFit="1" customWidth="1"/>
    <col min="14" max="14" width="14.33203125" bestFit="1" customWidth="1"/>
    <col min="16" max="16" width="15.21875" bestFit="1" customWidth="1"/>
    <col min="18" max="18" width="15.77734375" bestFit="1" customWidth="1"/>
    <col min="20" max="20" width="27.5546875" bestFit="1" customWidth="1"/>
  </cols>
  <sheetData>
    <row r="1" spans="2:24" ht="9" customHeight="1" x14ac:dyDescent="0.3"/>
    <row r="2" spans="2:24" ht="15.6" x14ac:dyDescent="0.3"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1" t="s">
        <v>6</v>
      </c>
      <c r="I2" s="19"/>
      <c r="J2" s="6" t="s">
        <v>1008</v>
      </c>
      <c r="K2" s="6" t="s">
        <v>1089</v>
      </c>
      <c r="L2" s="6" t="s">
        <v>1007</v>
      </c>
      <c r="M2" s="6" t="s">
        <v>1089</v>
      </c>
      <c r="N2" s="6" t="s">
        <v>1010</v>
      </c>
      <c r="O2" s="6" t="s">
        <v>1089</v>
      </c>
      <c r="P2" s="6" t="s">
        <v>1012</v>
      </c>
      <c r="Q2" s="6" t="s">
        <v>1089</v>
      </c>
      <c r="R2" s="6" t="s">
        <v>1009</v>
      </c>
      <c r="S2" s="6" t="s">
        <v>1089</v>
      </c>
      <c r="T2" s="6" t="s">
        <v>1011</v>
      </c>
      <c r="U2" s="6" t="s">
        <v>1089</v>
      </c>
      <c r="W2" s="3" t="s">
        <v>1008</v>
      </c>
      <c r="X2" s="3" t="s">
        <v>1014</v>
      </c>
    </row>
    <row r="3" spans="2:24" x14ac:dyDescent="0.3">
      <c r="B3" s="7">
        <v>1</v>
      </c>
      <c r="C3" s="3" t="s">
        <v>7</v>
      </c>
      <c r="D3" s="2" t="s">
        <v>1042</v>
      </c>
      <c r="E3" s="3" t="s">
        <v>1007</v>
      </c>
      <c r="F3" s="3">
        <v>36</v>
      </c>
      <c r="G3" s="3">
        <v>133</v>
      </c>
      <c r="H3" s="8">
        <v>3000</v>
      </c>
      <c r="I3" s="18"/>
      <c r="J3" s="2" t="s">
        <v>1021</v>
      </c>
      <c r="K3" s="2">
        <v>20000</v>
      </c>
      <c r="L3" s="2" t="s">
        <v>1035</v>
      </c>
      <c r="M3" s="2">
        <v>15000</v>
      </c>
      <c r="N3" s="2" t="s">
        <v>1043</v>
      </c>
      <c r="O3" s="2">
        <v>50</v>
      </c>
      <c r="P3" s="2" t="s">
        <v>1017</v>
      </c>
      <c r="Q3" s="2">
        <v>200</v>
      </c>
      <c r="R3" s="2" t="s">
        <v>1062</v>
      </c>
      <c r="S3" s="2">
        <v>100</v>
      </c>
      <c r="T3" s="2" t="s">
        <v>1077</v>
      </c>
      <c r="U3" s="2">
        <v>5000</v>
      </c>
      <c r="W3" s="3" t="s">
        <v>1007</v>
      </c>
      <c r="X3" s="3" t="s">
        <v>1015</v>
      </c>
    </row>
    <row r="4" spans="2:24" x14ac:dyDescent="0.3">
      <c r="B4" s="7">
        <v>2</v>
      </c>
      <c r="C4" s="3" t="s">
        <v>8</v>
      </c>
      <c r="D4" s="2" t="s">
        <v>1028</v>
      </c>
      <c r="E4" s="3" t="s">
        <v>1008</v>
      </c>
      <c r="F4" s="3">
        <v>192</v>
      </c>
      <c r="G4" s="3">
        <v>164</v>
      </c>
      <c r="H4" s="8">
        <v>15000</v>
      </c>
      <c r="I4" s="18"/>
      <c r="J4" s="2" t="s">
        <v>1090</v>
      </c>
      <c r="K4" s="2">
        <v>15000</v>
      </c>
      <c r="L4" s="2" t="s">
        <v>1036</v>
      </c>
      <c r="M4" s="2">
        <v>8000</v>
      </c>
      <c r="N4" s="2" t="s">
        <v>1044</v>
      </c>
      <c r="O4" s="2">
        <v>100</v>
      </c>
      <c r="P4" s="2" t="s">
        <v>1056</v>
      </c>
      <c r="Q4" s="2">
        <v>100</v>
      </c>
      <c r="R4" s="2" t="s">
        <v>1063</v>
      </c>
      <c r="S4" s="2">
        <v>4500</v>
      </c>
      <c r="T4" s="2" t="s">
        <v>1078</v>
      </c>
      <c r="U4" s="2">
        <v>200</v>
      </c>
      <c r="W4" s="3" t="s">
        <v>1010</v>
      </c>
      <c r="X4" s="3" t="s">
        <v>1016</v>
      </c>
    </row>
    <row r="5" spans="2:24" x14ac:dyDescent="0.3">
      <c r="B5" s="7">
        <v>3</v>
      </c>
      <c r="C5" s="3" t="s">
        <v>9</v>
      </c>
      <c r="D5" s="2" t="s">
        <v>1069</v>
      </c>
      <c r="E5" s="3" t="s">
        <v>1009</v>
      </c>
      <c r="F5" s="3">
        <v>191</v>
      </c>
      <c r="G5" s="3">
        <v>36</v>
      </c>
      <c r="H5" s="8">
        <v>200</v>
      </c>
      <c r="I5" s="18"/>
      <c r="J5" s="2" t="s">
        <v>1023</v>
      </c>
      <c r="K5" s="2">
        <v>20000</v>
      </c>
      <c r="L5" s="2" t="s">
        <v>1037</v>
      </c>
      <c r="M5" s="2">
        <v>10000</v>
      </c>
      <c r="N5" s="2" t="s">
        <v>1045</v>
      </c>
      <c r="O5" s="2">
        <v>100</v>
      </c>
      <c r="P5" s="2" t="s">
        <v>1057</v>
      </c>
      <c r="Q5" s="2">
        <v>500</v>
      </c>
      <c r="R5" s="2" t="s">
        <v>1064</v>
      </c>
      <c r="S5" s="2">
        <v>15000</v>
      </c>
      <c r="T5" s="2" t="s">
        <v>1079</v>
      </c>
      <c r="U5" s="2">
        <v>5000</v>
      </c>
      <c r="W5" s="3" t="s">
        <v>1012</v>
      </c>
      <c r="X5" s="3" t="s">
        <v>1019</v>
      </c>
    </row>
    <row r="6" spans="2:24" x14ac:dyDescent="0.3">
      <c r="B6" s="7">
        <v>4</v>
      </c>
      <c r="C6" s="3" t="s">
        <v>10</v>
      </c>
      <c r="D6" s="2" t="s">
        <v>1043</v>
      </c>
      <c r="E6" s="3" t="s">
        <v>1010</v>
      </c>
      <c r="F6" s="3">
        <v>91</v>
      </c>
      <c r="G6" s="3">
        <v>91</v>
      </c>
      <c r="H6" s="8">
        <v>50</v>
      </c>
      <c r="I6" s="18"/>
      <c r="J6" s="2" t="s">
        <v>1024</v>
      </c>
      <c r="K6" s="2">
        <v>150000</v>
      </c>
      <c r="L6" s="2" t="s">
        <v>1038</v>
      </c>
      <c r="M6" s="2">
        <v>5000</v>
      </c>
      <c r="N6" s="2" t="s">
        <v>1046</v>
      </c>
      <c r="O6" s="2">
        <v>100</v>
      </c>
      <c r="P6" s="2" t="s">
        <v>1018</v>
      </c>
      <c r="Q6" s="2">
        <v>3000</v>
      </c>
      <c r="R6" s="2" t="s">
        <v>1065</v>
      </c>
      <c r="S6" s="2">
        <v>200</v>
      </c>
      <c r="T6" s="2" t="s">
        <v>1080</v>
      </c>
      <c r="U6" s="2">
        <v>2500</v>
      </c>
      <c r="W6" s="3" t="s">
        <v>1009</v>
      </c>
      <c r="X6" s="3" t="s">
        <v>1013</v>
      </c>
    </row>
    <row r="7" spans="2:24" x14ac:dyDescent="0.3">
      <c r="B7" s="7">
        <v>5</v>
      </c>
      <c r="C7" s="3" t="s">
        <v>11</v>
      </c>
      <c r="D7" s="2" t="s">
        <v>1087</v>
      </c>
      <c r="E7" s="3" t="s">
        <v>1011</v>
      </c>
      <c r="F7" s="3">
        <v>62</v>
      </c>
      <c r="G7" s="3">
        <v>62</v>
      </c>
      <c r="H7" s="8">
        <v>5000</v>
      </c>
      <c r="I7" s="18"/>
      <c r="J7" s="2" t="s">
        <v>1025</v>
      </c>
      <c r="K7" s="2">
        <v>30000</v>
      </c>
      <c r="L7" s="2" t="s">
        <v>1039</v>
      </c>
      <c r="M7" s="2">
        <v>12000</v>
      </c>
      <c r="N7" s="2" t="s">
        <v>1047</v>
      </c>
      <c r="O7" s="2">
        <v>500</v>
      </c>
      <c r="P7" s="2" t="s">
        <v>1058</v>
      </c>
      <c r="Q7" s="2">
        <v>500</v>
      </c>
      <c r="R7" s="2" t="s">
        <v>1066</v>
      </c>
      <c r="S7" s="2">
        <v>800</v>
      </c>
      <c r="T7" s="2" t="s">
        <v>1081</v>
      </c>
      <c r="U7" s="2">
        <v>1000</v>
      </c>
      <c r="W7" s="3" t="s">
        <v>1011</v>
      </c>
      <c r="X7" s="3" t="s">
        <v>1020</v>
      </c>
    </row>
    <row r="8" spans="2:24" x14ac:dyDescent="0.3">
      <c r="B8" s="7">
        <v>6</v>
      </c>
      <c r="C8" s="3" t="s">
        <v>12</v>
      </c>
      <c r="D8" s="2" t="s">
        <v>1048</v>
      </c>
      <c r="E8" s="3" t="s">
        <v>1010</v>
      </c>
      <c r="F8" s="3">
        <v>98</v>
      </c>
      <c r="G8" s="3">
        <v>98</v>
      </c>
      <c r="H8" s="8">
        <v>50</v>
      </c>
      <c r="I8" s="18"/>
      <c r="J8" s="2" t="s">
        <v>1026</v>
      </c>
      <c r="K8" s="2">
        <v>6000</v>
      </c>
      <c r="L8" s="2" t="s">
        <v>1040</v>
      </c>
      <c r="M8" s="2">
        <v>5000</v>
      </c>
      <c r="N8" s="2" t="s">
        <v>1048</v>
      </c>
      <c r="O8" s="2">
        <v>50</v>
      </c>
      <c r="P8" s="2" t="s">
        <v>1059</v>
      </c>
      <c r="Q8" s="2">
        <v>200</v>
      </c>
      <c r="R8" s="2" t="s">
        <v>1067</v>
      </c>
      <c r="S8" s="2">
        <v>100</v>
      </c>
      <c r="T8" s="2" t="s">
        <v>1082</v>
      </c>
      <c r="U8" s="2">
        <v>2000</v>
      </c>
    </row>
    <row r="9" spans="2:24" x14ac:dyDescent="0.3">
      <c r="B9" s="7">
        <v>7</v>
      </c>
      <c r="C9" s="3" t="s">
        <v>13</v>
      </c>
      <c r="D9" s="2" t="s">
        <v>1082</v>
      </c>
      <c r="E9" s="3" t="s">
        <v>1011</v>
      </c>
      <c r="F9" s="3">
        <v>184</v>
      </c>
      <c r="G9" s="3">
        <v>184</v>
      </c>
      <c r="H9" s="8">
        <v>2000</v>
      </c>
      <c r="I9" s="18"/>
      <c r="J9" s="2" t="s">
        <v>1027</v>
      </c>
      <c r="K9" s="2">
        <v>30000</v>
      </c>
      <c r="L9" s="2" t="s">
        <v>1041</v>
      </c>
      <c r="M9" s="2">
        <v>2000</v>
      </c>
      <c r="N9" s="2" t="s">
        <v>1049</v>
      </c>
      <c r="O9" s="2">
        <v>20</v>
      </c>
      <c r="P9" s="2" t="s">
        <v>1060</v>
      </c>
      <c r="Q9" s="2">
        <v>1500</v>
      </c>
      <c r="R9" s="2" t="s">
        <v>1068</v>
      </c>
      <c r="S9" s="2">
        <v>100</v>
      </c>
      <c r="T9" s="2" t="s">
        <v>1083</v>
      </c>
      <c r="U9" s="2">
        <v>3000</v>
      </c>
    </row>
    <row r="10" spans="2:24" x14ac:dyDescent="0.3">
      <c r="B10" s="7">
        <v>8</v>
      </c>
      <c r="C10" s="3" t="s">
        <v>14</v>
      </c>
      <c r="D10" s="2" t="s">
        <v>1036</v>
      </c>
      <c r="E10" s="3" t="s">
        <v>1007</v>
      </c>
      <c r="F10" s="3">
        <v>79</v>
      </c>
      <c r="G10" s="3">
        <v>79</v>
      </c>
      <c r="H10" s="8">
        <v>8000</v>
      </c>
      <c r="I10" s="18"/>
      <c r="J10" s="2" t="s">
        <v>1028</v>
      </c>
      <c r="K10" s="2">
        <v>15000</v>
      </c>
      <c r="L10" s="2" t="s">
        <v>1042</v>
      </c>
      <c r="M10" s="2">
        <v>3000</v>
      </c>
      <c r="N10" s="2" t="s">
        <v>1050</v>
      </c>
      <c r="O10" s="2">
        <v>30</v>
      </c>
      <c r="P10" s="2" t="s">
        <v>1061</v>
      </c>
      <c r="Q10" s="2">
        <v>500</v>
      </c>
      <c r="R10" s="2" t="s">
        <v>1069</v>
      </c>
      <c r="S10" s="2">
        <v>200</v>
      </c>
      <c r="T10" s="2" t="s">
        <v>1084</v>
      </c>
      <c r="U10" s="2">
        <v>2000</v>
      </c>
    </row>
    <row r="11" spans="2:24" x14ac:dyDescent="0.3">
      <c r="B11" s="7">
        <v>9</v>
      </c>
      <c r="C11" s="3" t="s">
        <v>15</v>
      </c>
      <c r="D11" s="2" t="s">
        <v>1079</v>
      </c>
      <c r="E11" s="3" t="s">
        <v>1011</v>
      </c>
      <c r="F11" s="3">
        <v>68</v>
      </c>
      <c r="G11" s="3">
        <v>68</v>
      </c>
      <c r="H11" s="8">
        <v>5000</v>
      </c>
      <c r="I11" s="18"/>
      <c r="J11" s="2" t="s">
        <v>1029</v>
      </c>
      <c r="K11" s="2">
        <v>3000</v>
      </c>
      <c r="L11" s="2"/>
      <c r="M11" s="2"/>
      <c r="N11" s="2" t="s">
        <v>1051</v>
      </c>
      <c r="O11" s="2">
        <v>50</v>
      </c>
      <c r="P11" s="2"/>
      <c r="Q11" s="2"/>
      <c r="R11" s="2" t="s">
        <v>1070</v>
      </c>
      <c r="S11" s="2">
        <v>1500</v>
      </c>
      <c r="T11" s="2" t="s">
        <v>1085</v>
      </c>
      <c r="U11" s="2">
        <v>1500</v>
      </c>
    </row>
    <row r="12" spans="2:24" x14ac:dyDescent="0.3">
      <c r="B12" s="7">
        <v>10</v>
      </c>
      <c r="C12" s="3" t="s">
        <v>16</v>
      </c>
      <c r="D12" s="2" t="s">
        <v>1027</v>
      </c>
      <c r="E12" s="3" t="s">
        <v>1008</v>
      </c>
      <c r="F12" s="3">
        <v>161</v>
      </c>
      <c r="G12" s="3">
        <v>161</v>
      </c>
      <c r="H12" s="8">
        <v>30000</v>
      </c>
      <c r="I12" s="18"/>
      <c r="J12" s="2" t="s">
        <v>1030</v>
      </c>
      <c r="K12" s="2">
        <v>70000</v>
      </c>
      <c r="L12" s="2"/>
      <c r="M12" s="2"/>
      <c r="N12" s="2" t="s">
        <v>1052</v>
      </c>
      <c r="O12" s="2">
        <v>100</v>
      </c>
      <c r="P12" s="2"/>
      <c r="Q12" s="2"/>
      <c r="R12" s="2" t="s">
        <v>1071</v>
      </c>
      <c r="S12" s="2">
        <v>200</v>
      </c>
      <c r="T12" s="2" t="s">
        <v>1086</v>
      </c>
      <c r="U12" s="2">
        <v>4500</v>
      </c>
    </row>
    <row r="13" spans="2:24" x14ac:dyDescent="0.3">
      <c r="B13" s="7">
        <v>11</v>
      </c>
      <c r="C13" s="3" t="s">
        <v>17</v>
      </c>
      <c r="D13" s="2" t="s">
        <v>1058</v>
      </c>
      <c r="E13" s="3" t="s">
        <v>1012</v>
      </c>
      <c r="F13" s="3">
        <v>34</v>
      </c>
      <c r="G13" s="3">
        <v>34</v>
      </c>
      <c r="H13" s="8">
        <v>500</v>
      </c>
      <c r="I13" s="18"/>
      <c r="J13" s="2" t="s">
        <v>1031</v>
      </c>
      <c r="K13" s="2">
        <v>40000</v>
      </c>
      <c r="L13" s="2"/>
      <c r="M13" s="2"/>
      <c r="N13" s="2" t="s">
        <v>1053</v>
      </c>
      <c r="O13" s="2">
        <v>10</v>
      </c>
      <c r="P13" s="2"/>
      <c r="Q13" s="2"/>
      <c r="R13" s="2" t="s">
        <v>1072</v>
      </c>
      <c r="S13" s="2">
        <v>50</v>
      </c>
      <c r="T13" s="2" t="s">
        <v>1087</v>
      </c>
      <c r="U13" s="2">
        <v>5000</v>
      </c>
    </row>
    <row r="14" spans="2:24" x14ac:dyDescent="0.3">
      <c r="B14" s="7">
        <v>12</v>
      </c>
      <c r="C14" s="3" t="s">
        <v>18</v>
      </c>
      <c r="D14" s="2" t="s">
        <v>1018</v>
      </c>
      <c r="E14" s="3" t="s">
        <v>1012</v>
      </c>
      <c r="F14" s="3">
        <v>43</v>
      </c>
      <c r="G14" s="3">
        <v>43</v>
      </c>
      <c r="H14" s="8">
        <v>3000</v>
      </c>
      <c r="I14" s="18"/>
      <c r="J14" s="2" t="s">
        <v>1032</v>
      </c>
      <c r="K14" s="2">
        <v>2000</v>
      </c>
      <c r="L14" s="2"/>
      <c r="M14" s="2"/>
      <c r="N14" s="2" t="s">
        <v>1054</v>
      </c>
      <c r="O14" s="2">
        <v>30</v>
      </c>
      <c r="P14" s="2"/>
      <c r="Q14" s="2"/>
      <c r="R14" s="2" t="s">
        <v>1073</v>
      </c>
      <c r="S14" s="2">
        <v>100</v>
      </c>
      <c r="T14" s="2"/>
      <c r="U14" s="2"/>
    </row>
    <row r="15" spans="2:24" x14ac:dyDescent="0.3">
      <c r="B15" s="7">
        <v>13</v>
      </c>
      <c r="C15" s="3" t="s">
        <v>19</v>
      </c>
      <c r="D15" s="2" t="s">
        <v>1060</v>
      </c>
      <c r="E15" s="3" t="s">
        <v>1012</v>
      </c>
      <c r="F15" s="3">
        <v>79</v>
      </c>
      <c r="G15" s="3">
        <v>79</v>
      </c>
      <c r="H15" s="8">
        <v>1500</v>
      </c>
      <c r="I15" s="18"/>
      <c r="J15" s="2" t="s">
        <v>1033</v>
      </c>
      <c r="K15" s="2">
        <v>4000</v>
      </c>
      <c r="L15" s="2"/>
      <c r="M15" s="2"/>
      <c r="N15" s="2" t="s">
        <v>1055</v>
      </c>
      <c r="O15" s="2">
        <v>50</v>
      </c>
      <c r="P15" s="2"/>
      <c r="Q15" s="2"/>
      <c r="R15" s="2" t="s">
        <v>1071</v>
      </c>
      <c r="S15" s="2">
        <v>200</v>
      </c>
      <c r="T15" s="2"/>
      <c r="U15" s="2"/>
    </row>
    <row r="16" spans="2:24" x14ac:dyDescent="0.3">
      <c r="B16" s="7">
        <v>14</v>
      </c>
      <c r="C16" s="3" t="s">
        <v>20</v>
      </c>
      <c r="D16" s="2" t="s">
        <v>1050</v>
      </c>
      <c r="E16" s="3" t="s">
        <v>1010</v>
      </c>
      <c r="F16" s="3">
        <v>195</v>
      </c>
      <c r="G16" s="3">
        <v>195</v>
      </c>
      <c r="H16" s="8">
        <v>30</v>
      </c>
      <c r="I16" s="18"/>
      <c r="J16" s="2" t="s">
        <v>1034</v>
      </c>
      <c r="K16" s="2">
        <v>50000</v>
      </c>
      <c r="L16" s="2"/>
      <c r="M16" s="2"/>
      <c r="N16" s="2"/>
      <c r="O16" s="2"/>
      <c r="P16" s="2"/>
      <c r="Q16" s="2"/>
      <c r="R16" s="2" t="s">
        <v>1074</v>
      </c>
      <c r="S16" s="2">
        <v>500</v>
      </c>
      <c r="T16" s="2"/>
      <c r="U16" s="2"/>
    </row>
    <row r="17" spans="2:10" x14ac:dyDescent="0.3">
      <c r="B17" s="7">
        <v>15</v>
      </c>
      <c r="C17" s="3" t="s">
        <v>21</v>
      </c>
      <c r="D17" s="2" t="s">
        <v>1043</v>
      </c>
      <c r="E17" s="3" t="s">
        <v>1010</v>
      </c>
      <c r="F17" s="3">
        <v>184</v>
      </c>
      <c r="G17" s="3">
        <v>184</v>
      </c>
      <c r="H17" s="8">
        <v>50</v>
      </c>
      <c r="I17" s="18"/>
    </row>
    <row r="18" spans="2:10" x14ac:dyDescent="0.3">
      <c r="B18" s="7">
        <v>16</v>
      </c>
      <c r="C18" s="3" t="s">
        <v>22</v>
      </c>
      <c r="D18" s="2" t="s">
        <v>1036</v>
      </c>
      <c r="E18" s="3" t="s">
        <v>1007</v>
      </c>
      <c r="F18" s="3">
        <v>46</v>
      </c>
      <c r="G18" s="3">
        <v>46</v>
      </c>
      <c r="H18" s="8">
        <v>8000</v>
      </c>
      <c r="I18" s="18"/>
    </row>
    <row r="19" spans="2:10" x14ac:dyDescent="0.3">
      <c r="B19" s="7">
        <v>17</v>
      </c>
      <c r="C19" s="3" t="s">
        <v>23</v>
      </c>
      <c r="D19" s="2" t="s">
        <v>1026</v>
      </c>
      <c r="E19" s="3" t="s">
        <v>1008</v>
      </c>
      <c r="F19" s="3">
        <v>165</v>
      </c>
      <c r="G19" s="3">
        <v>165</v>
      </c>
      <c r="H19" s="8">
        <v>6000</v>
      </c>
      <c r="I19" s="18"/>
      <c r="J19" s="20" t="s">
        <v>1093</v>
      </c>
    </row>
    <row r="20" spans="2:10" x14ac:dyDescent="0.3">
      <c r="B20" s="7">
        <v>18</v>
      </c>
      <c r="C20" s="3" t="s">
        <v>24</v>
      </c>
      <c r="D20" s="2" t="s">
        <v>1035</v>
      </c>
      <c r="E20" s="3" t="s">
        <v>1007</v>
      </c>
      <c r="F20" s="3">
        <v>40</v>
      </c>
      <c r="G20" s="3">
        <v>40</v>
      </c>
      <c r="H20" s="8">
        <v>15000</v>
      </c>
      <c r="I20" s="18"/>
      <c r="J20" s="20" t="s">
        <v>1105</v>
      </c>
    </row>
    <row r="21" spans="2:10" x14ac:dyDescent="0.3">
      <c r="B21" s="7">
        <v>19</v>
      </c>
      <c r="C21" s="3" t="s">
        <v>25</v>
      </c>
      <c r="D21" s="2" t="s">
        <v>1067</v>
      </c>
      <c r="E21" s="3" t="s">
        <v>1009</v>
      </c>
      <c r="F21" s="3">
        <v>96</v>
      </c>
      <c r="G21" s="3">
        <v>96</v>
      </c>
      <c r="H21" s="8">
        <v>100</v>
      </c>
      <c r="I21" s="18"/>
      <c r="J21" s="20" t="s">
        <v>1104</v>
      </c>
    </row>
    <row r="22" spans="2:10" x14ac:dyDescent="0.3">
      <c r="B22" s="7">
        <v>20</v>
      </c>
      <c r="C22" s="3" t="s">
        <v>26</v>
      </c>
      <c r="D22" s="2" t="s">
        <v>1054</v>
      </c>
      <c r="E22" s="3" t="s">
        <v>1010</v>
      </c>
      <c r="F22" s="3">
        <v>159</v>
      </c>
      <c r="G22" s="3">
        <v>159</v>
      </c>
      <c r="H22" s="8">
        <v>30</v>
      </c>
      <c r="I22" s="18"/>
      <c r="J22" s="20" t="s">
        <v>1109</v>
      </c>
    </row>
    <row r="23" spans="2:10" x14ac:dyDescent="0.3">
      <c r="B23" s="7">
        <v>21</v>
      </c>
      <c r="C23" s="3" t="s">
        <v>27</v>
      </c>
      <c r="D23" s="2" t="s">
        <v>1021</v>
      </c>
      <c r="E23" s="3" t="s">
        <v>1008</v>
      </c>
      <c r="F23" s="3">
        <v>159</v>
      </c>
      <c r="G23" s="3">
        <v>159</v>
      </c>
      <c r="H23" s="8">
        <v>20000</v>
      </c>
      <c r="I23" s="18"/>
    </row>
    <row r="24" spans="2:10" x14ac:dyDescent="0.3">
      <c r="B24" s="7">
        <v>22</v>
      </c>
      <c r="C24" s="3" t="s">
        <v>28</v>
      </c>
      <c r="D24" s="2" t="s">
        <v>1038</v>
      </c>
      <c r="E24" s="3" t="s">
        <v>1007</v>
      </c>
      <c r="F24" s="3">
        <v>52</v>
      </c>
      <c r="G24" s="3">
        <v>52</v>
      </c>
      <c r="H24" s="8">
        <v>5000</v>
      </c>
      <c r="I24" s="18"/>
    </row>
    <row r="25" spans="2:10" x14ac:dyDescent="0.3">
      <c r="B25" s="7">
        <v>23</v>
      </c>
      <c r="C25" s="3" t="s">
        <v>29</v>
      </c>
      <c r="D25" s="2" t="s">
        <v>1040</v>
      </c>
      <c r="E25" s="3" t="s">
        <v>1007</v>
      </c>
      <c r="F25" s="3">
        <v>178</v>
      </c>
      <c r="G25" s="3">
        <v>178</v>
      </c>
      <c r="H25" s="8">
        <v>5000</v>
      </c>
      <c r="I25" s="18"/>
    </row>
    <row r="26" spans="2:10" x14ac:dyDescent="0.3">
      <c r="B26" s="7">
        <v>24</v>
      </c>
      <c r="C26" s="3" t="s">
        <v>30</v>
      </c>
      <c r="D26" s="2" t="s">
        <v>1056</v>
      </c>
      <c r="E26" s="3" t="s">
        <v>1012</v>
      </c>
      <c r="F26" s="3">
        <v>93</v>
      </c>
      <c r="G26" s="3">
        <v>93</v>
      </c>
      <c r="H26" s="8">
        <v>100</v>
      </c>
      <c r="I26" s="18"/>
    </row>
    <row r="27" spans="2:10" x14ac:dyDescent="0.3">
      <c r="B27" s="7">
        <v>25</v>
      </c>
      <c r="C27" s="3" t="s">
        <v>31</v>
      </c>
      <c r="D27" s="2" t="s">
        <v>1058</v>
      </c>
      <c r="E27" s="3" t="s">
        <v>1012</v>
      </c>
      <c r="F27" s="3">
        <v>31</v>
      </c>
      <c r="G27" s="3">
        <v>31</v>
      </c>
      <c r="H27" s="8">
        <v>500</v>
      </c>
      <c r="I27" s="18"/>
    </row>
    <row r="28" spans="2:10" x14ac:dyDescent="0.3">
      <c r="B28" s="7">
        <v>26</v>
      </c>
      <c r="C28" s="3" t="s">
        <v>32</v>
      </c>
      <c r="D28" s="2" t="s">
        <v>1065</v>
      </c>
      <c r="E28" s="3" t="s">
        <v>1009</v>
      </c>
      <c r="F28" s="3">
        <v>99</v>
      </c>
      <c r="G28" s="3">
        <v>99</v>
      </c>
      <c r="H28" s="8">
        <v>200</v>
      </c>
      <c r="I28" s="18"/>
    </row>
    <row r="29" spans="2:10" x14ac:dyDescent="0.3">
      <c r="B29" s="7">
        <v>27</v>
      </c>
      <c r="C29" s="3" t="s">
        <v>33</v>
      </c>
      <c r="D29" s="2" t="s">
        <v>1075</v>
      </c>
      <c r="E29" s="3" t="s">
        <v>1009</v>
      </c>
      <c r="F29" s="3">
        <v>82</v>
      </c>
      <c r="G29" s="3">
        <v>82</v>
      </c>
      <c r="H29" s="8">
        <v>2000</v>
      </c>
      <c r="I29" s="18"/>
    </row>
    <row r="30" spans="2:10" x14ac:dyDescent="0.3">
      <c r="B30" s="7">
        <v>28</v>
      </c>
      <c r="C30" s="3" t="s">
        <v>34</v>
      </c>
      <c r="D30" s="2" t="s">
        <v>1018</v>
      </c>
      <c r="E30" s="3" t="s">
        <v>1012</v>
      </c>
      <c r="F30" s="3">
        <v>91</v>
      </c>
      <c r="G30" s="3">
        <v>91</v>
      </c>
      <c r="H30" s="8">
        <v>3000</v>
      </c>
      <c r="I30" s="18"/>
    </row>
    <row r="31" spans="2:10" x14ac:dyDescent="0.3">
      <c r="B31" s="7">
        <v>29</v>
      </c>
      <c r="C31" s="3" t="s">
        <v>35</v>
      </c>
      <c r="D31" s="2" t="s">
        <v>1017</v>
      </c>
      <c r="E31" s="3" t="s">
        <v>1012</v>
      </c>
      <c r="F31" s="3">
        <v>165</v>
      </c>
      <c r="G31" s="3">
        <v>165</v>
      </c>
      <c r="H31" s="8">
        <v>200</v>
      </c>
      <c r="I31" s="18"/>
    </row>
    <row r="32" spans="2:10" x14ac:dyDescent="0.3">
      <c r="B32" s="7">
        <v>30</v>
      </c>
      <c r="C32" s="3" t="s">
        <v>36</v>
      </c>
      <c r="D32" s="2" t="s">
        <v>1038</v>
      </c>
      <c r="E32" s="3" t="s">
        <v>1007</v>
      </c>
      <c r="F32" s="3">
        <v>76</v>
      </c>
      <c r="G32" s="3">
        <v>76</v>
      </c>
      <c r="H32" s="8">
        <v>5000</v>
      </c>
      <c r="I32" s="18"/>
    </row>
    <row r="33" spans="2:9" x14ac:dyDescent="0.3">
      <c r="B33" s="7">
        <v>31</v>
      </c>
      <c r="C33" s="3" t="s">
        <v>37</v>
      </c>
      <c r="D33" s="2" t="s">
        <v>1038</v>
      </c>
      <c r="E33" s="3" t="s">
        <v>1007</v>
      </c>
      <c r="F33" s="3">
        <v>86</v>
      </c>
      <c r="G33" s="3">
        <v>86</v>
      </c>
      <c r="H33" s="8">
        <v>5000</v>
      </c>
      <c r="I33" s="18"/>
    </row>
    <row r="34" spans="2:9" x14ac:dyDescent="0.3">
      <c r="B34" s="7">
        <v>32</v>
      </c>
      <c r="C34" s="3" t="s">
        <v>38</v>
      </c>
      <c r="D34" s="2" t="s">
        <v>1048</v>
      </c>
      <c r="E34" s="3" t="s">
        <v>1010</v>
      </c>
      <c r="F34" s="3">
        <v>197</v>
      </c>
      <c r="G34" s="3">
        <v>197</v>
      </c>
      <c r="H34" s="8">
        <v>50</v>
      </c>
      <c r="I34" s="18"/>
    </row>
    <row r="35" spans="2:9" x14ac:dyDescent="0.3">
      <c r="B35" s="7">
        <v>33</v>
      </c>
      <c r="C35" s="3" t="s">
        <v>39</v>
      </c>
      <c r="D35" s="2" t="s">
        <v>1047</v>
      </c>
      <c r="E35" s="3" t="s">
        <v>1010</v>
      </c>
      <c r="F35" s="3">
        <v>39</v>
      </c>
      <c r="G35" s="3">
        <v>39</v>
      </c>
      <c r="H35" s="8">
        <v>500</v>
      </c>
      <c r="I35" s="18"/>
    </row>
    <row r="36" spans="2:9" x14ac:dyDescent="0.3">
      <c r="B36" s="7">
        <v>34</v>
      </c>
      <c r="C36" s="3" t="s">
        <v>40</v>
      </c>
      <c r="D36" s="2" t="s">
        <v>1063</v>
      </c>
      <c r="E36" s="3" t="s">
        <v>1009</v>
      </c>
      <c r="F36" s="3">
        <v>184</v>
      </c>
      <c r="G36" s="3">
        <v>184</v>
      </c>
      <c r="H36" s="8">
        <v>4500</v>
      </c>
      <c r="I36" s="18"/>
    </row>
    <row r="37" spans="2:9" x14ac:dyDescent="0.3">
      <c r="B37" s="7">
        <v>35</v>
      </c>
      <c r="C37" s="3" t="s">
        <v>41</v>
      </c>
      <c r="D37" s="2" t="s">
        <v>1029</v>
      </c>
      <c r="E37" s="3" t="s">
        <v>1008</v>
      </c>
      <c r="F37" s="3">
        <v>43</v>
      </c>
      <c r="G37" s="3">
        <v>43</v>
      </c>
      <c r="H37" s="8">
        <v>3000</v>
      </c>
      <c r="I37" s="18"/>
    </row>
    <row r="38" spans="2:9" x14ac:dyDescent="0.3">
      <c r="B38" s="7">
        <v>36</v>
      </c>
      <c r="C38" s="3" t="s">
        <v>42</v>
      </c>
      <c r="D38" s="2" t="s">
        <v>1058</v>
      </c>
      <c r="E38" s="3" t="s">
        <v>1012</v>
      </c>
      <c r="F38" s="3">
        <v>149</v>
      </c>
      <c r="G38" s="3">
        <v>149</v>
      </c>
      <c r="H38" s="8">
        <v>500</v>
      </c>
      <c r="I38" s="18"/>
    </row>
    <row r="39" spans="2:9" x14ac:dyDescent="0.3">
      <c r="B39" s="7">
        <v>37</v>
      </c>
      <c r="C39" s="3" t="s">
        <v>43</v>
      </c>
      <c r="D39" s="2" t="s">
        <v>1081</v>
      </c>
      <c r="E39" s="3" t="s">
        <v>1011</v>
      </c>
      <c r="F39" s="3">
        <v>179</v>
      </c>
      <c r="G39" s="3">
        <v>179</v>
      </c>
      <c r="H39" s="8">
        <v>1000</v>
      </c>
      <c r="I39" s="18"/>
    </row>
    <row r="40" spans="2:9" x14ac:dyDescent="0.3">
      <c r="B40" s="7">
        <v>38</v>
      </c>
      <c r="C40" s="3" t="s">
        <v>44</v>
      </c>
      <c r="D40" s="2" t="s">
        <v>1049</v>
      </c>
      <c r="E40" s="3" t="s">
        <v>1010</v>
      </c>
      <c r="F40" s="3">
        <v>165</v>
      </c>
      <c r="G40" s="3">
        <v>165</v>
      </c>
      <c r="H40" s="8">
        <v>20</v>
      </c>
      <c r="I40" s="18"/>
    </row>
    <row r="41" spans="2:9" x14ac:dyDescent="0.3">
      <c r="B41" s="7">
        <v>39</v>
      </c>
      <c r="C41" s="3" t="s">
        <v>45</v>
      </c>
      <c r="D41" s="2" t="s">
        <v>1054</v>
      </c>
      <c r="E41" s="3" t="s">
        <v>1010</v>
      </c>
      <c r="F41" s="3">
        <v>33</v>
      </c>
      <c r="G41" s="3">
        <v>33</v>
      </c>
      <c r="H41" s="8">
        <v>30</v>
      </c>
      <c r="I41" s="18"/>
    </row>
    <row r="42" spans="2:9" x14ac:dyDescent="0.3">
      <c r="B42" s="7">
        <v>40</v>
      </c>
      <c r="C42" s="3" t="s">
        <v>46</v>
      </c>
      <c r="D42" s="2" t="s">
        <v>1025</v>
      </c>
      <c r="E42" s="3" t="s">
        <v>1008</v>
      </c>
      <c r="F42" s="3">
        <v>180</v>
      </c>
      <c r="G42" s="3">
        <v>180</v>
      </c>
      <c r="H42" s="8">
        <v>30000</v>
      </c>
      <c r="I42" s="18"/>
    </row>
    <row r="43" spans="2:9" x14ac:dyDescent="0.3">
      <c r="B43" s="7">
        <v>41</v>
      </c>
      <c r="C43" s="3" t="s">
        <v>47</v>
      </c>
      <c r="D43" s="2" t="s">
        <v>1017</v>
      </c>
      <c r="E43" s="3" t="s">
        <v>1012</v>
      </c>
      <c r="F43" s="3">
        <v>55</v>
      </c>
      <c r="G43" s="3">
        <v>55</v>
      </c>
      <c r="H43" s="8">
        <v>200</v>
      </c>
      <c r="I43" s="18"/>
    </row>
    <row r="44" spans="2:9" x14ac:dyDescent="0.3">
      <c r="B44" s="7">
        <v>42</v>
      </c>
      <c r="C44" s="3" t="s">
        <v>48</v>
      </c>
      <c r="D44" s="2" t="s">
        <v>1045</v>
      </c>
      <c r="E44" s="3" t="s">
        <v>1010</v>
      </c>
      <c r="F44" s="3">
        <v>156</v>
      </c>
      <c r="G44" s="3">
        <v>156</v>
      </c>
      <c r="H44" s="8">
        <v>100</v>
      </c>
      <c r="I44" s="18"/>
    </row>
    <row r="45" spans="2:9" x14ac:dyDescent="0.3">
      <c r="B45" s="7">
        <v>43</v>
      </c>
      <c r="C45" s="3" t="s">
        <v>49</v>
      </c>
      <c r="D45" s="2" t="s">
        <v>1053</v>
      </c>
      <c r="E45" s="3" t="s">
        <v>1010</v>
      </c>
      <c r="F45" s="3">
        <v>53</v>
      </c>
      <c r="G45" s="3">
        <v>53</v>
      </c>
      <c r="H45" s="8">
        <v>10</v>
      </c>
      <c r="I45" s="18"/>
    </row>
    <row r="46" spans="2:9" x14ac:dyDescent="0.3">
      <c r="B46" s="7">
        <v>44</v>
      </c>
      <c r="C46" s="3" t="s">
        <v>50</v>
      </c>
      <c r="D46" s="2" t="s">
        <v>1039</v>
      </c>
      <c r="E46" s="3" t="s">
        <v>1007</v>
      </c>
      <c r="F46" s="3">
        <v>35</v>
      </c>
      <c r="G46" s="3">
        <v>35</v>
      </c>
      <c r="H46" s="8">
        <v>12000</v>
      </c>
      <c r="I46" s="18"/>
    </row>
    <row r="47" spans="2:9" x14ac:dyDescent="0.3">
      <c r="B47" s="7">
        <v>45</v>
      </c>
      <c r="C47" s="3" t="s">
        <v>51</v>
      </c>
      <c r="D47" s="2" t="s">
        <v>1053</v>
      </c>
      <c r="E47" s="3" t="s">
        <v>1010</v>
      </c>
      <c r="F47" s="3">
        <v>104</v>
      </c>
      <c r="G47" s="3">
        <v>104</v>
      </c>
      <c r="H47" s="8">
        <v>10</v>
      </c>
      <c r="I47" s="18"/>
    </row>
    <row r="48" spans="2:9" x14ac:dyDescent="0.3">
      <c r="B48" s="7">
        <v>46</v>
      </c>
      <c r="C48" s="3" t="s">
        <v>52</v>
      </c>
      <c r="D48" s="2" t="s">
        <v>1063</v>
      </c>
      <c r="E48" s="3" t="s">
        <v>1009</v>
      </c>
      <c r="F48" s="3">
        <v>57</v>
      </c>
      <c r="G48" s="3">
        <v>57</v>
      </c>
      <c r="H48" s="8">
        <v>4500</v>
      </c>
      <c r="I48" s="18"/>
    </row>
    <row r="49" spans="2:9" x14ac:dyDescent="0.3">
      <c r="B49" s="7">
        <v>47</v>
      </c>
      <c r="C49" s="3" t="s">
        <v>53</v>
      </c>
      <c r="D49" s="2" t="s">
        <v>1079</v>
      </c>
      <c r="E49" s="3" t="s">
        <v>1011</v>
      </c>
      <c r="F49" s="3">
        <v>37</v>
      </c>
      <c r="G49" s="3">
        <v>37</v>
      </c>
      <c r="H49" s="8">
        <v>5000</v>
      </c>
      <c r="I49" s="18"/>
    </row>
    <row r="50" spans="2:9" x14ac:dyDescent="0.3">
      <c r="B50" s="7">
        <v>48</v>
      </c>
      <c r="C50" s="3" t="s">
        <v>54</v>
      </c>
      <c r="D50" s="2" t="s">
        <v>1037</v>
      </c>
      <c r="E50" s="3" t="s">
        <v>1007</v>
      </c>
      <c r="F50" s="3">
        <v>163</v>
      </c>
      <c r="G50" s="3">
        <v>163</v>
      </c>
      <c r="H50" s="8">
        <v>10000</v>
      </c>
      <c r="I50" s="18"/>
    </row>
    <row r="51" spans="2:9" x14ac:dyDescent="0.3">
      <c r="B51" s="7">
        <v>49</v>
      </c>
      <c r="C51" s="3" t="s">
        <v>55</v>
      </c>
      <c r="D51" s="2" t="s">
        <v>1036</v>
      </c>
      <c r="E51" s="3" t="s">
        <v>1007</v>
      </c>
      <c r="F51" s="3">
        <v>107</v>
      </c>
      <c r="G51" s="3">
        <v>107</v>
      </c>
      <c r="H51" s="8">
        <v>8000</v>
      </c>
      <c r="I51" s="18"/>
    </row>
    <row r="52" spans="2:9" x14ac:dyDescent="0.3">
      <c r="B52" s="7">
        <v>50</v>
      </c>
      <c r="C52" s="3" t="s">
        <v>56</v>
      </c>
      <c r="D52" s="2" t="s">
        <v>1039</v>
      </c>
      <c r="E52" s="3" t="s">
        <v>1007</v>
      </c>
      <c r="F52" s="3">
        <v>187</v>
      </c>
      <c r="G52" s="3">
        <v>187</v>
      </c>
      <c r="H52" s="8">
        <v>12000</v>
      </c>
      <c r="I52" s="18"/>
    </row>
    <row r="53" spans="2:9" x14ac:dyDescent="0.3">
      <c r="B53" s="7">
        <v>51</v>
      </c>
      <c r="C53" s="3" t="s">
        <v>57</v>
      </c>
      <c r="D53" s="2" t="s">
        <v>1035</v>
      </c>
      <c r="E53" s="3" t="s">
        <v>1007</v>
      </c>
      <c r="F53" s="3">
        <v>183</v>
      </c>
      <c r="G53" s="3">
        <v>183</v>
      </c>
      <c r="H53" s="8">
        <v>15000</v>
      </c>
      <c r="I53" s="18"/>
    </row>
    <row r="54" spans="2:9" x14ac:dyDescent="0.3">
      <c r="B54" s="7">
        <v>52</v>
      </c>
      <c r="C54" s="3" t="s">
        <v>58</v>
      </c>
      <c r="D54" s="2" t="s">
        <v>1084</v>
      </c>
      <c r="E54" s="3" t="s">
        <v>1011</v>
      </c>
      <c r="F54" s="3">
        <v>58</v>
      </c>
      <c r="G54" s="3">
        <v>58</v>
      </c>
      <c r="H54" s="8">
        <v>2000</v>
      </c>
      <c r="I54" s="18"/>
    </row>
    <row r="55" spans="2:9" x14ac:dyDescent="0.3">
      <c r="B55" s="7">
        <v>53</v>
      </c>
      <c r="C55" s="3" t="s">
        <v>59</v>
      </c>
      <c r="D55" s="2" t="s">
        <v>1079</v>
      </c>
      <c r="E55" s="3" t="s">
        <v>1011</v>
      </c>
      <c r="F55" s="3">
        <v>49</v>
      </c>
      <c r="G55" s="3">
        <v>49</v>
      </c>
      <c r="H55" s="8">
        <v>5000</v>
      </c>
      <c r="I55" s="18"/>
    </row>
    <row r="56" spans="2:9" x14ac:dyDescent="0.3">
      <c r="B56" s="7">
        <v>54</v>
      </c>
      <c r="C56" s="3" t="s">
        <v>60</v>
      </c>
      <c r="D56" s="2" t="s">
        <v>1065</v>
      </c>
      <c r="E56" s="3" t="s">
        <v>1009</v>
      </c>
      <c r="F56" s="3">
        <v>124</v>
      </c>
      <c r="G56" s="3">
        <v>124</v>
      </c>
      <c r="H56" s="8">
        <v>200</v>
      </c>
      <c r="I56" s="18"/>
    </row>
    <row r="57" spans="2:9" x14ac:dyDescent="0.3">
      <c r="B57" s="7">
        <v>55</v>
      </c>
      <c r="C57" s="3" t="s">
        <v>61</v>
      </c>
      <c r="D57" s="2" t="s">
        <v>1083</v>
      </c>
      <c r="E57" s="3" t="s">
        <v>1011</v>
      </c>
      <c r="F57" s="3">
        <v>52</v>
      </c>
      <c r="G57" s="3">
        <v>52</v>
      </c>
      <c r="H57" s="8">
        <v>3000</v>
      </c>
      <c r="I57" s="18"/>
    </row>
    <row r="58" spans="2:9" x14ac:dyDescent="0.3">
      <c r="B58" s="7">
        <v>56</v>
      </c>
      <c r="C58" s="3" t="s">
        <v>62</v>
      </c>
      <c r="D58" s="2" t="s">
        <v>1083</v>
      </c>
      <c r="E58" s="3" t="s">
        <v>1011</v>
      </c>
      <c r="F58" s="3">
        <v>177</v>
      </c>
      <c r="G58" s="3">
        <v>177</v>
      </c>
      <c r="H58" s="8">
        <v>3000</v>
      </c>
      <c r="I58" s="18"/>
    </row>
    <row r="59" spans="2:9" x14ac:dyDescent="0.3">
      <c r="B59" s="7">
        <v>57</v>
      </c>
      <c r="C59" s="3" t="s">
        <v>63</v>
      </c>
      <c r="D59" s="2" t="s">
        <v>1035</v>
      </c>
      <c r="E59" s="3" t="s">
        <v>1007</v>
      </c>
      <c r="F59" s="3">
        <v>180</v>
      </c>
      <c r="G59" s="3">
        <v>180</v>
      </c>
      <c r="H59" s="8">
        <v>15000</v>
      </c>
      <c r="I59" s="18"/>
    </row>
    <row r="60" spans="2:9" x14ac:dyDescent="0.3">
      <c r="B60" s="7">
        <v>58</v>
      </c>
      <c r="C60" s="3" t="s">
        <v>64</v>
      </c>
      <c r="D60" s="2" t="s">
        <v>1049</v>
      </c>
      <c r="E60" s="3" t="s">
        <v>1010</v>
      </c>
      <c r="F60" s="3">
        <v>140</v>
      </c>
      <c r="G60" s="3">
        <v>140</v>
      </c>
      <c r="H60" s="8">
        <v>20</v>
      </c>
      <c r="I60" s="18"/>
    </row>
    <row r="61" spans="2:9" x14ac:dyDescent="0.3">
      <c r="B61" s="7">
        <v>59</v>
      </c>
      <c r="C61" s="3" t="s">
        <v>65</v>
      </c>
      <c r="D61" s="2" t="s">
        <v>1053</v>
      </c>
      <c r="E61" s="3" t="s">
        <v>1010</v>
      </c>
      <c r="F61" s="3">
        <v>158</v>
      </c>
      <c r="G61" s="3">
        <v>158</v>
      </c>
      <c r="H61" s="8">
        <v>10</v>
      </c>
      <c r="I61" s="18"/>
    </row>
    <row r="62" spans="2:9" x14ac:dyDescent="0.3">
      <c r="B62" s="7">
        <v>60</v>
      </c>
      <c r="C62" s="3" t="s">
        <v>66</v>
      </c>
      <c r="D62" s="2" t="s">
        <v>1027</v>
      </c>
      <c r="E62" s="3" t="s">
        <v>1008</v>
      </c>
      <c r="F62" s="3">
        <v>182</v>
      </c>
      <c r="G62" s="3">
        <v>182</v>
      </c>
      <c r="H62" s="8">
        <v>30000</v>
      </c>
      <c r="I62" s="18"/>
    </row>
    <row r="63" spans="2:9" x14ac:dyDescent="0.3">
      <c r="B63" s="7">
        <v>61</v>
      </c>
      <c r="C63" s="3" t="s">
        <v>67</v>
      </c>
      <c r="D63" s="2" t="s">
        <v>1037</v>
      </c>
      <c r="E63" s="3" t="s">
        <v>1007</v>
      </c>
      <c r="F63" s="3">
        <v>184</v>
      </c>
      <c r="G63" s="3">
        <v>184</v>
      </c>
      <c r="H63" s="8">
        <v>10000</v>
      </c>
      <c r="I63" s="18"/>
    </row>
    <row r="64" spans="2:9" x14ac:dyDescent="0.3">
      <c r="B64" s="7">
        <v>62</v>
      </c>
      <c r="C64" s="3" t="s">
        <v>68</v>
      </c>
      <c r="D64" s="2" t="s">
        <v>1053</v>
      </c>
      <c r="E64" s="3" t="s">
        <v>1010</v>
      </c>
      <c r="F64" s="3">
        <v>164</v>
      </c>
      <c r="G64" s="3">
        <v>164</v>
      </c>
      <c r="H64" s="8">
        <v>10</v>
      </c>
      <c r="I64" s="18"/>
    </row>
    <row r="65" spans="2:9" x14ac:dyDescent="0.3">
      <c r="B65" s="7">
        <v>63</v>
      </c>
      <c r="C65" s="3" t="s">
        <v>69</v>
      </c>
      <c r="D65" s="2" t="s">
        <v>1037</v>
      </c>
      <c r="E65" s="3" t="s">
        <v>1007</v>
      </c>
      <c r="F65" s="3">
        <v>120</v>
      </c>
      <c r="G65" s="3">
        <v>120</v>
      </c>
      <c r="H65" s="8">
        <v>10000</v>
      </c>
      <c r="I65" s="18"/>
    </row>
    <row r="66" spans="2:9" x14ac:dyDescent="0.3">
      <c r="B66" s="7">
        <v>64</v>
      </c>
      <c r="C66" s="3" t="s">
        <v>70</v>
      </c>
      <c r="D66" s="2" t="s">
        <v>1026</v>
      </c>
      <c r="E66" s="3" t="s">
        <v>1008</v>
      </c>
      <c r="F66" s="3">
        <v>116</v>
      </c>
      <c r="G66" s="3">
        <v>116</v>
      </c>
      <c r="H66" s="8">
        <v>6000</v>
      </c>
      <c r="I66" s="18"/>
    </row>
    <row r="67" spans="2:9" x14ac:dyDescent="0.3">
      <c r="B67" s="7">
        <v>65</v>
      </c>
      <c r="C67" s="3" t="s">
        <v>71</v>
      </c>
      <c r="D67" s="2" t="s">
        <v>1062</v>
      </c>
      <c r="E67" s="3" t="s">
        <v>1009</v>
      </c>
      <c r="F67" s="3">
        <v>44</v>
      </c>
      <c r="G67" s="3">
        <v>44</v>
      </c>
      <c r="H67" s="8">
        <v>100</v>
      </c>
      <c r="I67" s="18"/>
    </row>
    <row r="68" spans="2:9" x14ac:dyDescent="0.3">
      <c r="B68" s="7">
        <v>66</v>
      </c>
      <c r="C68" s="3" t="s">
        <v>72</v>
      </c>
      <c r="D68" s="2" t="s">
        <v>1027</v>
      </c>
      <c r="E68" s="3" t="s">
        <v>1008</v>
      </c>
      <c r="F68" s="3">
        <v>64</v>
      </c>
      <c r="G68" s="3">
        <v>64</v>
      </c>
      <c r="H68" s="8">
        <v>30000</v>
      </c>
      <c r="I68" s="18"/>
    </row>
    <row r="69" spans="2:9" x14ac:dyDescent="0.3">
      <c r="B69" s="7">
        <v>67</v>
      </c>
      <c r="C69" s="3" t="s">
        <v>73</v>
      </c>
      <c r="D69" s="2" t="s">
        <v>1082</v>
      </c>
      <c r="E69" s="3" t="s">
        <v>1011</v>
      </c>
      <c r="F69" s="3">
        <v>100</v>
      </c>
      <c r="G69" s="3">
        <v>100</v>
      </c>
      <c r="H69" s="8">
        <v>2000</v>
      </c>
      <c r="I69" s="18"/>
    </row>
    <row r="70" spans="2:9" x14ac:dyDescent="0.3">
      <c r="B70" s="7">
        <v>68</v>
      </c>
      <c r="C70" s="3" t="s">
        <v>74</v>
      </c>
      <c r="D70" s="2" t="s">
        <v>1041</v>
      </c>
      <c r="E70" s="3" t="s">
        <v>1007</v>
      </c>
      <c r="F70" s="3">
        <v>135</v>
      </c>
      <c r="G70" s="3">
        <v>135</v>
      </c>
      <c r="H70" s="8">
        <v>2000</v>
      </c>
      <c r="I70" s="18"/>
    </row>
    <row r="71" spans="2:9" x14ac:dyDescent="0.3">
      <c r="B71" s="7">
        <v>69</v>
      </c>
      <c r="C71" s="3" t="s">
        <v>75</v>
      </c>
      <c r="D71" s="2" t="s">
        <v>1045</v>
      </c>
      <c r="E71" s="3" t="s">
        <v>1010</v>
      </c>
      <c r="F71" s="3">
        <v>174</v>
      </c>
      <c r="G71" s="3">
        <v>174</v>
      </c>
      <c r="H71" s="8">
        <v>100</v>
      </c>
      <c r="I71" s="18"/>
    </row>
    <row r="72" spans="2:9" x14ac:dyDescent="0.3">
      <c r="B72" s="7">
        <v>70</v>
      </c>
      <c r="C72" s="3" t="s">
        <v>76</v>
      </c>
      <c r="D72" s="2" t="s">
        <v>1084</v>
      </c>
      <c r="E72" s="3" t="s">
        <v>1011</v>
      </c>
      <c r="F72" s="3">
        <v>104</v>
      </c>
      <c r="G72" s="3">
        <v>104</v>
      </c>
      <c r="H72" s="8">
        <v>2000</v>
      </c>
      <c r="I72" s="18"/>
    </row>
    <row r="73" spans="2:9" x14ac:dyDescent="0.3">
      <c r="B73" s="7">
        <v>71</v>
      </c>
      <c r="C73" s="3" t="s">
        <v>77</v>
      </c>
      <c r="D73" s="2" t="s">
        <v>1070</v>
      </c>
      <c r="E73" s="3" t="s">
        <v>1009</v>
      </c>
      <c r="F73" s="3">
        <v>74</v>
      </c>
      <c r="G73" s="3">
        <v>74</v>
      </c>
      <c r="H73" s="8">
        <v>1500</v>
      </c>
      <c r="I73" s="18"/>
    </row>
    <row r="74" spans="2:9" x14ac:dyDescent="0.3">
      <c r="B74" s="7">
        <v>72</v>
      </c>
      <c r="C74" s="3" t="s">
        <v>78</v>
      </c>
      <c r="D74" s="2" t="s">
        <v>1051</v>
      </c>
      <c r="E74" s="3" t="s">
        <v>1010</v>
      </c>
      <c r="F74" s="3">
        <v>131</v>
      </c>
      <c r="G74" s="3">
        <v>131</v>
      </c>
      <c r="H74" s="8">
        <v>50</v>
      </c>
      <c r="I74" s="18"/>
    </row>
    <row r="75" spans="2:9" x14ac:dyDescent="0.3">
      <c r="B75" s="7">
        <v>73</v>
      </c>
      <c r="C75" s="3" t="s">
        <v>79</v>
      </c>
      <c r="D75" s="2" t="s">
        <v>1058</v>
      </c>
      <c r="E75" s="3" t="s">
        <v>1012</v>
      </c>
      <c r="F75" s="3">
        <v>163</v>
      </c>
      <c r="G75" s="3">
        <v>163</v>
      </c>
      <c r="H75" s="8">
        <v>500</v>
      </c>
      <c r="I75" s="18"/>
    </row>
    <row r="76" spans="2:9" x14ac:dyDescent="0.3">
      <c r="B76" s="7">
        <v>74</v>
      </c>
      <c r="C76" s="3" t="s">
        <v>80</v>
      </c>
      <c r="D76" s="2" t="s">
        <v>1079</v>
      </c>
      <c r="E76" s="3" t="s">
        <v>1011</v>
      </c>
      <c r="F76" s="3">
        <v>187</v>
      </c>
      <c r="G76" s="3">
        <v>187</v>
      </c>
      <c r="H76" s="8">
        <v>5000</v>
      </c>
      <c r="I76" s="18"/>
    </row>
    <row r="77" spans="2:9" x14ac:dyDescent="0.3">
      <c r="B77" s="7">
        <v>75</v>
      </c>
      <c r="C77" s="3" t="s">
        <v>81</v>
      </c>
      <c r="D77" s="2" t="s">
        <v>1030</v>
      </c>
      <c r="E77" s="3" t="s">
        <v>1008</v>
      </c>
      <c r="F77" s="3">
        <v>124</v>
      </c>
      <c r="G77" s="3">
        <v>124</v>
      </c>
      <c r="H77" s="8">
        <v>70000</v>
      </c>
      <c r="I77" s="18"/>
    </row>
    <row r="78" spans="2:9" x14ac:dyDescent="0.3">
      <c r="B78" s="7">
        <v>76</v>
      </c>
      <c r="C78" s="3" t="s">
        <v>82</v>
      </c>
      <c r="D78" s="2" t="s">
        <v>1023</v>
      </c>
      <c r="E78" s="3" t="s">
        <v>1008</v>
      </c>
      <c r="F78" s="3">
        <v>133</v>
      </c>
      <c r="G78" s="3">
        <v>133</v>
      </c>
      <c r="H78" s="8">
        <v>20000</v>
      </c>
      <c r="I78" s="18"/>
    </row>
    <row r="79" spans="2:9" x14ac:dyDescent="0.3">
      <c r="B79" s="7">
        <v>77</v>
      </c>
      <c r="C79" s="3" t="s">
        <v>83</v>
      </c>
      <c r="D79" s="2" t="s">
        <v>1056</v>
      </c>
      <c r="E79" s="3" t="s">
        <v>1012</v>
      </c>
      <c r="F79" s="3">
        <v>49</v>
      </c>
      <c r="G79" s="3">
        <v>49</v>
      </c>
      <c r="H79" s="8">
        <v>100</v>
      </c>
      <c r="I79" s="18"/>
    </row>
    <row r="80" spans="2:9" x14ac:dyDescent="0.3">
      <c r="B80" s="7">
        <v>78</v>
      </c>
      <c r="C80" s="3" t="s">
        <v>84</v>
      </c>
      <c r="D80" s="2" t="s">
        <v>1036</v>
      </c>
      <c r="E80" s="3" t="s">
        <v>1007</v>
      </c>
      <c r="F80" s="3">
        <v>64</v>
      </c>
      <c r="G80" s="3">
        <v>64</v>
      </c>
      <c r="H80" s="8">
        <v>8000</v>
      </c>
      <c r="I80" s="18"/>
    </row>
    <row r="81" spans="2:9" x14ac:dyDescent="0.3">
      <c r="B81" s="7">
        <v>79</v>
      </c>
      <c r="C81" s="3" t="s">
        <v>85</v>
      </c>
      <c r="D81" s="2" t="s">
        <v>1047</v>
      </c>
      <c r="E81" s="3" t="s">
        <v>1010</v>
      </c>
      <c r="F81" s="3">
        <v>129</v>
      </c>
      <c r="G81" s="3">
        <v>129</v>
      </c>
      <c r="H81" s="8">
        <v>500</v>
      </c>
      <c r="I81" s="18"/>
    </row>
    <row r="82" spans="2:9" x14ac:dyDescent="0.3">
      <c r="B82" s="7">
        <v>80</v>
      </c>
      <c r="C82" s="3" t="s">
        <v>86</v>
      </c>
      <c r="D82" s="2" t="s">
        <v>1057</v>
      </c>
      <c r="E82" s="3" t="s">
        <v>1012</v>
      </c>
      <c r="F82" s="3">
        <v>54</v>
      </c>
      <c r="G82" s="3">
        <v>54</v>
      </c>
      <c r="H82" s="8">
        <v>500</v>
      </c>
      <c r="I82" s="18"/>
    </row>
    <row r="83" spans="2:9" x14ac:dyDescent="0.3">
      <c r="B83" s="7">
        <v>81</v>
      </c>
      <c r="C83" s="3" t="s">
        <v>87</v>
      </c>
      <c r="D83" s="2" t="s">
        <v>1035</v>
      </c>
      <c r="E83" s="3" t="s">
        <v>1007</v>
      </c>
      <c r="F83" s="3">
        <v>196</v>
      </c>
      <c r="G83" s="3">
        <v>196</v>
      </c>
      <c r="H83" s="8">
        <v>15000</v>
      </c>
      <c r="I83" s="18"/>
    </row>
    <row r="84" spans="2:9" x14ac:dyDescent="0.3">
      <c r="B84" s="7">
        <v>82</v>
      </c>
      <c r="C84" s="3" t="s">
        <v>88</v>
      </c>
      <c r="D84" s="2" t="s">
        <v>1031</v>
      </c>
      <c r="E84" s="3" t="s">
        <v>1008</v>
      </c>
      <c r="F84" s="3">
        <v>168</v>
      </c>
      <c r="G84" s="3">
        <v>168</v>
      </c>
      <c r="H84" s="8">
        <v>40000</v>
      </c>
      <c r="I84" s="18"/>
    </row>
    <row r="85" spans="2:9" x14ac:dyDescent="0.3">
      <c r="B85" s="7">
        <v>83</v>
      </c>
      <c r="C85" s="3" t="s">
        <v>89</v>
      </c>
      <c r="D85" s="2" t="s">
        <v>1069</v>
      </c>
      <c r="E85" s="3" t="s">
        <v>1009</v>
      </c>
      <c r="F85" s="3">
        <v>54</v>
      </c>
      <c r="G85" s="3">
        <v>54</v>
      </c>
      <c r="H85" s="8">
        <v>200</v>
      </c>
      <c r="I85" s="18"/>
    </row>
    <row r="86" spans="2:9" x14ac:dyDescent="0.3">
      <c r="B86" s="7">
        <v>84</v>
      </c>
      <c r="C86" s="3" t="s">
        <v>90</v>
      </c>
      <c r="D86" s="2" t="s">
        <v>1058</v>
      </c>
      <c r="E86" s="3" t="s">
        <v>1012</v>
      </c>
      <c r="F86" s="3">
        <v>199</v>
      </c>
      <c r="G86" s="3">
        <v>199</v>
      </c>
      <c r="H86" s="8">
        <v>500</v>
      </c>
      <c r="I86" s="18"/>
    </row>
    <row r="87" spans="2:9" x14ac:dyDescent="0.3">
      <c r="B87" s="7">
        <v>85</v>
      </c>
      <c r="C87" s="3" t="s">
        <v>91</v>
      </c>
      <c r="D87" s="2" t="s">
        <v>1046</v>
      </c>
      <c r="E87" s="3" t="s">
        <v>1010</v>
      </c>
      <c r="F87" s="3">
        <v>111</v>
      </c>
      <c r="G87" s="3">
        <v>111</v>
      </c>
      <c r="H87" s="8">
        <v>100</v>
      </c>
      <c r="I87" s="18"/>
    </row>
    <row r="88" spans="2:9" x14ac:dyDescent="0.3">
      <c r="B88" s="7">
        <v>86</v>
      </c>
      <c r="C88" s="3" t="s">
        <v>92</v>
      </c>
      <c r="D88" s="2" t="s">
        <v>1061</v>
      </c>
      <c r="E88" s="3" t="s">
        <v>1012</v>
      </c>
      <c r="F88" s="3">
        <v>31</v>
      </c>
      <c r="G88" s="3">
        <v>31</v>
      </c>
      <c r="H88" s="8">
        <v>500</v>
      </c>
      <c r="I88" s="18"/>
    </row>
    <row r="89" spans="2:9" x14ac:dyDescent="0.3">
      <c r="B89" s="7">
        <v>87</v>
      </c>
      <c r="C89" s="3" t="s">
        <v>93</v>
      </c>
      <c r="D89" s="2" t="s">
        <v>1038</v>
      </c>
      <c r="E89" s="3" t="s">
        <v>1007</v>
      </c>
      <c r="F89" s="3">
        <v>65</v>
      </c>
      <c r="G89" s="3">
        <v>65</v>
      </c>
      <c r="H89" s="8">
        <v>5000</v>
      </c>
      <c r="I89" s="18"/>
    </row>
    <row r="90" spans="2:9" x14ac:dyDescent="0.3">
      <c r="B90" s="7">
        <v>88</v>
      </c>
      <c r="C90" s="3" t="s">
        <v>94</v>
      </c>
      <c r="D90" s="2" t="s">
        <v>1084</v>
      </c>
      <c r="E90" s="3" t="s">
        <v>1011</v>
      </c>
      <c r="F90" s="3">
        <v>174</v>
      </c>
      <c r="G90" s="3">
        <v>174</v>
      </c>
      <c r="H90" s="8">
        <v>2000</v>
      </c>
      <c r="I90" s="18"/>
    </row>
    <row r="91" spans="2:9" x14ac:dyDescent="0.3">
      <c r="B91" s="7">
        <v>89</v>
      </c>
      <c r="C91" s="3" t="s">
        <v>95</v>
      </c>
      <c r="D91" s="2" t="s">
        <v>1034</v>
      </c>
      <c r="E91" s="3" t="s">
        <v>1008</v>
      </c>
      <c r="F91" s="3">
        <v>132</v>
      </c>
      <c r="G91" s="3">
        <v>132</v>
      </c>
      <c r="H91" s="8">
        <v>50000</v>
      </c>
      <c r="I91" s="18"/>
    </row>
    <row r="92" spans="2:9" x14ac:dyDescent="0.3">
      <c r="B92" s="7">
        <v>90</v>
      </c>
      <c r="C92" s="3" t="s">
        <v>96</v>
      </c>
      <c r="D92" s="2" t="s">
        <v>1028</v>
      </c>
      <c r="E92" s="3" t="s">
        <v>1008</v>
      </c>
      <c r="F92" s="3">
        <v>114</v>
      </c>
      <c r="G92" s="3">
        <v>114</v>
      </c>
      <c r="H92" s="8">
        <v>15000</v>
      </c>
      <c r="I92" s="18"/>
    </row>
    <row r="93" spans="2:9" x14ac:dyDescent="0.3">
      <c r="B93" s="7">
        <v>91</v>
      </c>
      <c r="C93" s="3" t="s">
        <v>97</v>
      </c>
      <c r="D93" s="2" t="s">
        <v>1038</v>
      </c>
      <c r="E93" s="3" t="s">
        <v>1007</v>
      </c>
      <c r="F93" s="3">
        <v>69</v>
      </c>
      <c r="G93" s="3">
        <v>69</v>
      </c>
      <c r="H93" s="8">
        <v>5000</v>
      </c>
      <c r="I93" s="18"/>
    </row>
    <row r="94" spans="2:9" x14ac:dyDescent="0.3">
      <c r="B94" s="7">
        <v>92</v>
      </c>
      <c r="C94" s="3" t="s">
        <v>98</v>
      </c>
      <c r="D94" s="2" t="s">
        <v>1033</v>
      </c>
      <c r="E94" s="3" t="s">
        <v>1008</v>
      </c>
      <c r="F94" s="3">
        <v>108</v>
      </c>
      <c r="G94" s="3">
        <v>108</v>
      </c>
      <c r="H94" s="8">
        <v>4000</v>
      </c>
      <c r="I94" s="18"/>
    </row>
    <row r="95" spans="2:9" x14ac:dyDescent="0.3">
      <c r="B95" s="7">
        <v>93</v>
      </c>
      <c r="C95" s="3" t="s">
        <v>99</v>
      </c>
      <c r="D95" s="2" t="s">
        <v>1066</v>
      </c>
      <c r="E95" s="3" t="s">
        <v>1009</v>
      </c>
      <c r="F95" s="3">
        <v>53</v>
      </c>
      <c r="G95" s="3">
        <v>53</v>
      </c>
      <c r="H95" s="8">
        <v>800</v>
      </c>
      <c r="I95" s="18"/>
    </row>
    <row r="96" spans="2:9" x14ac:dyDescent="0.3">
      <c r="B96" s="7">
        <v>94</v>
      </c>
      <c r="C96" s="3" t="s">
        <v>100</v>
      </c>
      <c r="D96" s="2" t="s">
        <v>1055</v>
      </c>
      <c r="E96" s="3" t="s">
        <v>1010</v>
      </c>
      <c r="F96" s="3">
        <v>181</v>
      </c>
      <c r="G96" s="3">
        <v>181</v>
      </c>
      <c r="H96" s="8">
        <v>50</v>
      </c>
      <c r="I96" s="18"/>
    </row>
    <row r="97" spans="2:9" x14ac:dyDescent="0.3">
      <c r="B97" s="7">
        <v>95</v>
      </c>
      <c r="C97" s="3" t="s">
        <v>101</v>
      </c>
      <c r="D97" s="2" t="s">
        <v>1086</v>
      </c>
      <c r="E97" s="3" t="s">
        <v>1011</v>
      </c>
      <c r="F97" s="3">
        <v>153</v>
      </c>
      <c r="G97" s="3">
        <v>153</v>
      </c>
      <c r="H97" s="8">
        <v>4500</v>
      </c>
      <c r="I97" s="18"/>
    </row>
    <row r="98" spans="2:9" x14ac:dyDescent="0.3">
      <c r="B98" s="7">
        <v>96</v>
      </c>
      <c r="C98" s="3" t="s">
        <v>102</v>
      </c>
      <c r="D98" s="2" t="s">
        <v>1022</v>
      </c>
      <c r="E98" s="3" t="s">
        <v>1008</v>
      </c>
      <c r="F98" s="3">
        <v>111</v>
      </c>
      <c r="G98" s="3">
        <v>111</v>
      </c>
      <c r="H98" s="8">
        <v>0</v>
      </c>
      <c r="I98" s="18"/>
    </row>
    <row r="99" spans="2:9" x14ac:dyDescent="0.3">
      <c r="B99" s="7">
        <v>97</v>
      </c>
      <c r="C99" s="3" t="s">
        <v>103</v>
      </c>
      <c r="D99" s="2" t="s">
        <v>1066</v>
      </c>
      <c r="E99" s="3" t="s">
        <v>1009</v>
      </c>
      <c r="F99" s="3">
        <v>186</v>
      </c>
      <c r="G99" s="3">
        <v>186</v>
      </c>
      <c r="H99" s="8">
        <v>800</v>
      </c>
      <c r="I99" s="18"/>
    </row>
    <row r="100" spans="2:9" x14ac:dyDescent="0.3">
      <c r="B100" s="7">
        <v>98</v>
      </c>
      <c r="C100" s="3" t="s">
        <v>104</v>
      </c>
      <c r="D100" s="2" t="s">
        <v>1023</v>
      </c>
      <c r="E100" s="3" t="s">
        <v>1008</v>
      </c>
      <c r="F100" s="3">
        <v>147</v>
      </c>
      <c r="G100" s="3">
        <v>147</v>
      </c>
      <c r="H100" s="8">
        <v>20000</v>
      </c>
      <c r="I100" s="18"/>
    </row>
    <row r="101" spans="2:9" x14ac:dyDescent="0.3">
      <c r="B101" s="7">
        <v>99</v>
      </c>
      <c r="C101" s="3" t="s">
        <v>105</v>
      </c>
      <c r="D101" s="2" t="s">
        <v>1062</v>
      </c>
      <c r="E101" s="3" t="s">
        <v>1009</v>
      </c>
      <c r="F101" s="3">
        <v>172</v>
      </c>
      <c r="G101" s="3">
        <v>172</v>
      </c>
      <c r="H101" s="8">
        <v>100</v>
      </c>
      <c r="I101" s="18"/>
    </row>
    <row r="102" spans="2:9" x14ac:dyDescent="0.3">
      <c r="B102" s="7">
        <v>100</v>
      </c>
      <c r="C102" s="3" t="s">
        <v>106</v>
      </c>
      <c r="D102" s="2" t="s">
        <v>1055</v>
      </c>
      <c r="E102" s="3" t="s">
        <v>1010</v>
      </c>
      <c r="F102" s="3">
        <v>116</v>
      </c>
      <c r="G102" s="3">
        <v>116</v>
      </c>
      <c r="H102" s="8">
        <v>50</v>
      </c>
      <c r="I102" s="18"/>
    </row>
    <row r="103" spans="2:9" x14ac:dyDescent="0.3">
      <c r="B103" s="7">
        <v>101</v>
      </c>
      <c r="C103" s="3" t="s">
        <v>107</v>
      </c>
      <c r="D103" s="2" t="s">
        <v>1081</v>
      </c>
      <c r="E103" s="3" t="s">
        <v>1011</v>
      </c>
      <c r="F103" s="3">
        <v>155</v>
      </c>
      <c r="G103" s="3">
        <v>155</v>
      </c>
      <c r="H103" s="8">
        <v>1000</v>
      </c>
      <c r="I103" s="18"/>
    </row>
    <row r="104" spans="2:9" x14ac:dyDescent="0.3">
      <c r="B104" s="7">
        <v>102</v>
      </c>
      <c r="C104" s="3" t="s">
        <v>108</v>
      </c>
      <c r="D104" s="2" t="s">
        <v>1037</v>
      </c>
      <c r="E104" s="3" t="s">
        <v>1007</v>
      </c>
      <c r="F104" s="3">
        <v>120</v>
      </c>
      <c r="G104" s="3">
        <v>120</v>
      </c>
      <c r="H104" s="8">
        <v>10000</v>
      </c>
      <c r="I104" s="18"/>
    </row>
    <row r="105" spans="2:9" x14ac:dyDescent="0.3">
      <c r="B105" s="7">
        <v>103</v>
      </c>
      <c r="C105" s="3" t="s">
        <v>109</v>
      </c>
      <c r="D105" s="2" t="s">
        <v>1039</v>
      </c>
      <c r="E105" s="3" t="s">
        <v>1007</v>
      </c>
      <c r="F105" s="3">
        <v>197</v>
      </c>
      <c r="G105" s="3">
        <v>197</v>
      </c>
      <c r="H105" s="8">
        <v>12000</v>
      </c>
      <c r="I105" s="18"/>
    </row>
    <row r="106" spans="2:9" x14ac:dyDescent="0.3">
      <c r="B106" s="7">
        <v>104</v>
      </c>
      <c r="C106" s="3" t="s">
        <v>110</v>
      </c>
      <c r="D106" s="2" t="s">
        <v>1062</v>
      </c>
      <c r="E106" s="3" t="s">
        <v>1009</v>
      </c>
      <c r="F106" s="3">
        <v>176</v>
      </c>
      <c r="G106" s="3">
        <v>176</v>
      </c>
      <c r="H106" s="8">
        <v>100</v>
      </c>
      <c r="I106" s="18"/>
    </row>
    <row r="107" spans="2:9" x14ac:dyDescent="0.3">
      <c r="B107" s="7">
        <v>105</v>
      </c>
      <c r="C107" s="3" t="s">
        <v>111</v>
      </c>
      <c r="D107" s="2" t="s">
        <v>1080</v>
      </c>
      <c r="E107" s="3" t="s">
        <v>1011</v>
      </c>
      <c r="F107" s="3">
        <v>35</v>
      </c>
      <c r="G107" s="3">
        <v>35</v>
      </c>
      <c r="H107" s="8">
        <v>2500</v>
      </c>
      <c r="I107" s="18"/>
    </row>
    <row r="108" spans="2:9" x14ac:dyDescent="0.3">
      <c r="B108" s="7">
        <v>106</v>
      </c>
      <c r="C108" s="3" t="s">
        <v>112</v>
      </c>
      <c r="D108" s="2" t="s">
        <v>1065</v>
      </c>
      <c r="E108" s="3" t="s">
        <v>1009</v>
      </c>
      <c r="F108" s="3">
        <v>62</v>
      </c>
      <c r="G108" s="3">
        <v>62</v>
      </c>
      <c r="H108" s="8">
        <v>200</v>
      </c>
      <c r="I108" s="18"/>
    </row>
    <row r="109" spans="2:9" x14ac:dyDescent="0.3">
      <c r="B109" s="7">
        <v>107</v>
      </c>
      <c r="C109" s="3" t="s">
        <v>113</v>
      </c>
      <c r="D109" s="2" t="s">
        <v>1081</v>
      </c>
      <c r="E109" s="3" t="s">
        <v>1011</v>
      </c>
      <c r="F109" s="3">
        <v>165</v>
      </c>
      <c r="G109" s="3">
        <v>165</v>
      </c>
      <c r="H109" s="8">
        <v>1000</v>
      </c>
      <c r="I109" s="18"/>
    </row>
    <row r="110" spans="2:9" x14ac:dyDescent="0.3">
      <c r="B110" s="7">
        <v>108</v>
      </c>
      <c r="C110" s="3" t="s">
        <v>114</v>
      </c>
      <c r="D110" s="2" t="s">
        <v>1039</v>
      </c>
      <c r="E110" s="3" t="s">
        <v>1007</v>
      </c>
      <c r="F110" s="3">
        <v>141</v>
      </c>
      <c r="G110" s="3">
        <v>141</v>
      </c>
      <c r="H110" s="8">
        <v>12000</v>
      </c>
      <c r="I110" s="18"/>
    </row>
    <row r="111" spans="2:9" x14ac:dyDescent="0.3">
      <c r="B111" s="7">
        <v>109</v>
      </c>
      <c r="C111" s="3" t="s">
        <v>115</v>
      </c>
      <c r="D111" s="2" t="s">
        <v>1049</v>
      </c>
      <c r="E111" s="3" t="s">
        <v>1010</v>
      </c>
      <c r="F111" s="3">
        <v>107</v>
      </c>
      <c r="G111" s="3">
        <v>107</v>
      </c>
      <c r="H111" s="8">
        <v>20</v>
      </c>
      <c r="I111" s="18"/>
    </row>
    <row r="112" spans="2:9" x14ac:dyDescent="0.3">
      <c r="B112" s="7">
        <v>110</v>
      </c>
      <c r="C112" s="3" t="s">
        <v>116</v>
      </c>
      <c r="D112" s="2" t="s">
        <v>1066</v>
      </c>
      <c r="E112" s="3" t="s">
        <v>1009</v>
      </c>
      <c r="F112" s="3">
        <v>190</v>
      </c>
      <c r="G112" s="3">
        <v>190</v>
      </c>
      <c r="H112" s="8">
        <v>800</v>
      </c>
      <c r="I112" s="18"/>
    </row>
    <row r="113" spans="2:9" x14ac:dyDescent="0.3">
      <c r="B113" s="7">
        <v>111</v>
      </c>
      <c r="C113" s="3" t="s">
        <v>117</v>
      </c>
      <c r="D113" s="2" t="s">
        <v>1067</v>
      </c>
      <c r="E113" s="3" t="s">
        <v>1009</v>
      </c>
      <c r="F113" s="3">
        <v>106</v>
      </c>
      <c r="G113" s="3">
        <v>106</v>
      </c>
      <c r="H113" s="8">
        <v>100</v>
      </c>
      <c r="I113" s="18"/>
    </row>
    <row r="114" spans="2:9" x14ac:dyDescent="0.3">
      <c r="B114" s="7">
        <v>112</v>
      </c>
      <c r="C114" s="3" t="s">
        <v>118</v>
      </c>
      <c r="D114" s="2" t="s">
        <v>1079</v>
      </c>
      <c r="E114" s="3" t="s">
        <v>1011</v>
      </c>
      <c r="F114" s="3">
        <v>185</v>
      </c>
      <c r="G114" s="3">
        <v>185</v>
      </c>
      <c r="H114" s="8">
        <v>5000</v>
      </c>
      <c r="I114" s="18"/>
    </row>
    <row r="115" spans="2:9" x14ac:dyDescent="0.3">
      <c r="B115" s="7">
        <v>113</v>
      </c>
      <c r="C115" s="3" t="s">
        <v>119</v>
      </c>
      <c r="D115" s="2" t="s">
        <v>1065</v>
      </c>
      <c r="E115" s="3" t="s">
        <v>1009</v>
      </c>
      <c r="F115" s="3">
        <v>45</v>
      </c>
      <c r="G115" s="3">
        <v>45</v>
      </c>
      <c r="H115" s="8">
        <v>200</v>
      </c>
      <c r="I115" s="18"/>
    </row>
    <row r="116" spans="2:9" x14ac:dyDescent="0.3">
      <c r="B116" s="7">
        <v>114</v>
      </c>
      <c r="C116" s="3" t="s">
        <v>120</v>
      </c>
      <c r="D116" s="2" t="s">
        <v>1059</v>
      </c>
      <c r="E116" s="3" t="s">
        <v>1012</v>
      </c>
      <c r="F116" s="3">
        <v>72</v>
      </c>
      <c r="G116" s="3">
        <v>72</v>
      </c>
      <c r="H116" s="8">
        <v>200</v>
      </c>
      <c r="I116" s="18"/>
    </row>
    <row r="117" spans="2:9" x14ac:dyDescent="0.3">
      <c r="B117" s="7">
        <v>115</v>
      </c>
      <c r="C117" s="3" t="s">
        <v>121</v>
      </c>
      <c r="D117" s="2" t="s">
        <v>1071</v>
      </c>
      <c r="E117" s="3" t="s">
        <v>1009</v>
      </c>
      <c r="F117" s="3">
        <v>46</v>
      </c>
      <c r="G117" s="3">
        <v>46</v>
      </c>
      <c r="H117" s="8">
        <v>200</v>
      </c>
      <c r="I117" s="18"/>
    </row>
    <row r="118" spans="2:9" x14ac:dyDescent="0.3">
      <c r="B118" s="7">
        <v>116</v>
      </c>
      <c r="C118" s="3" t="s">
        <v>122</v>
      </c>
      <c r="D118" s="2" t="s">
        <v>1060</v>
      </c>
      <c r="E118" s="3" t="s">
        <v>1012</v>
      </c>
      <c r="F118" s="3">
        <v>127</v>
      </c>
      <c r="G118" s="3">
        <v>127</v>
      </c>
      <c r="H118" s="8">
        <v>1500</v>
      </c>
      <c r="I118" s="18"/>
    </row>
    <row r="119" spans="2:9" x14ac:dyDescent="0.3">
      <c r="B119" s="7">
        <v>117</v>
      </c>
      <c r="C119" s="3" t="s">
        <v>123</v>
      </c>
      <c r="D119" s="2" t="s">
        <v>1061</v>
      </c>
      <c r="E119" s="3" t="s">
        <v>1012</v>
      </c>
      <c r="F119" s="3">
        <v>178</v>
      </c>
      <c r="G119" s="3">
        <v>178</v>
      </c>
      <c r="H119" s="8">
        <v>500</v>
      </c>
      <c r="I119" s="18"/>
    </row>
    <row r="120" spans="2:9" x14ac:dyDescent="0.3">
      <c r="B120" s="7">
        <v>118</v>
      </c>
      <c r="C120" s="3" t="s">
        <v>124</v>
      </c>
      <c r="D120" s="2" t="s">
        <v>1065</v>
      </c>
      <c r="E120" s="3" t="s">
        <v>1009</v>
      </c>
      <c r="F120" s="3">
        <v>172</v>
      </c>
      <c r="G120" s="3">
        <v>172</v>
      </c>
      <c r="H120" s="8">
        <v>200</v>
      </c>
      <c r="I120" s="18"/>
    </row>
    <row r="121" spans="2:9" x14ac:dyDescent="0.3">
      <c r="B121" s="7">
        <v>119</v>
      </c>
      <c r="C121" s="3" t="s">
        <v>125</v>
      </c>
      <c r="D121" s="2" t="s">
        <v>1078</v>
      </c>
      <c r="E121" s="3" t="s">
        <v>1011</v>
      </c>
      <c r="F121" s="3">
        <v>109</v>
      </c>
      <c r="G121" s="3">
        <v>109</v>
      </c>
      <c r="H121" s="8">
        <v>200</v>
      </c>
      <c r="I121" s="18"/>
    </row>
    <row r="122" spans="2:9" x14ac:dyDescent="0.3">
      <c r="B122" s="7">
        <v>120</v>
      </c>
      <c r="C122" s="3" t="s">
        <v>126</v>
      </c>
      <c r="D122" s="2" t="s">
        <v>1069</v>
      </c>
      <c r="E122" s="3" t="s">
        <v>1009</v>
      </c>
      <c r="F122" s="3">
        <v>63</v>
      </c>
      <c r="G122" s="3">
        <v>63</v>
      </c>
      <c r="H122" s="8">
        <v>200</v>
      </c>
      <c r="I122" s="18"/>
    </row>
    <row r="123" spans="2:9" x14ac:dyDescent="0.3">
      <c r="B123" s="7">
        <v>121</v>
      </c>
      <c r="C123" s="3" t="s">
        <v>127</v>
      </c>
      <c r="D123" s="2" t="s">
        <v>1074</v>
      </c>
      <c r="E123" s="3" t="s">
        <v>1009</v>
      </c>
      <c r="F123" s="3">
        <v>38</v>
      </c>
      <c r="G123" s="3">
        <v>38</v>
      </c>
      <c r="H123" s="8">
        <v>500</v>
      </c>
      <c r="I123" s="18"/>
    </row>
    <row r="124" spans="2:9" x14ac:dyDescent="0.3">
      <c r="B124" s="7">
        <v>122</v>
      </c>
      <c r="C124" s="3" t="s">
        <v>128</v>
      </c>
      <c r="D124" s="2" t="s">
        <v>1029</v>
      </c>
      <c r="E124" s="3" t="s">
        <v>1008</v>
      </c>
      <c r="F124" s="3">
        <v>130</v>
      </c>
      <c r="G124" s="3">
        <v>130</v>
      </c>
      <c r="H124" s="8">
        <v>3000</v>
      </c>
      <c r="I124" s="18"/>
    </row>
    <row r="125" spans="2:9" x14ac:dyDescent="0.3">
      <c r="B125" s="7">
        <v>123</v>
      </c>
      <c r="C125" s="3" t="s">
        <v>129</v>
      </c>
      <c r="D125" s="2" t="s">
        <v>1047</v>
      </c>
      <c r="E125" s="3" t="s">
        <v>1010</v>
      </c>
      <c r="F125" s="3">
        <v>117</v>
      </c>
      <c r="G125" s="3">
        <v>117</v>
      </c>
      <c r="H125" s="8">
        <v>500</v>
      </c>
      <c r="I125" s="18"/>
    </row>
    <row r="126" spans="2:9" x14ac:dyDescent="0.3">
      <c r="B126" s="7">
        <v>124</v>
      </c>
      <c r="C126" s="3" t="s">
        <v>130</v>
      </c>
      <c r="D126" s="2" t="s">
        <v>1018</v>
      </c>
      <c r="E126" s="3" t="s">
        <v>1012</v>
      </c>
      <c r="F126" s="3">
        <v>70</v>
      </c>
      <c r="G126" s="3">
        <v>70</v>
      </c>
      <c r="H126" s="8">
        <v>3000</v>
      </c>
      <c r="I126" s="18"/>
    </row>
    <row r="127" spans="2:9" x14ac:dyDescent="0.3">
      <c r="B127" s="7">
        <v>125</v>
      </c>
      <c r="C127" s="3" t="s">
        <v>131</v>
      </c>
      <c r="D127" s="2" t="s">
        <v>1035</v>
      </c>
      <c r="E127" s="3" t="s">
        <v>1007</v>
      </c>
      <c r="F127" s="3">
        <v>108</v>
      </c>
      <c r="G127" s="3">
        <v>108</v>
      </c>
      <c r="H127" s="8">
        <v>15000</v>
      </c>
      <c r="I127" s="18"/>
    </row>
    <row r="128" spans="2:9" x14ac:dyDescent="0.3">
      <c r="B128" s="7">
        <v>126</v>
      </c>
      <c r="C128" s="3" t="s">
        <v>132</v>
      </c>
      <c r="D128" s="2" t="s">
        <v>1044</v>
      </c>
      <c r="E128" s="3" t="s">
        <v>1010</v>
      </c>
      <c r="F128" s="3">
        <v>97</v>
      </c>
      <c r="G128" s="3">
        <v>97</v>
      </c>
      <c r="H128" s="8">
        <v>100</v>
      </c>
      <c r="I128" s="18"/>
    </row>
    <row r="129" spans="2:9" x14ac:dyDescent="0.3">
      <c r="B129" s="7">
        <v>127</v>
      </c>
      <c r="C129" s="3" t="s">
        <v>133</v>
      </c>
      <c r="D129" s="2" t="s">
        <v>1069</v>
      </c>
      <c r="E129" s="3" t="s">
        <v>1009</v>
      </c>
      <c r="F129" s="3">
        <v>148</v>
      </c>
      <c r="G129" s="3">
        <v>148</v>
      </c>
      <c r="H129" s="8">
        <v>200</v>
      </c>
      <c r="I129" s="18"/>
    </row>
    <row r="130" spans="2:9" x14ac:dyDescent="0.3">
      <c r="B130" s="7">
        <v>128</v>
      </c>
      <c r="C130" s="3" t="s">
        <v>134</v>
      </c>
      <c r="D130" s="2" t="s">
        <v>1042</v>
      </c>
      <c r="E130" s="3" t="s">
        <v>1007</v>
      </c>
      <c r="F130" s="3">
        <v>181</v>
      </c>
      <c r="G130" s="3">
        <v>181</v>
      </c>
      <c r="H130" s="8">
        <v>3000</v>
      </c>
      <c r="I130" s="18"/>
    </row>
    <row r="131" spans="2:9" x14ac:dyDescent="0.3">
      <c r="B131" s="7">
        <v>129</v>
      </c>
      <c r="C131" s="3" t="s">
        <v>135</v>
      </c>
      <c r="D131" s="2" t="s">
        <v>1046</v>
      </c>
      <c r="E131" s="3" t="s">
        <v>1010</v>
      </c>
      <c r="F131" s="3">
        <v>98</v>
      </c>
      <c r="G131" s="3">
        <v>98</v>
      </c>
      <c r="H131" s="8">
        <v>100</v>
      </c>
      <c r="I131" s="18"/>
    </row>
    <row r="132" spans="2:9" x14ac:dyDescent="0.3">
      <c r="B132" s="7">
        <v>130</v>
      </c>
      <c r="C132" s="3" t="s">
        <v>136</v>
      </c>
      <c r="D132" s="2" t="s">
        <v>1054</v>
      </c>
      <c r="E132" s="3" t="s">
        <v>1010</v>
      </c>
      <c r="F132" s="3">
        <v>84</v>
      </c>
      <c r="G132" s="3">
        <v>84</v>
      </c>
      <c r="H132" s="8">
        <v>30</v>
      </c>
      <c r="I132" s="18"/>
    </row>
    <row r="133" spans="2:9" x14ac:dyDescent="0.3">
      <c r="B133" s="7">
        <v>131</v>
      </c>
      <c r="C133" s="3" t="s">
        <v>137</v>
      </c>
      <c r="D133" s="2" t="s">
        <v>1065</v>
      </c>
      <c r="E133" s="3" t="s">
        <v>1009</v>
      </c>
      <c r="F133" s="3">
        <v>153</v>
      </c>
      <c r="G133" s="3">
        <v>153</v>
      </c>
      <c r="H133" s="8">
        <v>200</v>
      </c>
      <c r="I133" s="18"/>
    </row>
    <row r="134" spans="2:9" x14ac:dyDescent="0.3">
      <c r="B134" s="7">
        <v>132</v>
      </c>
      <c r="C134" s="3" t="s">
        <v>138</v>
      </c>
      <c r="D134" s="2" t="s">
        <v>1084</v>
      </c>
      <c r="E134" s="3" t="s">
        <v>1011</v>
      </c>
      <c r="F134" s="3">
        <v>153</v>
      </c>
      <c r="G134" s="3">
        <v>127</v>
      </c>
      <c r="H134" s="8">
        <v>2000</v>
      </c>
      <c r="I134" s="18"/>
    </row>
    <row r="135" spans="2:9" x14ac:dyDescent="0.3">
      <c r="B135" s="7">
        <v>133</v>
      </c>
      <c r="C135" s="3" t="s">
        <v>139</v>
      </c>
      <c r="D135" s="2" t="s">
        <v>1037</v>
      </c>
      <c r="E135" s="3" t="s">
        <v>1007</v>
      </c>
      <c r="F135" s="3">
        <v>104</v>
      </c>
      <c r="G135" s="3">
        <v>74</v>
      </c>
      <c r="H135" s="8">
        <v>10000</v>
      </c>
      <c r="I135" s="18"/>
    </row>
    <row r="136" spans="2:9" x14ac:dyDescent="0.3">
      <c r="B136" s="7">
        <v>134</v>
      </c>
      <c r="C136" s="3" t="s">
        <v>140</v>
      </c>
      <c r="D136" s="2" t="s">
        <v>1057</v>
      </c>
      <c r="E136" s="3" t="s">
        <v>1012</v>
      </c>
      <c r="F136" s="3">
        <v>52</v>
      </c>
      <c r="G136" s="3">
        <v>95</v>
      </c>
      <c r="H136" s="8">
        <v>500</v>
      </c>
      <c r="I136" s="18"/>
    </row>
    <row r="137" spans="2:9" x14ac:dyDescent="0.3">
      <c r="B137" s="7">
        <v>135</v>
      </c>
      <c r="C137" s="3" t="s">
        <v>141</v>
      </c>
      <c r="D137" s="2" t="s">
        <v>1078</v>
      </c>
      <c r="E137" s="3" t="s">
        <v>1011</v>
      </c>
      <c r="F137" s="3">
        <v>41</v>
      </c>
      <c r="G137" s="3">
        <v>95</v>
      </c>
      <c r="H137" s="8">
        <v>200</v>
      </c>
      <c r="I137" s="18"/>
    </row>
    <row r="138" spans="2:9" x14ac:dyDescent="0.3">
      <c r="B138" s="7">
        <v>136</v>
      </c>
      <c r="C138" s="3" t="s">
        <v>142</v>
      </c>
      <c r="D138" s="2" t="s">
        <v>1072</v>
      </c>
      <c r="E138" s="3" t="s">
        <v>1009</v>
      </c>
      <c r="F138" s="3">
        <v>99</v>
      </c>
      <c r="G138" s="3">
        <v>110</v>
      </c>
      <c r="H138" s="8">
        <v>50</v>
      </c>
      <c r="I138" s="18"/>
    </row>
    <row r="139" spans="2:9" x14ac:dyDescent="0.3">
      <c r="B139" s="7">
        <v>137</v>
      </c>
      <c r="C139" s="3" t="s">
        <v>143</v>
      </c>
      <c r="D139" s="2" t="s">
        <v>1054</v>
      </c>
      <c r="E139" s="3" t="s">
        <v>1010</v>
      </c>
      <c r="F139" s="3">
        <v>103</v>
      </c>
      <c r="G139" s="3">
        <v>96</v>
      </c>
      <c r="H139" s="8">
        <v>30</v>
      </c>
      <c r="I139" s="18"/>
    </row>
    <row r="140" spans="2:9" x14ac:dyDescent="0.3">
      <c r="B140" s="7">
        <v>138</v>
      </c>
      <c r="C140" s="3" t="s">
        <v>144</v>
      </c>
      <c r="D140" s="2" t="s">
        <v>1023</v>
      </c>
      <c r="E140" s="3" t="s">
        <v>1008</v>
      </c>
      <c r="F140" s="3">
        <v>93</v>
      </c>
      <c r="G140" s="3">
        <v>81</v>
      </c>
      <c r="H140" s="8">
        <v>20000</v>
      </c>
      <c r="I140" s="18"/>
    </row>
    <row r="141" spans="2:9" x14ac:dyDescent="0.3">
      <c r="B141" s="7">
        <v>139</v>
      </c>
      <c r="C141" s="3" t="s">
        <v>145</v>
      </c>
      <c r="D141" s="2" t="s">
        <v>1035</v>
      </c>
      <c r="E141" s="3" t="s">
        <v>1007</v>
      </c>
      <c r="F141" s="3">
        <v>39</v>
      </c>
      <c r="G141" s="3">
        <v>64</v>
      </c>
      <c r="H141" s="8">
        <v>15000</v>
      </c>
      <c r="I141" s="18"/>
    </row>
    <row r="142" spans="2:9" x14ac:dyDescent="0.3">
      <c r="B142" s="7">
        <v>140</v>
      </c>
      <c r="C142" s="3" t="s">
        <v>146</v>
      </c>
      <c r="D142" s="2" t="s">
        <v>1080</v>
      </c>
      <c r="E142" s="3" t="s">
        <v>1011</v>
      </c>
      <c r="F142" s="3">
        <v>120</v>
      </c>
      <c r="G142" s="3">
        <v>160</v>
      </c>
      <c r="H142" s="8">
        <v>2500</v>
      </c>
      <c r="I142" s="18"/>
    </row>
    <row r="143" spans="2:9" x14ac:dyDescent="0.3">
      <c r="B143" s="7">
        <v>141</v>
      </c>
      <c r="C143" s="3" t="s">
        <v>147</v>
      </c>
      <c r="D143" s="2" t="s">
        <v>1041</v>
      </c>
      <c r="E143" s="3" t="s">
        <v>1007</v>
      </c>
      <c r="F143" s="3">
        <v>151</v>
      </c>
      <c r="G143" s="3">
        <v>181</v>
      </c>
      <c r="H143" s="8">
        <v>2000</v>
      </c>
      <c r="I143" s="18"/>
    </row>
    <row r="144" spans="2:9" x14ac:dyDescent="0.3">
      <c r="B144" s="7">
        <v>142</v>
      </c>
      <c r="C144" s="3" t="s">
        <v>148</v>
      </c>
      <c r="D144" s="2" t="s">
        <v>1086</v>
      </c>
      <c r="E144" s="3" t="s">
        <v>1011</v>
      </c>
      <c r="F144" s="3">
        <v>176</v>
      </c>
      <c r="G144" s="3">
        <v>131</v>
      </c>
      <c r="H144" s="8">
        <v>4500</v>
      </c>
      <c r="I144" s="18"/>
    </row>
    <row r="145" spans="2:9" x14ac:dyDescent="0.3">
      <c r="B145" s="7">
        <v>143</v>
      </c>
      <c r="C145" s="3" t="s">
        <v>149</v>
      </c>
      <c r="D145" s="2" t="s">
        <v>1061</v>
      </c>
      <c r="E145" s="3" t="s">
        <v>1012</v>
      </c>
      <c r="F145" s="3">
        <v>40</v>
      </c>
      <c r="G145" s="3">
        <v>65</v>
      </c>
      <c r="H145" s="8">
        <v>500</v>
      </c>
      <c r="I145" s="18"/>
    </row>
    <row r="146" spans="2:9" x14ac:dyDescent="0.3">
      <c r="B146" s="7">
        <v>144</v>
      </c>
      <c r="C146" s="3" t="s">
        <v>150</v>
      </c>
      <c r="D146" s="2" t="s">
        <v>1070</v>
      </c>
      <c r="E146" s="3" t="s">
        <v>1009</v>
      </c>
      <c r="F146" s="3">
        <v>188</v>
      </c>
      <c r="G146" s="3">
        <v>188</v>
      </c>
      <c r="H146" s="8">
        <v>1500</v>
      </c>
      <c r="I146" s="18"/>
    </row>
    <row r="147" spans="2:9" x14ac:dyDescent="0.3">
      <c r="B147" s="7">
        <v>145</v>
      </c>
      <c r="C147" s="3" t="s">
        <v>151</v>
      </c>
      <c r="D147" s="2" t="s">
        <v>1055</v>
      </c>
      <c r="E147" s="3" t="s">
        <v>1010</v>
      </c>
      <c r="F147" s="3">
        <v>104</v>
      </c>
      <c r="G147" s="3">
        <v>104</v>
      </c>
      <c r="H147" s="8">
        <v>50</v>
      </c>
      <c r="I147" s="18"/>
    </row>
    <row r="148" spans="2:9" x14ac:dyDescent="0.3">
      <c r="B148" s="7">
        <v>146</v>
      </c>
      <c r="C148" s="3" t="s">
        <v>152</v>
      </c>
      <c r="D148" s="2" t="s">
        <v>1054</v>
      </c>
      <c r="E148" s="3" t="s">
        <v>1010</v>
      </c>
      <c r="F148" s="3">
        <v>61</v>
      </c>
      <c r="G148" s="3">
        <v>61</v>
      </c>
      <c r="H148" s="8">
        <v>30</v>
      </c>
      <c r="I148" s="18"/>
    </row>
    <row r="149" spans="2:9" x14ac:dyDescent="0.3">
      <c r="B149" s="7">
        <v>147</v>
      </c>
      <c r="C149" s="3" t="s">
        <v>153</v>
      </c>
      <c r="D149" s="2" t="s">
        <v>1060</v>
      </c>
      <c r="E149" s="3" t="s">
        <v>1012</v>
      </c>
      <c r="F149" s="3">
        <v>93</v>
      </c>
      <c r="G149" s="3">
        <v>93</v>
      </c>
      <c r="H149" s="8">
        <v>1500</v>
      </c>
      <c r="I149" s="18"/>
    </row>
    <row r="150" spans="2:9" x14ac:dyDescent="0.3">
      <c r="B150" s="7">
        <v>148</v>
      </c>
      <c r="C150" s="3" t="s">
        <v>154</v>
      </c>
      <c r="D150" s="2" t="s">
        <v>1030</v>
      </c>
      <c r="E150" s="3" t="s">
        <v>1008</v>
      </c>
      <c r="F150" s="3">
        <v>154</v>
      </c>
      <c r="G150" s="3">
        <v>154</v>
      </c>
      <c r="H150" s="8">
        <v>70000</v>
      </c>
      <c r="I150" s="18"/>
    </row>
    <row r="151" spans="2:9" x14ac:dyDescent="0.3">
      <c r="B151" s="7">
        <v>149</v>
      </c>
      <c r="C151" s="3" t="s">
        <v>155</v>
      </c>
      <c r="D151" s="2" t="s">
        <v>1062</v>
      </c>
      <c r="E151" s="3" t="s">
        <v>1009</v>
      </c>
      <c r="F151" s="3">
        <v>176</v>
      </c>
      <c r="G151" s="3">
        <v>176</v>
      </c>
      <c r="H151" s="8">
        <v>100</v>
      </c>
      <c r="I151" s="18"/>
    </row>
    <row r="152" spans="2:9" x14ac:dyDescent="0.3">
      <c r="B152" s="7">
        <v>150</v>
      </c>
      <c r="C152" s="3" t="s">
        <v>156</v>
      </c>
      <c r="D152" s="2" t="s">
        <v>1077</v>
      </c>
      <c r="E152" s="3" t="s">
        <v>1011</v>
      </c>
      <c r="F152" s="3">
        <v>64</v>
      </c>
      <c r="G152" s="3">
        <v>64</v>
      </c>
      <c r="H152" s="8">
        <v>5000</v>
      </c>
      <c r="I152" s="18"/>
    </row>
    <row r="153" spans="2:9" x14ac:dyDescent="0.3">
      <c r="B153" s="7">
        <v>151</v>
      </c>
      <c r="C153" s="3" t="s">
        <v>157</v>
      </c>
      <c r="D153" s="2" t="s">
        <v>1038</v>
      </c>
      <c r="E153" s="3" t="s">
        <v>1007</v>
      </c>
      <c r="F153" s="3">
        <v>186</v>
      </c>
      <c r="G153" s="3">
        <v>186</v>
      </c>
      <c r="H153" s="8">
        <v>5000</v>
      </c>
      <c r="I153" s="18"/>
    </row>
    <row r="154" spans="2:9" x14ac:dyDescent="0.3">
      <c r="B154" s="7">
        <v>152</v>
      </c>
      <c r="C154" s="3" t="s">
        <v>158</v>
      </c>
      <c r="D154" s="2" t="s">
        <v>1040</v>
      </c>
      <c r="E154" s="3" t="s">
        <v>1007</v>
      </c>
      <c r="F154" s="3">
        <v>164</v>
      </c>
      <c r="G154" s="3">
        <v>164</v>
      </c>
      <c r="H154" s="8">
        <v>5000</v>
      </c>
      <c r="I154" s="18"/>
    </row>
    <row r="155" spans="2:9" x14ac:dyDescent="0.3">
      <c r="B155" s="7">
        <v>153</v>
      </c>
      <c r="C155" s="3" t="s">
        <v>159</v>
      </c>
      <c r="D155" s="2" t="s">
        <v>1067</v>
      </c>
      <c r="E155" s="3" t="s">
        <v>1009</v>
      </c>
      <c r="F155" s="3">
        <v>49</v>
      </c>
      <c r="G155" s="3">
        <v>49</v>
      </c>
      <c r="H155" s="8">
        <v>100</v>
      </c>
      <c r="I155" s="18"/>
    </row>
    <row r="156" spans="2:9" x14ac:dyDescent="0.3">
      <c r="B156" s="7">
        <v>154</v>
      </c>
      <c r="C156" s="3" t="s">
        <v>160</v>
      </c>
      <c r="D156" s="2" t="s">
        <v>1044</v>
      </c>
      <c r="E156" s="3" t="s">
        <v>1010</v>
      </c>
      <c r="F156" s="3">
        <v>57</v>
      </c>
      <c r="G156" s="3">
        <v>43</v>
      </c>
      <c r="H156" s="8">
        <v>100</v>
      </c>
      <c r="I156" s="18"/>
    </row>
    <row r="157" spans="2:9" x14ac:dyDescent="0.3">
      <c r="B157" s="7">
        <v>155</v>
      </c>
      <c r="C157" s="3" t="s">
        <v>161</v>
      </c>
      <c r="D157" s="2" t="s">
        <v>1083</v>
      </c>
      <c r="E157" s="3" t="s">
        <v>1011</v>
      </c>
      <c r="F157" s="3">
        <v>134</v>
      </c>
      <c r="G157" s="3">
        <v>112</v>
      </c>
      <c r="H157" s="8">
        <v>3000</v>
      </c>
      <c r="I157" s="18"/>
    </row>
    <row r="158" spans="2:9" x14ac:dyDescent="0.3">
      <c r="B158" s="7">
        <v>156</v>
      </c>
      <c r="C158" s="3" t="s">
        <v>162</v>
      </c>
      <c r="D158" s="2" t="s">
        <v>1031</v>
      </c>
      <c r="E158" s="3" t="s">
        <v>1008</v>
      </c>
      <c r="F158" s="3">
        <v>37</v>
      </c>
      <c r="G158" s="3">
        <v>107</v>
      </c>
      <c r="H158" s="8">
        <v>40000</v>
      </c>
      <c r="I158" s="18"/>
    </row>
    <row r="159" spans="2:9" x14ac:dyDescent="0.3">
      <c r="B159" s="7">
        <v>157</v>
      </c>
      <c r="C159" s="3" t="s">
        <v>163</v>
      </c>
      <c r="D159" s="2" t="s">
        <v>1061</v>
      </c>
      <c r="E159" s="3" t="s">
        <v>1012</v>
      </c>
      <c r="F159" s="3">
        <v>40</v>
      </c>
      <c r="G159" s="3">
        <v>145</v>
      </c>
      <c r="H159" s="8">
        <v>500</v>
      </c>
      <c r="I159" s="18"/>
    </row>
    <row r="160" spans="2:9" x14ac:dyDescent="0.3">
      <c r="B160" s="7">
        <v>158</v>
      </c>
      <c r="C160" s="3" t="s">
        <v>164</v>
      </c>
      <c r="D160" s="2" t="s">
        <v>1052</v>
      </c>
      <c r="E160" s="3" t="s">
        <v>1010</v>
      </c>
      <c r="F160" s="3">
        <v>104</v>
      </c>
      <c r="G160" s="3">
        <v>167</v>
      </c>
      <c r="H160" s="8">
        <v>100</v>
      </c>
      <c r="I160" s="18"/>
    </row>
    <row r="161" spans="2:9" x14ac:dyDescent="0.3">
      <c r="B161" s="7">
        <v>159</v>
      </c>
      <c r="C161" s="3" t="s">
        <v>165</v>
      </c>
      <c r="D161" s="2" t="s">
        <v>1040</v>
      </c>
      <c r="E161" s="3" t="s">
        <v>1007</v>
      </c>
      <c r="F161" s="3">
        <v>57</v>
      </c>
      <c r="G161" s="3">
        <v>151</v>
      </c>
      <c r="H161" s="8">
        <v>5000</v>
      </c>
      <c r="I161" s="18"/>
    </row>
    <row r="162" spans="2:9" x14ac:dyDescent="0.3">
      <c r="B162" s="7">
        <v>160</v>
      </c>
      <c r="C162" s="3" t="s">
        <v>166</v>
      </c>
      <c r="D162" s="2" t="s">
        <v>1037</v>
      </c>
      <c r="E162" s="3" t="s">
        <v>1007</v>
      </c>
      <c r="F162" s="3">
        <v>35</v>
      </c>
      <c r="G162" s="3">
        <v>130</v>
      </c>
      <c r="H162" s="8">
        <v>10000</v>
      </c>
      <c r="I162" s="18"/>
    </row>
    <row r="163" spans="2:9" x14ac:dyDescent="0.3">
      <c r="B163" s="7">
        <v>161</v>
      </c>
      <c r="C163" s="3" t="s">
        <v>167</v>
      </c>
      <c r="D163" s="2" t="s">
        <v>1018</v>
      </c>
      <c r="E163" s="3" t="s">
        <v>1012</v>
      </c>
      <c r="F163" s="3">
        <v>54</v>
      </c>
      <c r="G163" s="3">
        <v>74</v>
      </c>
      <c r="H163" s="8">
        <v>3000</v>
      </c>
      <c r="I163" s="18"/>
    </row>
    <row r="164" spans="2:9" x14ac:dyDescent="0.3">
      <c r="B164" s="7">
        <v>162</v>
      </c>
      <c r="C164" s="3" t="s">
        <v>168</v>
      </c>
      <c r="D164" s="2" t="s">
        <v>1054</v>
      </c>
      <c r="E164" s="3" t="s">
        <v>1010</v>
      </c>
      <c r="F164" s="3">
        <v>53</v>
      </c>
      <c r="G164" s="3">
        <v>71</v>
      </c>
      <c r="H164" s="8">
        <v>30</v>
      </c>
      <c r="I164" s="18"/>
    </row>
    <row r="165" spans="2:9" x14ac:dyDescent="0.3">
      <c r="B165" s="7">
        <v>163</v>
      </c>
      <c r="C165" s="3" t="s">
        <v>169</v>
      </c>
      <c r="D165" s="2" t="s">
        <v>1071</v>
      </c>
      <c r="E165" s="3" t="s">
        <v>1009</v>
      </c>
      <c r="F165" s="3">
        <v>70</v>
      </c>
      <c r="G165" s="3">
        <v>158</v>
      </c>
      <c r="H165" s="8">
        <v>200</v>
      </c>
      <c r="I165" s="18"/>
    </row>
    <row r="166" spans="2:9" x14ac:dyDescent="0.3">
      <c r="B166" s="7">
        <v>164</v>
      </c>
      <c r="C166" s="3" t="s">
        <v>170</v>
      </c>
      <c r="D166" s="2" t="s">
        <v>1081</v>
      </c>
      <c r="E166" s="3" t="s">
        <v>1011</v>
      </c>
      <c r="F166" s="3">
        <v>35</v>
      </c>
      <c r="G166" s="3">
        <v>95</v>
      </c>
      <c r="H166" s="8">
        <v>1000</v>
      </c>
      <c r="I166" s="18"/>
    </row>
    <row r="167" spans="2:9" x14ac:dyDescent="0.3">
      <c r="B167" s="7">
        <v>165</v>
      </c>
      <c r="C167" s="3" t="s">
        <v>171</v>
      </c>
      <c r="D167" s="2" t="s">
        <v>1087</v>
      </c>
      <c r="E167" s="3" t="s">
        <v>1011</v>
      </c>
      <c r="F167" s="3">
        <v>128</v>
      </c>
      <c r="G167" s="3">
        <v>38</v>
      </c>
      <c r="H167" s="8">
        <v>5000</v>
      </c>
      <c r="I167" s="18"/>
    </row>
    <row r="168" spans="2:9" x14ac:dyDescent="0.3">
      <c r="B168" s="7">
        <v>166</v>
      </c>
      <c r="C168" s="3" t="s">
        <v>172</v>
      </c>
      <c r="D168" s="2" t="s">
        <v>1017</v>
      </c>
      <c r="E168" s="3" t="s">
        <v>1012</v>
      </c>
      <c r="F168" s="3">
        <v>60</v>
      </c>
      <c r="G168" s="3">
        <v>132</v>
      </c>
      <c r="H168" s="8">
        <v>200</v>
      </c>
      <c r="I168" s="18"/>
    </row>
    <row r="169" spans="2:9" x14ac:dyDescent="0.3">
      <c r="B169" s="7">
        <v>167</v>
      </c>
      <c r="C169" s="3" t="s">
        <v>173</v>
      </c>
      <c r="D169" s="2" t="s">
        <v>1076</v>
      </c>
      <c r="E169" s="3" t="s">
        <v>1009</v>
      </c>
      <c r="F169" s="3">
        <v>74</v>
      </c>
      <c r="G169" s="3">
        <v>82</v>
      </c>
      <c r="H169" s="8">
        <v>100</v>
      </c>
      <c r="I169" s="18"/>
    </row>
    <row r="170" spans="2:9" x14ac:dyDescent="0.3">
      <c r="B170" s="7">
        <v>168</v>
      </c>
      <c r="C170" s="3" t="s">
        <v>174</v>
      </c>
      <c r="D170" s="2" t="s">
        <v>1052</v>
      </c>
      <c r="E170" s="3" t="s">
        <v>1010</v>
      </c>
      <c r="F170" s="3">
        <v>133</v>
      </c>
      <c r="G170" s="3">
        <v>153</v>
      </c>
      <c r="H170" s="8">
        <v>100</v>
      </c>
      <c r="I170" s="18"/>
    </row>
    <row r="171" spans="2:9" x14ac:dyDescent="0.3">
      <c r="B171" s="7">
        <v>169</v>
      </c>
      <c r="C171" s="3" t="s">
        <v>175</v>
      </c>
      <c r="D171" s="2" t="s">
        <v>1076</v>
      </c>
      <c r="E171" s="3" t="s">
        <v>1009</v>
      </c>
      <c r="F171" s="3">
        <v>125</v>
      </c>
      <c r="G171" s="3">
        <v>152</v>
      </c>
      <c r="H171" s="8">
        <v>100</v>
      </c>
      <c r="I171" s="18"/>
    </row>
    <row r="172" spans="2:9" x14ac:dyDescent="0.3">
      <c r="B172" s="7">
        <v>170</v>
      </c>
      <c r="C172" s="3" t="s">
        <v>176</v>
      </c>
      <c r="D172" s="2" t="s">
        <v>1044</v>
      </c>
      <c r="E172" s="3" t="s">
        <v>1010</v>
      </c>
      <c r="F172" s="3">
        <v>30</v>
      </c>
      <c r="G172" s="3">
        <v>189</v>
      </c>
      <c r="H172" s="8">
        <v>100</v>
      </c>
      <c r="I172" s="18"/>
    </row>
    <row r="173" spans="2:9" x14ac:dyDescent="0.3">
      <c r="B173" s="7">
        <v>171</v>
      </c>
      <c r="C173" s="3" t="s">
        <v>177</v>
      </c>
      <c r="D173" s="2" t="s">
        <v>1056</v>
      </c>
      <c r="E173" s="3" t="s">
        <v>1012</v>
      </c>
      <c r="F173" s="3">
        <v>128</v>
      </c>
      <c r="G173" s="3">
        <v>169</v>
      </c>
      <c r="H173" s="8">
        <v>100</v>
      </c>
      <c r="I173" s="18"/>
    </row>
    <row r="174" spans="2:9" x14ac:dyDescent="0.3">
      <c r="B174" s="7">
        <v>172</v>
      </c>
      <c r="C174" s="3" t="s">
        <v>178</v>
      </c>
      <c r="D174" s="2" t="s">
        <v>1079</v>
      </c>
      <c r="E174" s="3" t="s">
        <v>1011</v>
      </c>
      <c r="F174" s="3">
        <v>118</v>
      </c>
      <c r="G174" s="3">
        <v>91</v>
      </c>
      <c r="H174" s="8">
        <v>5000</v>
      </c>
      <c r="I174" s="18"/>
    </row>
    <row r="175" spans="2:9" x14ac:dyDescent="0.3">
      <c r="B175" s="7">
        <v>173</v>
      </c>
      <c r="C175" s="3" t="s">
        <v>179</v>
      </c>
      <c r="D175" s="2" t="s">
        <v>1042</v>
      </c>
      <c r="E175" s="3" t="s">
        <v>1007</v>
      </c>
      <c r="F175" s="3">
        <v>106</v>
      </c>
      <c r="G175" s="3">
        <v>123</v>
      </c>
      <c r="H175" s="8">
        <v>3000</v>
      </c>
      <c r="I175" s="18"/>
    </row>
    <row r="176" spans="2:9" x14ac:dyDescent="0.3">
      <c r="B176" s="7">
        <v>174</v>
      </c>
      <c r="C176" s="3" t="s">
        <v>180</v>
      </c>
      <c r="D176" s="2" t="s">
        <v>1042</v>
      </c>
      <c r="E176" s="3" t="s">
        <v>1007</v>
      </c>
      <c r="F176" s="3">
        <v>143</v>
      </c>
      <c r="G176" s="3">
        <v>44</v>
      </c>
      <c r="H176" s="8">
        <v>3000</v>
      </c>
      <c r="I176" s="18"/>
    </row>
    <row r="177" spans="2:9" x14ac:dyDescent="0.3">
      <c r="B177" s="7">
        <v>175</v>
      </c>
      <c r="C177" s="3" t="s">
        <v>181</v>
      </c>
      <c r="D177" s="2" t="s">
        <v>1068</v>
      </c>
      <c r="E177" s="3" t="s">
        <v>1009</v>
      </c>
      <c r="F177" s="3">
        <v>158</v>
      </c>
      <c r="G177" s="3">
        <v>45</v>
      </c>
      <c r="H177" s="8">
        <v>100</v>
      </c>
      <c r="I177" s="18"/>
    </row>
    <row r="178" spans="2:9" x14ac:dyDescent="0.3">
      <c r="B178" s="7">
        <v>176</v>
      </c>
      <c r="C178" s="3" t="s">
        <v>182</v>
      </c>
      <c r="D178" s="2" t="s">
        <v>1025</v>
      </c>
      <c r="E178" s="3" t="s">
        <v>1008</v>
      </c>
      <c r="F178" s="3">
        <v>163</v>
      </c>
      <c r="G178" s="3">
        <v>173</v>
      </c>
      <c r="H178" s="8">
        <v>30000</v>
      </c>
      <c r="I178" s="18"/>
    </row>
    <row r="179" spans="2:9" x14ac:dyDescent="0.3">
      <c r="B179" s="7">
        <v>177</v>
      </c>
      <c r="C179" s="3" t="s">
        <v>183</v>
      </c>
      <c r="D179" s="2" t="s">
        <v>1059</v>
      </c>
      <c r="E179" s="3" t="s">
        <v>1012</v>
      </c>
      <c r="F179" s="3">
        <v>181</v>
      </c>
      <c r="G179" s="3">
        <v>125</v>
      </c>
      <c r="H179" s="8">
        <v>200</v>
      </c>
      <c r="I179" s="18"/>
    </row>
    <row r="180" spans="2:9" x14ac:dyDescent="0.3">
      <c r="B180" s="7">
        <v>178</v>
      </c>
      <c r="C180" s="3" t="s">
        <v>184</v>
      </c>
      <c r="D180" s="2" t="s">
        <v>1037</v>
      </c>
      <c r="E180" s="3" t="s">
        <v>1007</v>
      </c>
      <c r="F180" s="3">
        <v>194</v>
      </c>
      <c r="G180" s="3">
        <v>135</v>
      </c>
      <c r="H180" s="8">
        <v>10000</v>
      </c>
      <c r="I180" s="18"/>
    </row>
    <row r="181" spans="2:9" x14ac:dyDescent="0.3">
      <c r="B181" s="7">
        <v>179</v>
      </c>
      <c r="C181" s="3" t="s">
        <v>185</v>
      </c>
      <c r="D181" s="2" t="s">
        <v>1046</v>
      </c>
      <c r="E181" s="3" t="s">
        <v>1010</v>
      </c>
      <c r="F181" s="3">
        <v>102</v>
      </c>
      <c r="G181" s="3">
        <v>168</v>
      </c>
      <c r="H181" s="8">
        <v>100</v>
      </c>
      <c r="I181" s="18"/>
    </row>
    <row r="182" spans="2:9" x14ac:dyDescent="0.3">
      <c r="B182" s="7">
        <v>180</v>
      </c>
      <c r="C182" s="3" t="s">
        <v>186</v>
      </c>
      <c r="D182" s="2" t="s">
        <v>1084</v>
      </c>
      <c r="E182" s="3" t="s">
        <v>1011</v>
      </c>
      <c r="F182" s="3">
        <v>42</v>
      </c>
      <c r="G182" s="3">
        <v>62</v>
      </c>
      <c r="H182" s="8">
        <v>2000</v>
      </c>
      <c r="I182" s="18"/>
    </row>
    <row r="183" spans="2:9" x14ac:dyDescent="0.3">
      <c r="B183" s="7">
        <v>181</v>
      </c>
      <c r="C183" s="3" t="s">
        <v>187</v>
      </c>
      <c r="D183" s="2" t="s">
        <v>1076</v>
      </c>
      <c r="E183" s="3" t="s">
        <v>1009</v>
      </c>
      <c r="F183" s="3">
        <v>54</v>
      </c>
      <c r="G183" s="3">
        <v>113</v>
      </c>
      <c r="H183" s="8">
        <v>100</v>
      </c>
      <c r="I183" s="18"/>
    </row>
    <row r="184" spans="2:9" x14ac:dyDescent="0.3">
      <c r="B184" s="7">
        <v>182</v>
      </c>
      <c r="C184" s="3" t="s">
        <v>188</v>
      </c>
      <c r="D184" s="2" t="s">
        <v>1081</v>
      </c>
      <c r="E184" s="3" t="s">
        <v>1011</v>
      </c>
      <c r="F184" s="3">
        <v>151</v>
      </c>
      <c r="G184" s="3">
        <v>196</v>
      </c>
      <c r="H184" s="8">
        <v>1000</v>
      </c>
      <c r="I184" s="18"/>
    </row>
    <row r="185" spans="2:9" x14ac:dyDescent="0.3">
      <c r="B185" s="7">
        <v>183</v>
      </c>
      <c r="C185" s="3" t="s">
        <v>189</v>
      </c>
      <c r="D185" s="2" t="s">
        <v>1078</v>
      </c>
      <c r="E185" s="3" t="s">
        <v>1011</v>
      </c>
      <c r="F185" s="3">
        <v>154</v>
      </c>
      <c r="G185" s="3">
        <v>139</v>
      </c>
      <c r="H185" s="8">
        <v>200</v>
      </c>
      <c r="I185" s="18"/>
    </row>
    <row r="186" spans="2:9" x14ac:dyDescent="0.3">
      <c r="B186" s="7">
        <v>184</v>
      </c>
      <c r="C186" s="3" t="s">
        <v>190</v>
      </c>
      <c r="D186" s="2" t="s">
        <v>1048</v>
      </c>
      <c r="E186" s="3" t="s">
        <v>1010</v>
      </c>
      <c r="F186" s="3">
        <v>194</v>
      </c>
      <c r="G186" s="3">
        <v>39</v>
      </c>
      <c r="H186" s="8">
        <v>50</v>
      </c>
      <c r="I186" s="18"/>
    </row>
    <row r="187" spans="2:9" x14ac:dyDescent="0.3">
      <c r="B187" s="7">
        <v>185</v>
      </c>
      <c r="C187" s="3" t="s">
        <v>191</v>
      </c>
      <c r="D187" s="2" t="s">
        <v>1057</v>
      </c>
      <c r="E187" s="3" t="s">
        <v>1012</v>
      </c>
      <c r="F187" s="3">
        <v>108</v>
      </c>
      <c r="G187" s="3">
        <v>192</v>
      </c>
      <c r="H187" s="8">
        <v>500</v>
      </c>
      <c r="I187" s="18"/>
    </row>
    <row r="188" spans="2:9" x14ac:dyDescent="0.3">
      <c r="B188" s="7">
        <v>186</v>
      </c>
      <c r="C188" s="3" t="s">
        <v>192</v>
      </c>
      <c r="D188" s="2" t="s">
        <v>1071</v>
      </c>
      <c r="E188" s="3" t="s">
        <v>1009</v>
      </c>
      <c r="F188" s="3">
        <v>71</v>
      </c>
      <c r="G188" s="3">
        <v>129</v>
      </c>
      <c r="H188" s="8">
        <v>200</v>
      </c>
      <c r="I188" s="18"/>
    </row>
    <row r="189" spans="2:9" x14ac:dyDescent="0.3">
      <c r="B189" s="7">
        <v>187</v>
      </c>
      <c r="C189" s="3" t="s">
        <v>193</v>
      </c>
      <c r="D189" s="2" t="s">
        <v>1054</v>
      </c>
      <c r="E189" s="3" t="s">
        <v>1010</v>
      </c>
      <c r="F189" s="3">
        <v>75</v>
      </c>
      <c r="G189" s="3">
        <v>182</v>
      </c>
      <c r="H189" s="8">
        <v>30</v>
      </c>
      <c r="I189" s="18"/>
    </row>
    <row r="190" spans="2:9" x14ac:dyDescent="0.3">
      <c r="B190" s="7">
        <v>188</v>
      </c>
      <c r="C190" s="3" t="s">
        <v>194</v>
      </c>
      <c r="D190" s="2" t="s">
        <v>1085</v>
      </c>
      <c r="E190" s="3" t="s">
        <v>1011</v>
      </c>
      <c r="F190" s="3">
        <v>58</v>
      </c>
      <c r="G190" s="3">
        <v>80</v>
      </c>
      <c r="H190" s="8">
        <v>1500</v>
      </c>
      <c r="I190" s="18"/>
    </row>
    <row r="191" spans="2:9" x14ac:dyDescent="0.3">
      <c r="B191" s="7">
        <v>189</v>
      </c>
      <c r="C191" s="3" t="s">
        <v>195</v>
      </c>
      <c r="D191" s="2" t="s">
        <v>1050</v>
      </c>
      <c r="E191" s="3" t="s">
        <v>1010</v>
      </c>
      <c r="F191" s="3">
        <v>122</v>
      </c>
      <c r="G191" s="3">
        <v>200</v>
      </c>
      <c r="H191" s="8">
        <v>30</v>
      </c>
      <c r="I191" s="18"/>
    </row>
    <row r="192" spans="2:9" x14ac:dyDescent="0.3">
      <c r="B192" s="7">
        <v>190</v>
      </c>
      <c r="C192" s="3" t="s">
        <v>196</v>
      </c>
      <c r="D192" s="2" t="s">
        <v>1038</v>
      </c>
      <c r="E192" s="3" t="s">
        <v>1007</v>
      </c>
      <c r="F192" s="3">
        <v>154</v>
      </c>
      <c r="G192" s="3">
        <v>125</v>
      </c>
      <c r="H192" s="8">
        <v>5000</v>
      </c>
      <c r="I192" s="18"/>
    </row>
    <row r="193" spans="2:9" x14ac:dyDescent="0.3">
      <c r="B193" s="7">
        <v>191</v>
      </c>
      <c r="C193" s="3" t="s">
        <v>197</v>
      </c>
      <c r="D193" s="2" t="s">
        <v>1074</v>
      </c>
      <c r="E193" s="3" t="s">
        <v>1009</v>
      </c>
      <c r="F193" s="3">
        <v>36</v>
      </c>
      <c r="G193" s="3">
        <v>91</v>
      </c>
      <c r="H193" s="8">
        <v>500</v>
      </c>
      <c r="I193" s="18"/>
    </row>
    <row r="194" spans="2:9" x14ac:dyDescent="0.3">
      <c r="B194" s="7">
        <v>192</v>
      </c>
      <c r="C194" s="3" t="s">
        <v>198</v>
      </c>
      <c r="D194" s="2" t="s">
        <v>1051</v>
      </c>
      <c r="E194" s="3" t="s">
        <v>1010</v>
      </c>
      <c r="F194" s="3">
        <v>36</v>
      </c>
      <c r="G194" s="3">
        <v>71</v>
      </c>
      <c r="H194" s="8">
        <v>50</v>
      </c>
      <c r="I194" s="18"/>
    </row>
    <row r="195" spans="2:9" x14ac:dyDescent="0.3">
      <c r="B195" s="7">
        <v>193</v>
      </c>
      <c r="C195" s="3" t="s">
        <v>199</v>
      </c>
      <c r="D195" s="2" t="s">
        <v>1051</v>
      </c>
      <c r="E195" s="3" t="s">
        <v>1010</v>
      </c>
      <c r="F195" s="3">
        <v>128</v>
      </c>
      <c r="G195" s="3">
        <v>134</v>
      </c>
      <c r="H195" s="8">
        <v>50</v>
      </c>
      <c r="I195" s="18"/>
    </row>
    <row r="196" spans="2:9" x14ac:dyDescent="0.3">
      <c r="B196" s="7">
        <v>194</v>
      </c>
      <c r="C196" s="3" t="s">
        <v>200</v>
      </c>
      <c r="D196" s="2" t="s">
        <v>1057</v>
      </c>
      <c r="E196" s="3" t="s">
        <v>1012</v>
      </c>
      <c r="F196" s="3">
        <v>39</v>
      </c>
      <c r="G196" s="3">
        <v>156</v>
      </c>
      <c r="H196" s="8">
        <v>500</v>
      </c>
      <c r="I196" s="18"/>
    </row>
    <row r="197" spans="2:9" x14ac:dyDescent="0.3">
      <c r="B197" s="7">
        <v>195</v>
      </c>
      <c r="C197" s="3" t="s">
        <v>201</v>
      </c>
      <c r="D197" s="2" t="s">
        <v>1057</v>
      </c>
      <c r="E197" s="3" t="s">
        <v>1012</v>
      </c>
      <c r="F197" s="3">
        <v>50</v>
      </c>
      <c r="G197" s="3">
        <v>95</v>
      </c>
      <c r="H197" s="8">
        <v>500</v>
      </c>
      <c r="I197" s="18"/>
    </row>
    <row r="198" spans="2:9" x14ac:dyDescent="0.3">
      <c r="B198" s="7">
        <v>196</v>
      </c>
      <c r="C198" s="3" t="s">
        <v>202</v>
      </c>
      <c r="D198" s="2" t="s">
        <v>1022</v>
      </c>
      <c r="E198" s="3" t="s">
        <v>1008</v>
      </c>
      <c r="F198" s="3">
        <v>125</v>
      </c>
      <c r="G198" s="3">
        <v>159</v>
      </c>
      <c r="H198" s="8">
        <v>0</v>
      </c>
      <c r="I198" s="18"/>
    </row>
    <row r="199" spans="2:9" x14ac:dyDescent="0.3">
      <c r="B199" s="7">
        <v>197</v>
      </c>
      <c r="C199" s="3" t="s">
        <v>203</v>
      </c>
      <c r="D199" s="2" t="s">
        <v>1055</v>
      </c>
      <c r="E199" s="3" t="s">
        <v>1010</v>
      </c>
      <c r="F199" s="3">
        <v>47</v>
      </c>
      <c r="G199" s="3">
        <v>199</v>
      </c>
      <c r="H199" s="8">
        <v>50</v>
      </c>
      <c r="I199" s="18"/>
    </row>
    <row r="200" spans="2:9" x14ac:dyDescent="0.3">
      <c r="B200" s="7">
        <v>198</v>
      </c>
      <c r="C200" s="3" t="s">
        <v>204</v>
      </c>
      <c r="D200" s="2" t="s">
        <v>1059</v>
      </c>
      <c r="E200" s="3" t="s">
        <v>1012</v>
      </c>
      <c r="F200" s="3">
        <v>125</v>
      </c>
      <c r="G200" s="3">
        <v>143</v>
      </c>
      <c r="H200" s="8">
        <v>200</v>
      </c>
      <c r="I200" s="18"/>
    </row>
    <row r="201" spans="2:9" x14ac:dyDescent="0.3">
      <c r="B201" s="7">
        <v>199</v>
      </c>
      <c r="C201" s="3" t="s">
        <v>205</v>
      </c>
      <c r="D201" s="2" t="s">
        <v>1059</v>
      </c>
      <c r="E201" s="3" t="s">
        <v>1012</v>
      </c>
      <c r="F201" s="3">
        <v>59</v>
      </c>
      <c r="G201" s="3">
        <v>108</v>
      </c>
      <c r="H201" s="8">
        <v>200</v>
      </c>
      <c r="I201" s="18"/>
    </row>
    <row r="202" spans="2:9" x14ac:dyDescent="0.3">
      <c r="B202" s="7">
        <v>200</v>
      </c>
      <c r="C202" s="3" t="s">
        <v>206</v>
      </c>
      <c r="D202" s="2" t="s">
        <v>1022</v>
      </c>
      <c r="E202" s="3" t="s">
        <v>1008</v>
      </c>
      <c r="F202" s="3">
        <v>61</v>
      </c>
      <c r="G202" s="3">
        <v>46</v>
      </c>
      <c r="H202" s="8">
        <v>0</v>
      </c>
      <c r="I202" s="18"/>
    </row>
    <row r="203" spans="2:9" x14ac:dyDescent="0.3">
      <c r="B203" s="7">
        <v>201</v>
      </c>
      <c r="C203" s="3" t="s">
        <v>207</v>
      </c>
      <c r="D203" s="2" t="s">
        <v>1072</v>
      </c>
      <c r="E203" s="3" t="s">
        <v>1009</v>
      </c>
      <c r="F203" s="3">
        <v>33</v>
      </c>
      <c r="G203" s="3">
        <v>67</v>
      </c>
      <c r="H203" s="8">
        <v>50</v>
      </c>
      <c r="I203" s="18"/>
    </row>
    <row r="204" spans="2:9" x14ac:dyDescent="0.3">
      <c r="B204" s="7">
        <v>202</v>
      </c>
      <c r="C204" s="3" t="s">
        <v>208</v>
      </c>
      <c r="D204" s="2" t="s">
        <v>1060</v>
      </c>
      <c r="E204" s="3" t="s">
        <v>1012</v>
      </c>
      <c r="F204" s="3">
        <v>192</v>
      </c>
      <c r="G204" s="3">
        <v>122</v>
      </c>
      <c r="H204" s="8">
        <v>1500</v>
      </c>
      <c r="I204" s="18"/>
    </row>
    <row r="205" spans="2:9" x14ac:dyDescent="0.3">
      <c r="B205" s="7">
        <v>203</v>
      </c>
      <c r="C205" s="3" t="s">
        <v>209</v>
      </c>
      <c r="D205" s="2" t="s">
        <v>1034</v>
      </c>
      <c r="E205" s="3" t="s">
        <v>1008</v>
      </c>
      <c r="F205" s="3">
        <v>160</v>
      </c>
      <c r="G205" s="3">
        <v>159</v>
      </c>
      <c r="H205" s="8">
        <v>50000</v>
      </c>
      <c r="I205" s="18"/>
    </row>
    <row r="206" spans="2:9" x14ac:dyDescent="0.3">
      <c r="B206" s="7">
        <v>204</v>
      </c>
      <c r="C206" s="3" t="s">
        <v>210</v>
      </c>
      <c r="D206" s="2" t="s">
        <v>1018</v>
      </c>
      <c r="E206" s="3" t="s">
        <v>1012</v>
      </c>
      <c r="F206" s="3">
        <v>137</v>
      </c>
      <c r="G206" s="3">
        <v>151</v>
      </c>
      <c r="H206" s="8">
        <v>3000</v>
      </c>
      <c r="I206" s="18"/>
    </row>
    <row r="207" spans="2:9" x14ac:dyDescent="0.3">
      <c r="B207" s="7">
        <v>205</v>
      </c>
      <c r="C207" s="3" t="s">
        <v>211</v>
      </c>
      <c r="D207" s="2" t="s">
        <v>1036</v>
      </c>
      <c r="E207" s="3" t="s">
        <v>1007</v>
      </c>
      <c r="F207" s="3">
        <v>195</v>
      </c>
      <c r="G207" s="3">
        <v>117</v>
      </c>
      <c r="H207" s="8">
        <v>8000</v>
      </c>
      <c r="I207" s="18"/>
    </row>
    <row r="208" spans="2:9" x14ac:dyDescent="0.3">
      <c r="B208" s="7">
        <v>206</v>
      </c>
      <c r="C208" s="3" t="s">
        <v>212</v>
      </c>
      <c r="D208" s="2" t="s">
        <v>1022</v>
      </c>
      <c r="E208" s="3" t="s">
        <v>1008</v>
      </c>
      <c r="F208" s="3">
        <v>118</v>
      </c>
      <c r="G208" s="3">
        <v>48</v>
      </c>
      <c r="H208" s="8">
        <v>0</v>
      </c>
      <c r="I208" s="18"/>
    </row>
    <row r="209" spans="2:9" x14ac:dyDescent="0.3">
      <c r="B209" s="7">
        <v>207</v>
      </c>
      <c r="C209" s="3" t="s">
        <v>213</v>
      </c>
      <c r="D209" s="2" t="s">
        <v>1018</v>
      </c>
      <c r="E209" s="3" t="s">
        <v>1012</v>
      </c>
      <c r="F209" s="3">
        <v>163</v>
      </c>
      <c r="G209" s="3">
        <v>174</v>
      </c>
      <c r="H209" s="8">
        <v>3000</v>
      </c>
      <c r="I209" s="18"/>
    </row>
    <row r="210" spans="2:9" x14ac:dyDescent="0.3">
      <c r="B210" s="7">
        <v>208</v>
      </c>
      <c r="C210" s="3" t="s">
        <v>214</v>
      </c>
      <c r="D210" s="2" t="s">
        <v>1030</v>
      </c>
      <c r="E210" s="3" t="s">
        <v>1008</v>
      </c>
      <c r="F210" s="3">
        <v>46</v>
      </c>
      <c r="G210" s="3">
        <v>194</v>
      </c>
      <c r="H210" s="8">
        <v>70000</v>
      </c>
      <c r="I210" s="18"/>
    </row>
    <row r="211" spans="2:9" x14ac:dyDescent="0.3">
      <c r="B211" s="7">
        <v>209</v>
      </c>
      <c r="C211" s="3" t="s">
        <v>215</v>
      </c>
      <c r="D211" s="2" t="s">
        <v>1062</v>
      </c>
      <c r="E211" s="3" t="s">
        <v>1009</v>
      </c>
      <c r="F211" s="3">
        <v>103</v>
      </c>
      <c r="G211" s="3">
        <v>152</v>
      </c>
      <c r="H211" s="8">
        <v>100</v>
      </c>
      <c r="I211" s="18"/>
    </row>
    <row r="212" spans="2:9" x14ac:dyDescent="0.3">
      <c r="B212" s="7">
        <v>210</v>
      </c>
      <c r="C212" s="3" t="s">
        <v>216</v>
      </c>
      <c r="D212" s="2" t="s">
        <v>1063</v>
      </c>
      <c r="E212" s="3" t="s">
        <v>1009</v>
      </c>
      <c r="F212" s="3">
        <v>132</v>
      </c>
      <c r="G212" s="3">
        <v>54</v>
      </c>
      <c r="H212" s="8">
        <v>4500</v>
      </c>
      <c r="I212" s="18"/>
    </row>
    <row r="213" spans="2:9" x14ac:dyDescent="0.3">
      <c r="B213" s="7">
        <v>211</v>
      </c>
      <c r="C213" s="3" t="s">
        <v>217</v>
      </c>
      <c r="D213" s="2" t="s">
        <v>1060</v>
      </c>
      <c r="E213" s="3" t="s">
        <v>1012</v>
      </c>
      <c r="F213" s="3">
        <v>158</v>
      </c>
      <c r="G213" s="3">
        <v>184</v>
      </c>
      <c r="H213" s="8">
        <v>1500</v>
      </c>
      <c r="I213" s="18"/>
    </row>
    <row r="214" spans="2:9" x14ac:dyDescent="0.3">
      <c r="B214" s="7">
        <v>212</v>
      </c>
      <c r="C214" s="3" t="s">
        <v>218</v>
      </c>
      <c r="D214" s="2" t="s">
        <v>1054</v>
      </c>
      <c r="E214" s="3" t="s">
        <v>1010</v>
      </c>
      <c r="F214" s="3">
        <v>75</v>
      </c>
      <c r="G214" s="3">
        <v>50</v>
      </c>
      <c r="H214" s="8">
        <v>30</v>
      </c>
      <c r="I214" s="18"/>
    </row>
    <row r="215" spans="2:9" x14ac:dyDescent="0.3">
      <c r="B215" s="7">
        <v>213</v>
      </c>
      <c r="C215" s="3" t="s">
        <v>219</v>
      </c>
      <c r="D215" s="2" t="s">
        <v>1038</v>
      </c>
      <c r="E215" s="3" t="s">
        <v>1007</v>
      </c>
      <c r="F215" s="3">
        <v>155</v>
      </c>
      <c r="G215" s="3">
        <v>146</v>
      </c>
      <c r="H215" s="8">
        <v>5000</v>
      </c>
      <c r="I215" s="18"/>
    </row>
    <row r="216" spans="2:9" x14ac:dyDescent="0.3">
      <c r="B216" s="7">
        <v>214</v>
      </c>
      <c r="C216" s="3" t="s">
        <v>220</v>
      </c>
      <c r="D216" s="2" t="s">
        <v>1037</v>
      </c>
      <c r="E216" s="3" t="s">
        <v>1007</v>
      </c>
      <c r="F216" s="3">
        <v>75</v>
      </c>
      <c r="G216" s="3">
        <v>189</v>
      </c>
      <c r="H216" s="8">
        <v>10000</v>
      </c>
      <c r="I216" s="18"/>
    </row>
    <row r="217" spans="2:9" x14ac:dyDescent="0.3">
      <c r="B217" s="7">
        <v>215</v>
      </c>
      <c r="C217" s="3" t="s">
        <v>221</v>
      </c>
      <c r="D217" s="2" t="s">
        <v>1043</v>
      </c>
      <c r="E217" s="3" t="s">
        <v>1010</v>
      </c>
      <c r="F217" s="3">
        <v>169</v>
      </c>
      <c r="G217" s="3">
        <v>148</v>
      </c>
      <c r="H217" s="8">
        <v>50</v>
      </c>
      <c r="I217" s="18"/>
    </row>
    <row r="218" spans="2:9" x14ac:dyDescent="0.3">
      <c r="B218" s="7">
        <v>216</v>
      </c>
      <c r="C218" s="3" t="s">
        <v>222</v>
      </c>
      <c r="D218" s="2" t="s">
        <v>1065</v>
      </c>
      <c r="E218" s="3" t="s">
        <v>1009</v>
      </c>
      <c r="F218" s="3">
        <v>119</v>
      </c>
      <c r="G218" s="3">
        <v>164</v>
      </c>
      <c r="H218" s="8">
        <v>200</v>
      </c>
      <c r="I218" s="18"/>
    </row>
    <row r="219" spans="2:9" x14ac:dyDescent="0.3">
      <c r="B219" s="7">
        <v>217</v>
      </c>
      <c r="C219" s="3" t="s">
        <v>223</v>
      </c>
      <c r="D219" s="2" t="s">
        <v>1037</v>
      </c>
      <c r="E219" s="3" t="s">
        <v>1007</v>
      </c>
      <c r="F219" s="3">
        <v>163</v>
      </c>
      <c r="G219" s="3">
        <v>186</v>
      </c>
      <c r="H219" s="8">
        <v>10000</v>
      </c>
      <c r="I219" s="18"/>
    </row>
    <row r="220" spans="2:9" x14ac:dyDescent="0.3">
      <c r="B220" s="7">
        <v>218</v>
      </c>
      <c r="C220" s="3" t="s">
        <v>224</v>
      </c>
      <c r="D220" s="2" t="s">
        <v>1063</v>
      </c>
      <c r="E220" s="3" t="s">
        <v>1009</v>
      </c>
      <c r="F220" s="3">
        <v>171</v>
      </c>
      <c r="G220" s="3">
        <v>30</v>
      </c>
      <c r="H220" s="8">
        <v>4500</v>
      </c>
      <c r="I220" s="18"/>
    </row>
    <row r="221" spans="2:9" x14ac:dyDescent="0.3">
      <c r="B221" s="7">
        <v>219</v>
      </c>
      <c r="C221" s="3" t="s">
        <v>225</v>
      </c>
      <c r="D221" s="2" t="s">
        <v>1073</v>
      </c>
      <c r="E221" s="3" t="s">
        <v>1009</v>
      </c>
      <c r="F221" s="3">
        <v>30</v>
      </c>
      <c r="G221" s="3">
        <v>186</v>
      </c>
      <c r="H221" s="8">
        <v>100</v>
      </c>
      <c r="I221" s="18"/>
    </row>
    <row r="222" spans="2:9" x14ac:dyDescent="0.3">
      <c r="B222" s="7">
        <v>220</v>
      </c>
      <c r="C222" s="3" t="s">
        <v>226</v>
      </c>
      <c r="D222" s="2" t="s">
        <v>1082</v>
      </c>
      <c r="E222" s="3" t="s">
        <v>1011</v>
      </c>
      <c r="F222" s="3">
        <v>104</v>
      </c>
      <c r="G222" s="3">
        <v>42</v>
      </c>
      <c r="H222" s="8">
        <v>2000</v>
      </c>
      <c r="I222" s="18"/>
    </row>
    <row r="223" spans="2:9" x14ac:dyDescent="0.3">
      <c r="B223" s="7">
        <v>221</v>
      </c>
      <c r="C223" s="3" t="s">
        <v>227</v>
      </c>
      <c r="D223" s="2" t="s">
        <v>1071</v>
      </c>
      <c r="E223" s="3" t="s">
        <v>1009</v>
      </c>
      <c r="F223" s="3">
        <v>189</v>
      </c>
      <c r="G223" s="3">
        <v>48</v>
      </c>
      <c r="H223" s="8">
        <v>200</v>
      </c>
      <c r="I223" s="18"/>
    </row>
    <row r="224" spans="2:9" x14ac:dyDescent="0.3">
      <c r="B224" s="7">
        <v>222</v>
      </c>
      <c r="C224" s="3" t="s">
        <v>228</v>
      </c>
      <c r="D224" s="2" t="s">
        <v>1060</v>
      </c>
      <c r="E224" s="3" t="s">
        <v>1012</v>
      </c>
      <c r="F224" s="3">
        <v>90</v>
      </c>
      <c r="G224" s="3">
        <v>36</v>
      </c>
      <c r="H224" s="8">
        <v>1500</v>
      </c>
      <c r="I224" s="18"/>
    </row>
    <row r="225" spans="2:9" x14ac:dyDescent="0.3">
      <c r="B225" s="7">
        <v>223</v>
      </c>
      <c r="C225" s="3" t="s">
        <v>229</v>
      </c>
      <c r="D225" s="2" t="s">
        <v>1028</v>
      </c>
      <c r="E225" s="3" t="s">
        <v>1008</v>
      </c>
      <c r="F225" s="3">
        <v>100</v>
      </c>
      <c r="G225" s="3">
        <v>35</v>
      </c>
      <c r="H225" s="8">
        <v>15000</v>
      </c>
      <c r="I225" s="18"/>
    </row>
    <row r="226" spans="2:9" x14ac:dyDescent="0.3">
      <c r="B226" s="7">
        <v>224</v>
      </c>
      <c r="C226" s="3" t="s">
        <v>230</v>
      </c>
      <c r="D226" s="2" t="s">
        <v>1037</v>
      </c>
      <c r="E226" s="3" t="s">
        <v>1007</v>
      </c>
      <c r="F226" s="3">
        <v>100</v>
      </c>
      <c r="G226" s="3">
        <v>73</v>
      </c>
      <c r="H226" s="8">
        <v>10000</v>
      </c>
      <c r="I226" s="18"/>
    </row>
    <row r="227" spans="2:9" x14ac:dyDescent="0.3">
      <c r="B227" s="7">
        <v>225</v>
      </c>
      <c r="C227" s="3" t="s">
        <v>231</v>
      </c>
      <c r="D227" s="2" t="s">
        <v>1025</v>
      </c>
      <c r="E227" s="3" t="s">
        <v>1008</v>
      </c>
      <c r="F227" s="3">
        <v>72</v>
      </c>
      <c r="G227" s="3">
        <v>82</v>
      </c>
      <c r="H227" s="8">
        <v>30000</v>
      </c>
      <c r="I227" s="18"/>
    </row>
    <row r="228" spans="2:9" x14ac:dyDescent="0.3">
      <c r="B228" s="7">
        <v>226</v>
      </c>
      <c r="C228" s="3" t="s">
        <v>232</v>
      </c>
      <c r="D228" s="2" t="s">
        <v>1027</v>
      </c>
      <c r="E228" s="3" t="s">
        <v>1008</v>
      </c>
      <c r="F228" s="3">
        <v>115</v>
      </c>
      <c r="G228" s="3">
        <v>112</v>
      </c>
      <c r="H228" s="8">
        <v>30000</v>
      </c>
      <c r="I228" s="18"/>
    </row>
    <row r="229" spans="2:9" x14ac:dyDescent="0.3">
      <c r="B229" s="7">
        <v>227</v>
      </c>
      <c r="C229" s="3" t="s">
        <v>233</v>
      </c>
      <c r="D229" s="2" t="s">
        <v>1081</v>
      </c>
      <c r="E229" s="3" t="s">
        <v>1011</v>
      </c>
      <c r="F229" s="3">
        <v>48</v>
      </c>
      <c r="G229" s="3">
        <v>70</v>
      </c>
      <c r="H229" s="8">
        <v>1000</v>
      </c>
      <c r="I229" s="18"/>
    </row>
    <row r="230" spans="2:9" x14ac:dyDescent="0.3">
      <c r="B230" s="7">
        <v>228</v>
      </c>
      <c r="C230" s="3" t="s">
        <v>234</v>
      </c>
      <c r="D230" s="2" t="s">
        <v>1046</v>
      </c>
      <c r="E230" s="3" t="s">
        <v>1010</v>
      </c>
      <c r="F230" s="3">
        <v>188</v>
      </c>
      <c r="G230" s="3">
        <v>39</v>
      </c>
      <c r="H230" s="8">
        <v>100</v>
      </c>
      <c r="I230" s="18"/>
    </row>
    <row r="231" spans="2:9" x14ac:dyDescent="0.3">
      <c r="B231" s="7">
        <v>229</v>
      </c>
      <c r="C231" s="3" t="s">
        <v>235</v>
      </c>
      <c r="D231" s="2" t="s">
        <v>1041</v>
      </c>
      <c r="E231" s="3" t="s">
        <v>1007</v>
      </c>
      <c r="F231" s="3">
        <v>61</v>
      </c>
      <c r="G231" s="3">
        <v>82</v>
      </c>
      <c r="H231" s="8">
        <v>2000</v>
      </c>
      <c r="I231" s="18"/>
    </row>
    <row r="232" spans="2:9" x14ac:dyDescent="0.3">
      <c r="B232" s="7">
        <v>230</v>
      </c>
      <c r="C232" s="3" t="s">
        <v>236</v>
      </c>
      <c r="D232" s="2" t="s">
        <v>1032</v>
      </c>
      <c r="E232" s="3" t="s">
        <v>1008</v>
      </c>
      <c r="F232" s="3">
        <v>30</v>
      </c>
      <c r="G232" s="3">
        <v>108</v>
      </c>
      <c r="H232" s="8">
        <v>2000</v>
      </c>
      <c r="I232" s="18"/>
    </row>
    <row r="233" spans="2:9" x14ac:dyDescent="0.3">
      <c r="B233" s="7">
        <v>231</v>
      </c>
      <c r="C233" s="3" t="s">
        <v>237</v>
      </c>
      <c r="D233" s="2" t="s">
        <v>1077</v>
      </c>
      <c r="E233" s="3" t="s">
        <v>1011</v>
      </c>
      <c r="F233" s="3">
        <v>147</v>
      </c>
      <c r="G233" s="3">
        <v>88</v>
      </c>
      <c r="H233" s="8">
        <v>5000</v>
      </c>
      <c r="I233" s="18"/>
    </row>
    <row r="234" spans="2:9" x14ac:dyDescent="0.3">
      <c r="B234" s="7">
        <v>232</v>
      </c>
      <c r="C234" s="3" t="s">
        <v>238</v>
      </c>
      <c r="D234" s="2" t="s">
        <v>1049</v>
      </c>
      <c r="E234" s="3" t="s">
        <v>1010</v>
      </c>
      <c r="F234" s="3">
        <v>84</v>
      </c>
      <c r="G234" s="3">
        <v>41</v>
      </c>
      <c r="H234" s="8">
        <v>20</v>
      </c>
      <c r="I234" s="18"/>
    </row>
    <row r="235" spans="2:9" x14ac:dyDescent="0.3">
      <c r="B235" s="7">
        <v>233</v>
      </c>
      <c r="C235" s="3" t="s">
        <v>239</v>
      </c>
      <c r="D235" s="2" t="s">
        <v>1037</v>
      </c>
      <c r="E235" s="3" t="s">
        <v>1007</v>
      </c>
      <c r="F235" s="3">
        <v>42</v>
      </c>
      <c r="G235" s="3">
        <v>124</v>
      </c>
      <c r="H235" s="8">
        <v>10000</v>
      </c>
      <c r="I235" s="18"/>
    </row>
    <row r="236" spans="2:9" x14ac:dyDescent="0.3">
      <c r="B236" s="7">
        <v>234</v>
      </c>
      <c r="C236" s="3" t="s">
        <v>240</v>
      </c>
      <c r="D236" s="2" t="s">
        <v>1039</v>
      </c>
      <c r="E236" s="3" t="s">
        <v>1007</v>
      </c>
      <c r="F236" s="3">
        <v>188</v>
      </c>
      <c r="G236" s="3">
        <v>74</v>
      </c>
      <c r="H236" s="8">
        <v>12000</v>
      </c>
      <c r="I236" s="18"/>
    </row>
    <row r="237" spans="2:9" x14ac:dyDescent="0.3">
      <c r="B237" s="7">
        <v>235</v>
      </c>
      <c r="C237" s="3" t="s">
        <v>241</v>
      </c>
      <c r="D237" s="2" t="s">
        <v>1018</v>
      </c>
      <c r="E237" s="3" t="s">
        <v>1012</v>
      </c>
      <c r="F237" s="3">
        <v>64</v>
      </c>
      <c r="G237" s="3">
        <v>139</v>
      </c>
      <c r="H237" s="8">
        <v>3000</v>
      </c>
      <c r="I237" s="18"/>
    </row>
    <row r="238" spans="2:9" x14ac:dyDescent="0.3">
      <c r="B238" s="7">
        <v>236</v>
      </c>
      <c r="C238" s="3" t="s">
        <v>242</v>
      </c>
      <c r="D238" s="2" t="s">
        <v>1018</v>
      </c>
      <c r="E238" s="3" t="s">
        <v>1012</v>
      </c>
      <c r="F238" s="3">
        <v>100</v>
      </c>
      <c r="G238" s="3">
        <v>32</v>
      </c>
      <c r="H238" s="8">
        <v>3000</v>
      </c>
      <c r="I238" s="18"/>
    </row>
    <row r="239" spans="2:9" x14ac:dyDescent="0.3">
      <c r="B239" s="7">
        <v>237</v>
      </c>
      <c r="C239" s="3" t="s">
        <v>243</v>
      </c>
      <c r="D239" s="2" t="s">
        <v>1050</v>
      </c>
      <c r="E239" s="3" t="s">
        <v>1010</v>
      </c>
      <c r="F239" s="3">
        <v>50</v>
      </c>
      <c r="G239" s="3">
        <v>50</v>
      </c>
      <c r="H239" s="8">
        <v>30</v>
      </c>
      <c r="I239" s="18"/>
    </row>
    <row r="240" spans="2:9" x14ac:dyDescent="0.3">
      <c r="B240" s="7">
        <v>238</v>
      </c>
      <c r="C240" s="3" t="s">
        <v>244</v>
      </c>
      <c r="D240" s="2" t="s">
        <v>1047</v>
      </c>
      <c r="E240" s="3" t="s">
        <v>1010</v>
      </c>
      <c r="F240" s="3">
        <v>69</v>
      </c>
      <c r="G240" s="3">
        <v>69</v>
      </c>
      <c r="H240" s="8">
        <v>500</v>
      </c>
      <c r="I240" s="18"/>
    </row>
    <row r="241" spans="2:9" x14ac:dyDescent="0.3">
      <c r="B241" s="7">
        <v>239</v>
      </c>
      <c r="C241" s="3" t="s">
        <v>245</v>
      </c>
      <c r="D241" s="2" t="s">
        <v>1087</v>
      </c>
      <c r="E241" s="3" t="s">
        <v>1011</v>
      </c>
      <c r="F241" s="3">
        <v>128</v>
      </c>
      <c r="G241" s="3">
        <v>198</v>
      </c>
      <c r="H241" s="8">
        <v>5000</v>
      </c>
      <c r="I241" s="18"/>
    </row>
    <row r="242" spans="2:9" x14ac:dyDescent="0.3">
      <c r="B242" s="7">
        <v>240</v>
      </c>
      <c r="C242" s="3" t="s">
        <v>246</v>
      </c>
      <c r="D242" s="2" t="s">
        <v>1061</v>
      </c>
      <c r="E242" s="3" t="s">
        <v>1012</v>
      </c>
      <c r="F242" s="3">
        <v>129</v>
      </c>
      <c r="G242" s="3">
        <v>144</v>
      </c>
      <c r="H242" s="8">
        <v>500</v>
      </c>
      <c r="I242" s="18"/>
    </row>
    <row r="243" spans="2:9" x14ac:dyDescent="0.3">
      <c r="B243" s="7">
        <v>241</v>
      </c>
      <c r="C243" s="3" t="s">
        <v>247</v>
      </c>
      <c r="D243" s="2" t="s">
        <v>1042</v>
      </c>
      <c r="E243" s="3" t="s">
        <v>1007</v>
      </c>
      <c r="F243" s="3">
        <v>141</v>
      </c>
      <c r="G243" s="3">
        <v>141</v>
      </c>
      <c r="H243" s="8">
        <v>3000</v>
      </c>
      <c r="I243" s="18"/>
    </row>
    <row r="244" spans="2:9" x14ac:dyDescent="0.3">
      <c r="B244" s="7">
        <v>242</v>
      </c>
      <c r="C244" s="3" t="s">
        <v>248</v>
      </c>
      <c r="D244" s="2" t="s">
        <v>1082</v>
      </c>
      <c r="E244" s="3" t="s">
        <v>1011</v>
      </c>
      <c r="F244" s="3">
        <v>62</v>
      </c>
      <c r="G244" s="3">
        <v>56</v>
      </c>
      <c r="H244" s="8">
        <v>2000</v>
      </c>
      <c r="I244" s="18"/>
    </row>
    <row r="245" spans="2:9" x14ac:dyDescent="0.3">
      <c r="B245" s="7">
        <v>243</v>
      </c>
      <c r="C245" s="3" t="s">
        <v>249</v>
      </c>
      <c r="D245" s="2" t="s">
        <v>1035</v>
      </c>
      <c r="E245" s="3" t="s">
        <v>1007</v>
      </c>
      <c r="F245" s="3">
        <v>114</v>
      </c>
      <c r="G245" s="3">
        <v>77</v>
      </c>
      <c r="H245" s="8">
        <v>15000</v>
      </c>
      <c r="I245" s="18"/>
    </row>
    <row r="246" spans="2:9" x14ac:dyDescent="0.3">
      <c r="B246" s="7">
        <v>244</v>
      </c>
      <c r="C246" s="3" t="s">
        <v>250</v>
      </c>
      <c r="D246" s="2" t="s">
        <v>1023</v>
      </c>
      <c r="E246" s="3" t="s">
        <v>1008</v>
      </c>
      <c r="F246" s="3">
        <v>197</v>
      </c>
      <c r="G246" s="3">
        <v>142</v>
      </c>
      <c r="H246" s="8">
        <v>20000</v>
      </c>
      <c r="I246" s="18"/>
    </row>
    <row r="247" spans="2:9" x14ac:dyDescent="0.3">
      <c r="B247" s="7">
        <v>245</v>
      </c>
      <c r="C247" s="3" t="s">
        <v>251</v>
      </c>
      <c r="D247" s="2" t="s">
        <v>1017</v>
      </c>
      <c r="E247" s="3" t="s">
        <v>1012</v>
      </c>
      <c r="F247" s="3">
        <v>147</v>
      </c>
      <c r="G247" s="3">
        <v>63</v>
      </c>
      <c r="H247" s="8">
        <v>200</v>
      </c>
      <c r="I247" s="18"/>
    </row>
    <row r="248" spans="2:9" x14ac:dyDescent="0.3">
      <c r="B248" s="7">
        <v>246</v>
      </c>
      <c r="C248" s="3" t="s">
        <v>252</v>
      </c>
      <c r="D248" s="2" t="s">
        <v>1075</v>
      </c>
      <c r="E248" s="3" t="s">
        <v>1009</v>
      </c>
      <c r="F248" s="3">
        <v>184</v>
      </c>
      <c r="G248" s="3">
        <v>115</v>
      </c>
      <c r="H248" s="8">
        <v>2000</v>
      </c>
      <c r="I248" s="18"/>
    </row>
    <row r="249" spans="2:9" x14ac:dyDescent="0.3">
      <c r="B249" s="7">
        <v>247</v>
      </c>
      <c r="C249" s="3" t="s">
        <v>253</v>
      </c>
      <c r="D249" s="2" t="s">
        <v>1071</v>
      </c>
      <c r="E249" s="3" t="s">
        <v>1009</v>
      </c>
      <c r="F249" s="3">
        <v>166</v>
      </c>
      <c r="G249" s="3">
        <v>70</v>
      </c>
      <c r="H249" s="8">
        <v>200</v>
      </c>
      <c r="I249" s="18"/>
    </row>
    <row r="250" spans="2:9" x14ac:dyDescent="0.3">
      <c r="B250" s="7">
        <v>248</v>
      </c>
      <c r="C250" s="3" t="s">
        <v>254</v>
      </c>
      <c r="D250" s="2" t="s">
        <v>1036</v>
      </c>
      <c r="E250" s="3" t="s">
        <v>1007</v>
      </c>
      <c r="F250" s="3">
        <v>176</v>
      </c>
      <c r="G250" s="3">
        <v>65</v>
      </c>
      <c r="H250" s="8">
        <v>8000</v>
      </c>
      <c r="I250" s="18"/>
    </row>
    <row r="251" spans="2:9" x14ac:dyDescent="0.3">
      <c r="B251" s="7">
        <v>249</v>
      </c>
      <c r="C251" s="3" t="s">
        <v>255</v>
      </c>
      <c r="D251" s="2" t="s">
        <v>1077</v>
      </c>
      <c r="E251" s="3" t="s">
        <v>1011</v>
      </c>
      <c r="F251" s="3">
        <v>150</v>
      </c>
      <c r="G251" s="3">
        <v>186</v>
      </c>
      <c r="H251" s="8">
        <v>5000</v>
      </c>
      <c r="I251" s="18"/>
    </row>
    <row r="252" spans="2:9" x14ac:dyDescent="0.3">
      <c r="B252" s="7">
        <v>250</v>
      </c>
      <c r="C252" s="3" t="s">
        <v>256</v>
      </c>
      <c r="D252" s="2" t="s">
        <v>1043</v>
      </c>
      <c r="E252" s="3" t="s">
        <v>1010</v>
      </c>
      <c r="F252" s="3">
        <v>65</v>
      </c>
      <c r="G252" s="3">
        <v>79</v>
      </c>
      <c r="H252" s="8">
        <v>50</v>
      </c>
      <c r="I252" s="18"/>
    </row>
    <row r="253" spans="2:9" x14ac:dyDescent="0.3">
      <c r="B253" s="7">
        <v>251</v>
      </c>
      <c r="C253" s="3" t="s">
        <v>257</v>
      </c>
      <c r="D253" s="2" t="s">
        <v>1024</v>
      </c>
      <c r="E253" s="3" t="s">
        <v>1008</v>
      </c>
      <c r="F253" s="3">
        <v>139</v>
      </c>
      <c r="G253" s="3">
        <v>41</v>
      </c>
      <c r="H253" s="8">
        <v>150000</v>
      </c>
      <c r="I253" s="18"/>
    </row>
    <row r="254" spans="2:9" x14ac:dyDescent="0.3">
      <c r="B254" s="7">
        <v>252</v>
      </c>
      <c r="C254" s="3" t="s">
        <v>258</v>
      </c>
      <c r="D254" s="2" t="s">
        <v>1057</v>
      </c>
      <c r="E254" s="3" t="s">
        <v>1012</v>
      </c>
      <c r="F254" s="3">
        <v>200</v>
      </c>
      <c r="G254" s="3">
        <v>55</v>
      </c>
      <c r="H254" s="8">
        <v>500</v>
      </c>
      <c r="I254" s="18"/>
    </row>
    <row r="255" spans="2:9" x14ac:dyDescent="0.3">
      <c r="B255" s="7">
        <v>253</v>
      </c>
      <c r="C255" s="3" t="s">
        <v>259</v>
      </c>
      <c r="D255" s="2" t="s">
        <v>1066</v>
      </c>
      <c r="E255" s="3" t="s">
        <v>1009</v>
      </c>
      <c r="F255" s="3">
        <v>100</v>
      </c>
      <c r="G255" s="3">
        <v>100</v>
      </c>
      <c r="H255" s="8">
        <v>800</v>
      </c>
      <c r="I255" s="18"/>
    </row>
    <row r="256" spans="2:9" x14ac:dyDescent="0.3">
      <c r="B256" s="7">
        <v>254</v>
      </c>
      <c r="C256" s="3" t="s">
        <v>260</v>
      </c>
      <c r="D256" s="2" t="s">
        <v>1056</v>
      </c>
      <c r="E256" s="3" t="s">
        <v>1012</v>
      </c>
      <c r="F256" s="3">
        <v>164</v>
      </c>
      <c r="G256" s="3">
        <v>164</v>
      </c>
      <c r="H256" s="8">
        <v>100</v>
      </c>
      <c r="I256" s="18"/>
    </row>
    <row r="257" spans="2:9" x14ac:dyDescent="0.3">
      <c r="B257" s="7">
        <v>255</v>
      </c>
      <c r="C257" s="3" t="s">
        <v>261</v>
      </c>
      <c r="D257" s="2" t="s">
        <v>1017</v>
      </c>
      <c r="E257" s="3" t="s">
        <v>1012</v>
      </c>
      <c r="F257" s="3">
        <v>195</v>
      </c>
      <c r="G257" s="3">
        <v>195</v>
      </c>
      <c r="H257" s="8">
        <v>200</v>
      </c>
      <c r="I257" s="18"/>
    </row>
    <row r="258" spans="2:9" x14ac:dyDescent="0.3">
      <c r="B258" s="7">
        <v>256</v>
      </c>
      <c r="C258" s="3" t="s">
        <v>262</v>
      </c>
      <c r="D258" s="2" t="s">
        <v>1033</v>
      </c>
      <c r="E258" s="3" t="s">
        <v>1008</v>
      </c>
      <c r="F258" s="3">
        <v>148</v>
      </c>
      <c r="G258" s="3">
        <v>148</v>
      </c>
      <c r="H258" s="8">
        <v>4000</v>
      </c>
      <c r="I258" s="18"/>
    </row>
    <row r="259" spans="2:9" x14ac:dyDescent="0.3">
      <c r="B259" s="7">
        <v>257</v>
      </c>
      <c r="C259" s="3" t="s">
        <v>263</v>
      </c>
      <c r="D259" s="2" t="s">
        <v>1031</v>
      </c>
      <c r="E259" s="3" t="s">
        <v>1008</v>
      </c>
      <c r="F259" s="3">
        <v>34</v>
      </c>
      <c r="G259" s="3">
        <v>34</v>
      </c>
      <c r="H259" s="8">
        <v>40000</v>
      </c>
      <c r="I259" s="18"/>
    </row>
    <row r="260" spans="2:9" x14ac:dyDescent="0.3">
      <c r="B260" s="7">
        <v>258</v>
      </c>
      <c r="C260" s="3" t="s">
        <v>264</v>
      </c>
      <c r="D260" s="2" t="s">
        <v>1080</v>
      </c>
      <c r="E260" s="3" t="s">
        <v>1011</v>
      </c>
      <c r="F260" s="3">
        <v>163</v>
      </c>
      <c r="G260" s="3">
        <v>163</v>
      </c>
      <c r="H260" s="8">
        <v>2500</v>
      </c>
      <c r="I260" s="18"/>
    </row>
    <row r="261" spans="2:9" x14ac:dyDescent="0.3">
      <c r="B261" s="7">
        <v>259</v>
      </c>
      <c r="C261" s="3" t="s">
        <v>265</v>
      </c>
      <c r="D261" s="2" t="s">
        <v>1053</v>
      </c>
      <c r="E261" s="3" t="s">
        <v>1010</v>
      </c>
      <c r="F261" s="3">
        <v>94</v>
      </c>
      <c r="G261" s="3">
        <v>94</v>
      </c>
      <c r="H261" s="8">
        <v>10</v>
      </c>
      <c r="I261" s="18"/>
    </row>
    <row r="262" spans="2:9" x14ac:dyDescent="0.3">
      <c r="B262" s="7">
        <v>260</v>
      </c>
      <c r="C262" s="3" t="s">
        <v>266</v>
      </c>
      <c r="D262" s="2" t="s">
        <v>1049</v>
      </c>
      <c r="E262" s="3" t="s">
        <v>1010</v>
      </c>
      <c r="F262" s="3">
        <v>141</v>
      </c>
      <c r="G262" s="3">
        <v>141</v>
      </c>
      <c r="H262" s="8">
        <v>20</v>
      </c>
      <c r="I262" s="18"/>
    </row>
    <row r="263" spans="2:9" x14ac:dyDescent="0.3">
      <c r="B263" s="7">
        <v>261</v>
      </c>
      <c r="C263" s="3" t="s">
        <v>267</v>
      </c>
      <c r="D263" s="2" t="s">
        <v>1051</v>
      </c>
      <c r="E263" s="3" t="s">
        <v>1010</v>
      </c>
      <c r="F263" s="3">
        <v>52</v>
      </c>
      <c r="G263" s="3">
        <v>52</v>
      </c>
      <c r="H263" s="8">
        <v>50</v>
      </c>
      <c r="I263" s="18"/>
    </row>
    <row r="264" spans="2:9" x14ac:dyDescent="0.3">
      <c r="B264" s="7">
        <v>262</v>
      </c>
      <c r="C264" s="3" t="s">
        <v>268</v>
      </c>
      <c r="D264" s="2" t="s">
        <v>1086</v>
      </c>
      <c r="E264" s="3" t="s">
        <v>1011</v>
      </c>
      <c r="F264" s="3">
        <v>197</v>
      </c>
      <c r="G264" s="3">
        <v>197</v>
      </c>
      <c r="H264" s="8">
        <v>4500</v>
      </c>
      <c r="I264" s="18"/>
    </row>
    <row r="265" spans="2:9" x14ac:dyDescent="0.3">
      <c r="B265" s="7">
        <v>263</v>
      </c>
      <c r="C265" s="3" t="s">
        <v>269</v>
      </c>
      <c r="D265" s="2" t="s">
        <v>1058</v>
      </c>
      <c r="E265" s="3" t="s">
        <v>1012</v>
      </c>
      <c r="F265" s="3">
        <v>62</v>
      </c>
      <c r="G265" s="3">
        <v>62</v>
      </c>
      <c r="H265" s="8">
        <v>500</v>
      </c>
      <c r="I265" s="18"/>
    </row>
    <row r="266" spans="2:9" x14ac:dyDescent="0.3">
      <c r="B266" s="7">
        <v>264</v>
      </c>
      <c r="C266" s="3" t="s">
        <v>270</v>
      </c>
      <c r="D266" s="2" t="s">
        <v>1049</v>
      </c>
      <c r="E266" s="3" t="s">
        <v>1010</v>
      </c>
      <c r="F266" s="3">
        <v>180</v>
      </c>
      <c r="G266" s="3">
        <v>180</v>
      </c>
      <c r="H266" s="8">
        <v>20</v>
      </c>
      <c r="I266" s="18"/>
    </row>
    <row r="267" spans="2:9" x14ac:dyDescent="0.3">
      <c r="B267" s="7">
        <v>265</v>
      </c>
      <c r="C267" s="3" t="s">
        <v>271</v>
      </c>
      <c r="D267" s="2" t="s">
        <v>1039</v>
      </c>
      <c r="E267" s="3" t="s">
        <v>1007</v>
      </c>
      <c r="F267" s="3">
        <v>72</v>
      </c>
      <c r="G267" s="3">
        <v>72</v>
      </c>
      <c r="H267" s="8">
        <v>12000</v>
      </c>
      <c r="I267" s="18"/>
    </row>
    <row r="268" spans="2:9" x14ac:dyDescent="0.3">
      <c r="B268" s="7">
        <v>266</v>
      </c>
      <c r="C268" s="3" t="s">
        <v>272</v>
      </c>
      <c r="D268" s="2" t="s">
        <v>1046</v>
      </c>
      <c r="E268" s="3" t="s">
        <v>1010</v>
      </c>
      <c r="F268" s="3">
        <v>155</v>
      </c>
      <c r="G268" s="3">
        <v>155</v>
      </c>
      <c r="H268" s="8">
        <v>100</v>
      </c>
      <c r="I268" s="18"/>
    </row>
    <row r="269" spans="2:9" x14ac:dyDescent="0.3">
      <c r="B269" s="7">
        <v>267</v>
      </c>
      <c r="C269" s="3" t="s">
        <v>273</v>
      </c>
      <c r="D269" s="2" t="s">
        <v>1079</v>
      </c>
      <c r="E269" s="3" t="s">
        <v>1011</v>
      </c>
      <c r="F269" s="3">
        <v>102</v>
      </c>
      <c r="G269" s="3">
        <v>102</v>
      </c>
      <c r="H269" s="8">
        <v>5000</v>
      </c>
      <c r="I269" s="18"/>
    </row>
    <row r="270" spans="2:9" x14ac:dyDescent="0.3">
      <c r="B270" s="7">
        <v>268</v>
      </c>
      <c r="C270" s="3" t="s">
        <v>274</v>
      </c>
      <c r="D270" s="2" t="s">
        <v>1022</v>
      </c>
      <c r="E270" s="3" t="s">
        <v>1008</v>
      </c>
      <c r="F270" s="3">
        <v>59</v>
      </c>
      <c r="G270" s="3">
        <v>59</v>
      </c>
      <c r="H270" s="8">
        <v>0</v>
      </c>
      <c r="I270" s="18"/>
    </row>
    <row r="271" spans="2:9" x14ac:dyDescent="0.3">
      <c r="B271" s="7">
        <v>269</v>
      </c>
      <c r="C271" s="3" t="s">
        <v>275</v>
      </c>
      <c r="D271" s="2" t="s">
        <v>1049</v>
      </c>
      <c r="E271" s="3" t="s">
        <v>1010</v>
      </c>
      <c r="F271" s="3">
        <v>119</v>
      </c>
      <c r="G271" s="3">
        <v>174</v>
      </c>
      <c r="H271" s="8">
        <v>20</v>
      </c>
      <c r="I271" s="18"/>
    </row>
    <row r="272" spans="2:9" x14ac:dyDescent="0.3">
      <c r="B272" s="7">
        <v>270</v>
      </c>
      <c r="C272" s="3" t="s">
        <v>276</v>
      </c>
      <c r="D272" s="2" t="s">
        <v>1028</v>
      </c>
      <c r="E272" s="3" t="s">
        <v>1008</v>
      </c>
      <c r="F272" s="3">
        <v>144</v>
      </c>
      <c r="G272" s="3">
        <v>118</v>
      </c>
      <c r="H272" s="8">
        <v>15000</v>
      </c>
      <c r="I272" s="18"/>
    </row>
    <row r="273" spans="2:9" x14ac:dyDescent="0.3">
      <c r="B273" s="7">
        <v>271</v>
      </c>
      <c r="C273" s="3" t="s">
        <v>277</v>
      </c>
      <c r="D273" s="2" t="s">
        <v>1043</v>
      </c>
      <c r="E273" s="3" t="s">
        <v>1010</v>
      </c>
      <c r="F273" s="3">
        <v>112</v>
      </c>
      <c r="G273" s="3">
        <v>75</v>
      </c>
      <c r="H273" s="8">
        <v>50</v>
      </c>
      <c r="I273" s="18"/>
    </row>
    <row r="274" spans="2:9" x14ac:dyDescent="0.3">
      <c r="B274" s="7">
        <v>272</v>
      </c>
      <c r="C274" s="3" t="s">
        <v>278</v>
      </c>
      <c r="D274" s="2" t="s">
        <v>1022</v>
      </c>
      <c r="E274" s="3" t="s">
        <v>1008</v>
      </c>
      <c r="F274" s="3">
        <v>121</v>
      </c>
      <c r="G274" s="3">
        <v>154</v>
      </c>
      <c r="H274" s="8">
        <v>0</v>
      </c>
      <c r="I274" s="18"/>
    </row>
    <row r="275" spans="2:9" x14ac:dyDescent="0.3">
      <c r="B275" s="7">
        <v>273</v>
      </c>
      <c r="C275" s="3" t="s">
        <v>279</v>
      </c>
      <c r="D275" s="2" t="s">
        <v>1027</v>
      </c>
      <c r="E275" s="3" t="s">
        <v>1008</v>
      </c>
      <c r="F275" s="3">
        <v>178</v>
      </c>
      <c r="G275" s="3">
        <v>44</v>
      </c>
      <c r="H275" s="8">
        <v>30000</v>
      </c>
      <c r="I275" s="18"/>
    </row>
    <row r="276" spans="2:9" x14ac:dyDescent="0.3">
      <c r="B276" s="7">
        <v>274</v>
      </c>
      <c r="C276" s="3" t="s">
        <v>280</v>
      </c>
      <c r="D276" s="2" t="s">
        <v>1058</v>
      </c>
      <c r="E276" s="3" t="s">
        <v>1012</v>
      </c>
      <c r="F276" s="3">
        <v>143</v>
      </c>
      <c r="G276" s="3">
        <v>198</v>
      </c>
      <c r="H276" s="8">
        <v>500</v>
      </c>
      <c r="I276" s="18"/>
    </row>
    <row r="277" spans="2:9" x14ac:dyDescent="0.3">
      <c r="B277" s="7">
        <v>275</v>
      </c>
      <c r="C277" s="3" t="s">
        <v>281</v>
      </c>
      <c r="D277" s="2" t="s">
        <v>1047</v>
      </c>
      <c r="E277" s="3" t="s">
        <v>1010</v>
      </c>
      <c r="F277" s="3">
        <v>184</v>
      </c>
      <c r="G277" s="3">
        <v>144</v>
      </c>
      <c r="H277" s="8">
        <v>500</v>
      </c>
      <c r="I277" s="18"/>
    </row>
    <row r="278" spans="2:9" x14ac:dyDescent="0.3">
      <c r="B278" s="7">
        <v>276</v>
      </c>
      <c r="C278" s="3" t="s">
        <v>282</v>
      </c>
      <c r="D278" s="2" t="s">
        <v>1083</v>
      </c>
      <c r="E278" s="3" t="s">
        <v>1011</v>
      </c>
      <c r="F278" s="3">
        <v>91</v>
      </c>
      <c r="G278" s="3">
        <v>34</v>
      </c>
      <c r="H278" s="8">
        <v>3000</v>
      </c>
      <c r="I278" s="18"/>
    </row>
    <row r="279" spans="2:9" x14ac:dyDescent="0.3">
      <c r="B279" s="7">
        <v>277</v>
      </c>
      <c r="C279" s="3" t="s">
        <v>283</v>
      </c>
      <c r="D279" s="2" t="s">
        <v>1059</v>
      </c>
      <c r="E279" s="3" t="s">
        <v>1012</v>
      </c>
      <c r="F279" s="3">
        <v>154</v>
      </c>
      <c r="G279" s="3">
        <v>114</v>
      </c>
      <c r="H279" s="8">
        <v>200</v>
      </c>
      <c r="I279" s="18"/>
    </row>
    <row r="280" spans="2:9" x14ac:dyDescent="0.3">
      <c r="B280" s="7">
        <v>278</v>
      </c>
      <c r="C280" s="3" t="s">
        <v>284</v>
      </c>
      <c r="D280" s="2" t="s">
        <v>1045</v>
      </c>
      <c r="E280" s="3" t="s">
        <v>1010</v>
      </c>
      <c r="F280" s="3">
        <v>113</v>
      </c>
      <c r="G280" s="3">
        <v>162</v>
      </c>
      <c r="H280" s="8">
        <v>100</v>
      </c>
      <c r="I280" s="18"/>
    </row>
    <row r="281" spans="2:9" x14ac:dyDescent="0.3">
      <c r="B281" s="7">
        <v>279</v>
      </c>
      <c r="C281" s="3" t="s">
        <v>285</v>
      </c>
      <c r="D281" s="2" t="s">
        <v>1064</v>
      </c>
      <c r="E281" s="3" t="s">
        <v>1009</v>
      </c>
      <c r="F281" s="3">
        <v>58</v>
      </c>
      <c r="G281" s="3">
        <v>84</v>
      </c>
      <c r="H281" s="8">
        <v>15000</v>
      </c>
      <c r="I281" s="18"/>
    </row>
    <row r="282" spans="2:9" x14ac:dyDescent="0.3">
      <c r="B282" s="7">
        <v>280</v>
      </c>
      <c r="C282" s="3" t="s">
        <v>286</v>
      </c>
      <c r="D282" s="2" t="s">
        <v>1073</v>
      </c>
      <c r="E282" s="3" t="s">
        <v>1009</v>
      </c>
      <c r="F282" s="3">
        <v>195</v>
      </c>
      <c r="G282" s="3">
        <v>142</v>
      </c>
      <c r="H282" s="8">
        <v>100</v>
      </c>
      <c r="I282" s="18"/>
    </row>
    <row r="283" spans="2:9" x14ac:dyDescent="0.3">
      <c r="B283" s="7">
        <v>281</v>
      </c>
      <c r="C283" s="3" t="s">
        <v>287</v>
      </c>
      <c r="D283" s="2" t="s">
        <v>1060</v>
      </c>
      <c r="E283" s="3" t="s">
        <v>1012</v>
      </c>
      <c r="F283" s="3">
        <v>102</v>
      </c>
      <c r="G283" s="3">
        <v>98</v>
      </c>
      <c r="H283" s="8">
        <v>1500</v>
      </c>
      <c r="I283" s="18"/>
    </row>
    <row r="284" spans="2:9" x14ac:dyDescent="0.3">
      <c r="B284" s="7">
        <v>282</v>
      </c>
      <c r="C284" s="3" t="s">
        <v>288</v>
      </c>
      <c r="D284" s="2" t="s">
        <v>1060</v>
      </c>
      <c r="E284" s="3" t="s">
        <v>1012</v>
      </c>
      <c r="F284" s="3">
        <v>167</v>
      </c>
      <c r="G284" s="3">
        <v>46</v>
      </c>
      <c r="H284" s="8">
        <v>1500</v>
      </c>
      <c r="I284" s="18"/>
    </row>
    <row r="285" spans="2:9" x14ac:dyDescent="0.3">
      <c r="B285" s="7">
        <v>283</v>
      </c>
      <c r="C285" s="3" t="s">
        <v>289</v>
      </c>
      <c r="D285" s="2" t="s">
        <v>1034</v>
      </c>
      <c r="E285" s="3" t="s">
        <v>1008</v>
      </c>
      <c r="F285" s="3">
        <v>84</v>
      </c>
      <c r="G285" s="3">
        <v>131</v>
      </c>
      <c r="H285" s="8">
        <v>50000</v>
      </c>
      <c r="I285" s="18"/>
    </row>
    <row r="286" spans="2:9" x14ac:dyDescent="0.3">
      <c r="B286" s="7">
        <v>284</v>
      </c>
      <c r="C286" s="3" t="s">
        <v>290</v>
      </c>
      <c r="D286" s="2" t="s">
        <v>1044</v>
      </c>
      <c r="E286" s="3" t="s">
        <v>1010</v>
      </c>
      <c r="F286" s="3">
        <v>86</v>
      </c>
      <c r="G286" s="3">
        <v>187</v>
      </c>
      <c r="H286" s="8">
        <v>100</v>
      </c>
      <c r="I286" s="18"/>
    </row>
    <row r="287" spans="2:9" x14ac:dyDescent="0.3">
      <c r="B287" s="7">
        <v>285</v>
      </c>
      <c r="C287" s="3" t="s">
        <v>291</v>
      </c>
      <c r="D287" s="2" t="s">
        <v>1044</v>
      </c>
      <c r="E287" s="3" t="s">
        <v>1010</v>
      </c>
      <c r="F287" s="3">
        <v>50</v>
      </c>
      <c r="G287" s="3">
        <v>148</v>
      </c>
      <c r="H287" s="8">
        <v>100</v>
      </c>
      <c r="I287" s="18"/>
    </row>
    <row r="288" spans="2:9" x14ac:dyDescent="0.3">
      <c r="B288" s="7">
        <v>286</v>
      </c>
      <c r="C288" s="3" t="s">
        <v>292</v>
      </c>
      <c r="D288" s="2" t="s">
        <v>1041</v>
      </c>
      <c r="E288" s="3" t="s">
        <v>1007</v>
      </c>
      <c r="F288" s="3">
        <v>176</v>
      </c>
      <c r="G288" s="3">
        <v>183</v>
      </c>
      <c r="H288" s="8">
        <v>2000</v>
      </c>
      <c r="I288" s="18"/>
    </row>
    <row r="289" spans="2:9" x14ac:dyDescent="0.3">
      <c r="B289" s="7">
        <v>287</v>
      </c>
      <c r="C289" s="3" t="s">
        <v>293</v>
      </c>
      <c r="D289" s="2" t="s">
        <v>1086</v>
      </c>
      <c r="E289" s="3" t="s">
        <v>1011</v>
      </c>
      <c r="F289" s="3">
        <v>58</v>
      </c>
      <c r="G289" s="3">
        <v>127</v>
      </c>
      <c r="H289" s="8">
        <v>4500</v>
      </c>
      <c r="I289" s="18"/>
    </row>
    <row r="290" spans="2:9" x14ac:dyDescent="0.3">
      <c r="B290" s="7">
        <v>288</v>
      </c>
      <c r="C290" s="3" t="s">
        <v>294</v>
      </c>
      <c r="D290" s="2" t="s">
        <v>1027</v>
      </c>
      <c r="E290" s="3" t="s">
        <v>1008</v>
      </c>
      <c r="F290" s="3">
        <v>125</v>
      </c>
      <c r="G290" s="3">
        <v>120</v>
      </c>
      <c r="H290" s="8">
        <v>30000</v>
      </c>
      <c r="I290" s="18"/>
    </row>
    <row r="291" spans="2:9" x14ac:dyDescent="0.3">
      <c r="B291" s="7">
        <v>289</v>
      </c>
      <c r="C291" s="3" t="s">
        <v>295</v>
      </c>
      <c r="D291" s="2" t="s">
        <v>1036</v>
      </c>
      <c r="E291" s="3" t="s">
        <v>1007</v>
      </c>
      <c r="F291" s="3">
        <v>47</v>
      </c>
      <c r="G291" s="3">
        <v>78</v>
      </c>
      <c r="H291" s="8">
        <v>8000</v>
      </c>
      <c r="I291" s="18"/>
    </row>
    <row r="292" spans="2:9" x14ac:dyDescent="0.3">
      <c r="B292" s="7">
        <v>290</v>
      </c>
      <c r="C292" s="3" t="s">
        <v>296</v>
      </c>
      <c r="D292" s="2" t="s">
        <v>1052</v>
      </c>
      <c r="E292" s="3" t="s">
        <v>1010</v>
      </c>
      <c r="F292" s="3">
        <v>118</v>
      </c>
      <c r="G292" s="3">
        <v>118</v>
      </c>
      <c r="H292" s="8">
        <v>100</v>
      </c>
      <c r="I292" s="18"/>
    </row>
    <row r="293" spans="2:9" x14ac:dyDescent="0.3">
      <c r="B293" s="7">
        <v>291</v>
      </c>
      <c r="C293" s="3" t="s">
        <v>297</v>
      </c>
      <c r="D293" s="2" t="s">
        <v>1077</v>
      </c>
      <c r="E293" s="3" t="s">
        <v>1011</v>
      </c>
      <c r="F293" s="3">
        <v>150</v>
      </c>
      <c r="G293" s="3">
        <v>150</v>
      </c>
      <c r="H293" s="8">
        <v>5000</v>
      </c>
      <c r="I293" s="18"/>
    </row>
    <row r="294" spans="2:9" x14ac:dyDescent="0.3">
      <c r="B294" s="7">
        <v>292</v>
      </c>
      <c r="C294" s="3" t="s">
        <v>298</v>
      </c>
      <c r="D294" s="2" t="s">
        <v>1031</v>
      </c>
      <c r="E294" s="3" t="s">
        <v>1008</v>
      </c>
      <c r="F294" s="3">
        <v>77</v>
      </c>
      <c r="G294" s="3">
        <v>77</v>
      </c>
      <c r="H294" s="8">
        <v>40000</v>
      </c>
      <c r="I294" s="18"/>
    </row>
    <row r="295" spans="2:9" x14ac:dyDescent="0.3">
      <c r="B295" s="7">
        <v>293</v>
      </c>
      <c r="C295" s="3" t="s">
        <v>299</v>
      </c>
      <c r="D295" s="2" t="s">
        <v>1041</v>
      </c>
      <c r="E295" s="3" t="s">
        <v>1007</v>
      </c>
      <c r="F295" s="3">
        <v>175</v>
      </c>
      <c r="G295" s="3">
        <v>175</v>
      </c>
      <c r="H295" s="8">
        <v>2000</v>
      </c>
      <c r="I295" s="18"/>
    </row>
    <row r="296" spans="2:9" x14ac:dyDescent="0.3">
      <c r="B296" s="7">
        <v>294</v>
      </c>
      <c r="C296" s="3" t="s">
        <v>300</v>
      </c>
      <c r="D296" s="2" t="s">
        <v>1079</v>
      </c>
      <c r="E296" s="3" t="s">
        <v>1011</v>
      </c>
      <c r="F296" s="3">
        <v>130</v>
      </c>
      <c r="G296" s="3">
        <v>130</v>
      </c>
      <c r="H296" s="8">
        <v>5000</v>
      </c>
      <c r="I296" s="18"/>
    </row>
    <row r="297" spans="2:9" x14ac:dyDescent="0.3">
      <c r="B297" s="7">
        <v>295</v>
      </c>
      <c r="C297" s="3" t="s">
        <v>301</v>
      </c>
      <c r="D297" s="2" t="s">
        <v>1040</v>
      </c>
      <c r="E297" s="3" t="s">
        <v>1007</v>
      </c>
      <c r="F297" s="3">
        <v>154</v>
      </c>
      <c r="G297" s="3">
        <v>72</v>
      </c>
      <c r="H297" s="8">
        <v>5000</v>
      </c>
      <c r="I297" s="18"/>
    </row>
    <row r="298" spans="2:9" x14ac:dyDescent="0.3">
      <c r="B298" s="7">
        <v>296</v>
      </c>
      <c r="C298" s="3" t="s">
        <v>302</v>
      </c>
      <c r="D298" s="2" t="s">
        <v>1027</v>
      </c>
      <c r="E298" s="3" t="s">
        <v>1008</v>
      </c>
      <c r="F298" s="3">
        <v>74</v>
      </c>
      <c r="G298" s="3">
        <v>118</v>
      </c>
      <c r="H298" s="8">
        <v>30000</v>
      </c>
      <c r="I298" s="18"/>
    </row>
    <row r="299" spans="2:9" x14ac:dyDescent="0.3">
      <c r="B299" s="7">
        <v>297</v>
      </c>
      <c r="C299" s="3" t="s">
        <v>303</v>
      </c>
      <c r="D299" s="2" t="s">
        <v>1018</v>
      </c>
      <c r="E299" s="3" t="s">
        <v>1012</v>
      </c>
      <c r="F299" s="3">
        <v>113</v>
      </c>
      <c r="G299" s="3">
        <v>70</v>
      </c>
      <c r="H299" s="8">
        <v>3000</v>
      </c>
      <c r="I299" s="18"/>
    </row>
    <row r="300" spans="2:9" x14ac:dyDescent="0.3">
      <c r="B300" s="7">
        <v>298</v>
      </c>
      <c r="C300" s="3" t="s">
        <v>304</v>
      </c>
      <c r="D300" s="2" t="s">
        <v>1037</v>
      </c>
      <c r="E300" s="3" t="s">
        <v>1007</v>
      </c>
      <c r="F300" s="3">
        <v>42</v>
      </c>
      <c r="G300" s="3">
        <v>42</v>
      </c>
      <c r="H300" s="8">
        <v>10000</v>
      </c>
      <c r="I300" s="18"/>
    </row>
    <row r="301" spans="2:9" x14ac:dyDescent="0.3">
      <c r="B301" s="7">
        <v>299</v>
      </c>
      <c r="C301" s="3" t="s">
        <v>305</v>
      </c>
      <c r="D301" s="2" t="s">
        <v>1041</v>
      </c>
      <c r="E301" s="3" t="s">
        <v>1007</v>
      </c>
      <c r="F301" s="3">
        <v>65</v>
      </c>
      <c r="G301" s="3">
        <v>84</v>
      </c>
      <c r="H301" s="8">
        <v>2000</v>
      </c>
      <c r="I301" s="18"/>
    </row>
    <row r="302" spans="2:9" x14ac:dyDescent="0.3">
      <c r="B302" s="7">
        <v>300</v>
      </c>
      <c r="C302" s="3" t="s">
        <v>306</v>
      </c>
      <c r="D302" s="2" t="s">
        <v>1081</v>
      </c>
      <c r="E302" s="3" t="s">
        <v>1011</v>
      </c>
      <c r="F302" s="3">
        <v>67</v>
      </c>
      <c r="G302" s="3">
        <v>40</v>
      </c>
      <c r="H302" s="8">
        <v>1000</v>
      </c>
      <c r="I302" s="18"/>
    </row>
    <row r="303" spans="2:9" x14ac:dyDescent="0.3">
      <c r="B303" s="7">
        <v>301</v>
      </c>
      <c r="C303" s="3" t="s">
        <v>307</v>
      </c>
      <c r="D303" s="2" t="s">
        <v>1060</v>
      </c>
      <c r="E303" s="3" t="s">
        <v>1012</v>
      </c>
      <c r="F303" s="3">
        <v>40</v>
      </c>
      <c r="G303" s="3">
        <v>102</v>
      </c>
      <c r="H303" s="8">
        <v>1500</v>
      </c>
      <c r="I303" s="18"/>
    </row>
    <row r="304" spans="2:9" x14ac:dyDescent="0.3">
      <c r="B304" s="7">
        <v>302</v>
      </c>
      <c r="C304" s="3" t="s">
        <v>308</v>
      </c>
      <c r="D304" s="2" t="s">
        <v>1028</v>
      </c>
      <c r="E304" s="3" t="s">
        <v>1008</v>
      </c>
      <c r="F304" s="3">
        <v>61</v>
      </c>
      <c r="G304" s="3">
        <v>116</v>
      </c>
      <c r="H304" s="8">
        <v>15000</v>
      </c>
      <c r="I304" s="18"/>
    </row>
    <row r="305" spans="2:9" x14ac:dyDescent="0.3">
      <c r="B305" s="7">
        <v>303</v>
      </c>
      <c r="C305" s="3" t="s">
        <v>309</v>
      </c>
      <c r="D305" s="2" t="s">
        <v>1039</v>
      </c>
      <c r="E305" s="3" t="s">
        <v>1007</v>
      </c>
      <c r="F305" s="3">
        <v>30</v>
      </c>
      <c r="G305" s="3">
        <v>103</v>
      </c>
      <c r="H305" s="8">
        <v>12000</v>
      </c>
      <c r="I305" s="18"/>
    </row>
    <row r="306" spans="2:9" x14ac:dyDescent="0.3">
      <c r="B306" s="7">
        <v>304</v>
      </c>
      <c r="C306" s="3" t="s">
        <v>310</v>
      </c>
      <c r="D306" s="2" t="s">
        <v>1029</v>
      </c>
      <c r="E306" s="3" t="s">
        <v>1008</v>
      </c>
      <c r="F306" s="3">
        <v>143</v>
      </c>
      <c r="G306" s="3">
        <v>147</v>
      </c>
      <c r="H306" s="8">
        <v>3000</v>
      </c>
      <c r="I306" s="18"/>
    </row>
    <row r="307" spans="2:9" x14ac:dyDescent="0.3">
      <c r="B307" s="7">
        <v>305</v>
      </c>
      <c r="C307" s="3" t="s">
        <v>311</v>
      </c>
      <c r="D307" s="2" t="s">
        <v>1043</v>
      </c>
      <c r="E307" s="3" t="s">
        <v>1010</v>
      </c>
      <c r="F307" s="3">
        <v>48</v>
      </c>
      <c r="G307" s="3">
        <v>76</v>
      </c>
      <c r="H307" s="8">
        <v>50</v>
      </c>
      <c r="I307" s="18"/>
    </row>
    <row r="308" spans="2:9" x14ac:dyDescent="0.3">
      <c r="B308" s="7">
        <v>306</v>
      </c>
      <c r="C308" s="3" t="s">
        <v>312</v>
      </c>
      <c r="D308" s="2" t="s">
        <v>1029</v>
      </c>
      <c r="E308" s="3" t="s">
        <v>1008</v>
      </c>
      <c r="F308" s="3">
        <v>174</v>
      </c>
      <c r="G308" s="3">
        <v>41</v>
      </c>
      <c r="H308" s="8">
        <v>3000</v>
      </c>
      <c r="I308" s="18"/>
    </row>
    <row r="309" spans="2:9" x14ac:dyDescent="0.3">
      <c r="B309" s="7">
        <v>307</v>
      </c>
      <c r="C309" s="3" t="s">
        <v>313</v>
      </c>
      <c r="D309" s="2" t="s">
        <v>1054</v>
      </c>
      <c r="E309" s="3" t="s">
        <v>1010</v>
      </c>
      <c r="F309" s="3">
        <v>101</v>
      </c>
      <c r="G309" s="3">
        <v>37</v>
      </c>
      <c r="H309" s="8">
        <v>30</v>
      </c>
      <c r="I309" s="18"/>
    </row>
    <row r="310" spans="2:9" x14ac:dyDescent="0.3">
      <c r="B310" s="7">
        <v>308</v>
      </c>
      <c r="C310" s="3" t="s">
        <v>314</v>
      </c>
      <c r="D310" s="2" t="s">
        <v>1084</v>
      </c>
      <c r="E310" s="3" t="s">
        <v>1011</v>
      </c>
      <c r="F310" s="3">
        <v>108</v>
      </c>
      <c r="G310" s="3">
        <v>66</v>
      </c>
      <c r="H310" s="8">
        <v>2000</v>
      </c>
      <c r="I310" s="18"/>
    </row>
    <row r="311" spans="2:9" x14ac:dyDescent="0.3">
      <c r="B311" s="7">
        <v>309</v>
      </c>
      <c r="C311" s="3" t="s">
        <v>315</v>
      </c>
      <c r="D311" s="2" t="s">
        <v>1087</v>
      </c>
      <c r="E311" s="3" t="s">
        <v>1011</v>
      </c>
      <c r="F311" s="3">
        <v>98</v>
      </c>
      <c r="G311" s="3">
        <v>89</v>
      </c>
      <c r="H311" s="8">
        <v>5000</v>
      </c>
      <c r="I311" s="18"/>
    </row>
    <row r="312" spans="2:9" x14ac:dyDescent="0.3">
      <c r="B312" s="7">
        <v>310</v>
      </c>
      <c r="C312" s="3" t="s">
        <v>316</v>
      </c>
      <c r="D312" s="2" t="s">
        <v>1029</v>
      </c>
      <c r="E312" s="3" t="s">
        <v>1008</v>
      </c>
      <c r="F312" s="3">
        <v>42</v>
      </c>
      <c r="G312" s="3">
        <v>166</v>
      </c>
      <c r="H312" s="8">
        <v>3000</v>
      </c>
      <c r="I312" s="18"/>
    </row>
    <row r="313" spans="2:9" x14ac:dyDescent="0.3">
      <c r="B313" s="7">
        <v>311</v>
      </c>
      <c r="C313" s="3" t="s">
        <v>317</v>
      </c>
      <c r="D313" s="2" t="s">
        <v>1032</v>
      </c>
      <c r="E313" s="3" t="s">
        <v>1008</v>
      </c>
      <c r="F313" s="3">
        <v>183</v>
      </c>
      <c r="G313" s="3">
        <v>48</v>
      </c>
      <c r="H313" s="8">
        <v>2000</v>
      </c>
      <c r="I313" s="18"/>
    </row>
    <row r="314" spans="2:9" x14ac:dyDescent="0.3">
      <c r="B314" s="7">
        <v>312</v>
      </c>
      <c r="C314" s="3" t="s">
        <v>318</v>
      </c>
      <c r="D314" s="2" t="s">
        <v>1053</v>
      </c>
      <c r="E314" s="3" t="s">
        <v>1010</v>
      </c>
      <c r="F314" s="3">
        <v>75</v>
      </c>
      <c r="G314" s="3">
        <v>145</v>
      </c>
      <c r="H314" s="8">
        <v>10</v>
      </c>
      <c r="I314" s="18"/>
    </row>
    <row r="315" spans="2:9" x14ac:dyDescent="0.3">
      <c r="B315" s="7">
        <v>313</v>
      </c>
      <c r="C315" s="3" t="s">
        <v>319</v>
      </c>
      <c r="D315" s="2" t="s">
        <v>1073</v>
      </c>
      <c r="E315" s="3" t="s">
        <v>1009</v>
      </c>
      <c r="F315" s="3">
        <v>124</v>
      </c>
      <c r="G315" s="3">
        <v>179</v>
      </c>
      <c r="H315" s="8">
        <v>100</v>
      </c>
      <c r="I315" s="18"/>
    </row>
    <row r="316" spans="2:9" x14ac:dyDescent="0.3">
      <c r="B316" s="7">
        <v>314</v>
      </c>
      <c r="C316" s="3" t="s">
        <v>320</v>
      </c>
      <c r="D316" s="2" t="s">
        <v>1050</v>
      </c>
      <c r="E316" s="3" t="s">
        <v>1010</v>
      </c>
      <c r="F316" s="3">
        <v>68</v>
      </c>
      <c r="G316" s="3">
        <v>144</v>
      </c>
      <c r="H316" s="8">
        <v>30</v>
      </c>
      <c r="I316" s="18"/>
    </row>
    <row r="317" spans="2:9" x14ac:dyDescent="0.3">
      <c r="B317" s="7">
        <v>315</v>
      </c>
      <c r="C317" s="3" t="s">
        <v>321</v>
      </c>
      <c r="D317" s="2" t="s">
        <v>1055</v>
      </c>
      <c r="E317" s="3" t="s">
        <v>1010</v>
      </c>
      <c r="F317" s="3">
        <v>88</v>
      </c>
      <c r="G317" s="3">
        <v>112</v>
      </c>
      <c r="H317" s="8">
        <v>50</v>
      </c>
      <c r="I317" s="18"/>
    </row>
    <row r="318" spans="2:9" x14ac:dyDescent="0.3">
      <c r="B318" s="7">
        <v>316</v>
      </c>
      <c r="C318" s="3" t="s">
        <v>322</v>
      </c>
      <c r="D318" s="2" t="s">
        <v>1080</v>
      </c>
      <c r="E318" s="3" t="s">
        <v>1011</v>
      </c>
      <c r="F318" s="3">
        <v>133</v>
      </c>
      <c r="G318" s="3">
        <v>113</v>
      </c>
      <c r="H318" s="8">
        <v>2500</v>
      </c>
      <c r="I318" s="18"/>
    </row>
    <row r="319" spans="2:9" x14ac:dyDescent="0.3">
      <c r="B319" s="7">
        <v>317</v>
      </c>
      <c r="C319" s="3" t="s">
        <v>323</v>
      </c>
      <c r="D319" s="2" t="s">
        <v>1057</v>
      </c>
      <c r="E319" s="3" t="s">
        <v>1012</v>
      </c>
      <c r="F319" s="3">
        <v>126</v>
      </c>
      <c r="G319" s="3">
        <v>129</v>
      </c>
      <c r="H319" s="8">
        <v>500</v>
      </c>
      <c r="I319" s="18"/>
    </row>
    <row r="320" spans="2:9" x14ac:dyDescent="0.3">
      <c r="B320" s="7">
        <v>318</v>
      </c>
      <c r="C320" s="3" t="s">
        <v>324</v>
      </c>
      <c r="D320" s="2" t="s">
        <v>1085</v>
      </c>
      <c r="E320" s="3" t="s">
        <v>1011</v>
      </c>
      <c r="F320" s="3">
        <v>157</v>
      </c>
      <c r="G320" s="3">
        <v>32</v>
      </c>
      <c r="H320" s="8">
        <v>1500</v>
      </c>
      <c r="I320" s="18"/>
    </row>
    <row r="321" spans="2:9" x14ac:dyDescent="0.3">
      <c r="B321" s="7">
        <v>319</v>
      </c>
      <c r="C321" s="3" t="s">
        <v>325</v>
      </c>
      <c r="D321" s="2" t="s">
        <v>1034</v>
      </c>
      <c r="E321" s="3" t="s">
        <v>1008</v>
      </c>
      <c r="F321" s="3">
        <v>43</v>
      </c>
      <c r="G321" s="3">
        <v>116</v>
      </c>
      <c r="H321" s="8">
        <v>50000</v>
      </c>
      <c r="I321" s="18"/>
    </row>
    <row r="322" spans="2:9" x14ac:dyDescent="0.3">
      <c r="B322" s="7">
        <v>320</v>
      </c>
      <c r="C322" s="3" t="s">
        <v>326</v>
      </c>
      <c r="D322" s="2" t="s">
        <v>1080</v>
      </c>
      <c r="E322" s="3" t="s">
        <v>1011</v>
      </c>
      <c r="F322" s="3">
        <v>189</v>
      </c>
      <c r="G322" s="3">
        <v>87</v>
      </c>
      <c r="H322" s="8">
        <v>2500</v>
      </c>
      <c r="I322" s="18"/>
    </row>
    <row r="323" spans="2:9" x14ac:dyDescent="0.3">
      <c r="B323" s="7">
        <v>321</v>
      </c>
      <c r="C323" s="3" t="s">
        <v>327</v>
      </c>
      <c r="D323" s="2" t="s">
        <v>1083</v>
      </c>
      <c r="E323" s="3" t="s">
        <v>1011</v>
      </c>
      <c r="F323" s="3">
        <v>47</v>
      </c>
      <c r="G323" s="3">
        <v>56</v>
      </c>
      <c r="H323" s="8">
        <v>3000</v>
      </c>
      <c r="I323" s="18"/>
    </row>
    <row r="324" spans="2:9" x14ac:dyDescent="0.3">
      <c r="B324" s="7">
        <v>322</v>
      </c>
      <c r="C324" s="3" t="s">
        <v>328</v>
      </c>
      <c r="D324" s="2" t="s">
        <v>1054</v>
      </c>
      <c r="E324" s="3" t="s">
        <v>1010</v>
      </c>
      <c r="F324" s="3">
        <v>167</v>
      </c>
      <c r="G324" s="3">
        <v>68</v>
      </c>
      <c r="H324" s="8">
        <v>30</v>
      </c>
      <c r="I324" s="18"/>
    </row>
    <row r="325" spans="2:9" x14ac:dyDescent="0.3">
      <c r="B325" s="7">
        <v>323</v>
      </c>
      <c r="C325" s="3" t="s">
        <v>329</v>
      </c>
      <c r="D325" s="2" t="s">
        <v>1038</v>
      </c>
      <c r="E325" s="3" t="s">
        <v>1007</v>
      </c>
      <c r="F325" s="3">
        <v>78</v>
      </c>
      <c r="G325" s="3">
        <v>44</v>
      </c>
      <c r="H325" s="8">
        <v>5000</v>
      </c>
      <c r="I325" s="18"/>
    </row>
    <row r="326" spans="2:9" x14ac:dyDescent="0.3">
      <c r="B326" s="7">
        <v>324</v>
      </c>
      <c r="C326" s="3" t="s">
        <v>330</v>
      </c>
      <c r="D326" s="2" t="s">
        <v>1043</v>
      </c>
      <c r="E326" s="3" t="s">
        <v>1010</v>
      </c>
      <c r="F326" s="3">
        <v>37</v>
      </c>
      <c r="G326" s="3">
        <v>38</v>
      </c>
      <c r="H326" s="8">
        <v>50</v>
      </c>
      <c r="I326" s="18"/>
    </row>
    <row r="327" spans="2:9" x14ac:dyDescent="0.3">
      <c r="B327" s="7">
        <v>325</v>
      </c>
      <c r="C327" s="3" t="s">
        <v>331</v>
      </c>
      <c r="D327" s="2" t="s">
        <v>1027</v>
      </c>
      <c r="E327" s="3" t="s">
        <v>1008</v>
      </c>
      <c r="F327" s="3">
        <v>123</v>
      </c>
      <c r="G327" s="3">
        <v>66</v>
      </c>
      <c r="H327" s="8">
        <v>30000</v>
      </c>
      <c r="I327" s="18"/>
    </row>
    <row r="328" spans="2:9" x14ac:dyDescent="0.3">
      <c r="B328" s="7">
        <v>326</v>
      </c>
      <c r="C328" s="3" t="s">
        <v>332</v>
      </c>
      <c r="D328" s="2" t="s">
        <v>1080</v>
      </c>
      <c r="E328" s="3" t="s">
        <v>1011</v>
      </c>
      <c r="F328" s="3">
        <v>46</v>
      </c>
      <c r="G328" s="3">
        <v>135</v>
      </c>
      <c r="H328" s="8">
        <v>2500</v>
      </c>
      <c r="I328" s="18"/>
    </row>
    <row r="329" spans="2:9" x14ac:dyDescent="0.3">
      <c r="B329" s="7">
        <v>327</v>
      </c>
      <c r="C329" s="3" t="s">
        <v>333</v>
      </c>
      <c r="D329" s="2" t="s">
        <v>1037</v>
      </c>
      <c r="E329" s="3" t="s">
        <v>1007</v>
      </c>
      <c r="F329" s="3">
        <v>169</v>
      </c>
      <c r="G329" s="3">
        <v>119</v>
      </c>
      <c r="H329" s="8">
        <v>10000</v>
      </c>
      <c r="I329" s="18"/>
    </row>
    <row r="330" spans="2:9" x14ac:dyDescent="0.3">
      <c r="B330" s="7">
        <v>328</v>
      </c>
      <c r="C330" s="3" t="s">
        <v>334</v>
      </c>
      <c r="D330" s="2" t="s">
        <v>1086</v>
      </c>
      <c r="E330" s="3" t="s">
        <v>1011</v>
      </c>
      <c r="F330" s="3">
        <v>123</v>
      </c>
      <c r="G330" s="3">
        <v>46</v>
      </c>
      <c r="H330" s="8">
        <v>4500</v>
      </c>
      <c r="I330" s="18"/>
    </row>
    <row r="331" spans="2:9" x14ac:dyDescent="0.3">
      <c r="B331" s="7">
        <v>329</v>
      </c>
      <c r="C331" s="3" t="s">
        <v>335</v>
      </c>
      <c r="D331" s="2" t="s">
        <v>1084</v>
      </c>
      <c r="E331" s="3" t="s">
        <v>1011</v>
      </c>
      <c r="F331" s="3">
        <v>75</v>
      </c>
      <c r="G331" s="3">
        <v>146</v>
      </c>
      <c r="H331" s="8">
        <v>2000</v>
      </c>
      <c r="I331" s="18"/>
    </row>
    <row r="332" spans="2:9" x14ac:dyDescent="0.3">
      <c r="B332" s="7">
        <v>330</v>
      </c>
      <c r="C332" s="3" t="s">
        <v>336</v>
      </c>
      <c r="D332" s="2" t="s">
        <v>1080</v>
      </c>
      <c r="E332" s="3" t="s">
        <v>1011</v>
      </c>
      <c r="F332" s="3">
        <v>96</v>
      </c>
      <c r="G332" s="3">
        <v>176</v>
      </c>
      <c r="H332" s="8">
        <v>2500</v>
      </c>
      <c r="I332" s="18"/>
    </row>
    <row r="333" spans="2:9" x14ac:dyDescent="0.3">
      <c r="B333" s="7">
        <v>331</v>
      </c>
      <c r="C333" s="3" t="s">
        <v>337</v>
      </c>
      <c r="D333" s="2" t="s">
        <v>1068</v>
      </c>
      <c r="E333" s="3" t="s">
        <v>1009</v>
      </c>
      <c r="F333" s="3">
        <v>149</v>
      </c>
      <c r="G333" s="3">
        <v>30</v>
      </c>
      <c r="H333" s="8">
        <v>100</v>
      </c>
      <c r="I333" s="18"/>
    </row>
    <row r="334" spans="2:9" x14ac:dyDescent="0.3">
      <c r="B334" s="7">
        <v>332</v>
      </c>
      <c r="C334" s="3" t="s">
        <v>338</v>
      </c>
      <c r="D334" s="2" t="s">
        <v>1023</v>
      </c>
      <c r="E334" s="3" t="s">
        <v>1008</v>
      </c>
      <c r="F334" s="3">
        <v>84</v>
      </c>
      <c r="G334" s="3">
        <v>67</v>
      </c>
      <c r="H334" s="8">
        <v>20000</v>
      </c>
      <c r="I334" s="18"/>
    </row>
    <row r="335" spans="2:9" x14ac:dyDescent="0.3">
      <c r="B335" s="7">
        <v>333</v>
      </c>
      <c r="C335" s="3" t="s">
        <v>339</v>
      </c>
      <c r="D335" s="2" t="s">
        <v>1047</v>
      </c>
      <c r="E335" s="3" t="s">
        <v>1010</v>
      </c>
      <c r="F335" s="3">
        <v>195</v>
      </c>
      <c r="G335" s="3">
        <v>102</v>
      </c>
      <c r="H335" s="8">
        <v>500</v>
      </c>
      <c r="I335" s="18"/>
    </row>
    <row r="336" spans="2:9" x14ac:dyDescent="0.3">
      <c r="B336" s="7">
        <v>334</v>
      </c>
      <c r="C336" s="3" t="s">
        <v>340</v>
      </c>
      <c r="D336" s="2" t="s">
        <v>1063</v>
      </c>
      <c r="E336" s="3" t="s">
        <v>1009</v>
      </c>
      <c r="F336" s="3">
        <v>59</v>
      </c>
      <c r="G336" s="3">
        <v>39</v>
      </c>
      <c r="H336" s="8">
        <v>4500</v>
      </c>
      <c r="I336" s="18"/>
    </row>
    <row r="337" spans="2:9" x14ac:dyDescent="0.3">
      <c r="B337" s="7">
        <v>335</v>
      </c>
      <c r="C337" s="3" t="s">
        <v>341</v>
      </c>
      <c r="D337" s="2" t="s">
        <v>1081</v>
      </c>
      <c r="E337" s="3" t="s">
        <v>1011</v>
      </c>
      <c r="F337" s="3">
        <v>194</v>
      </c>
      <c r="G337" s="3">
        <v>53</v>
      </c>
      <c r="H337" s="8">
        <v>1000</v>
      </c>
      <c r="I337" s="18"/>
    </row>
    <row r="338" spans="2:9" x14ac:dyDescent="0.3">
      <c r="B338" s="7">
        <v>336</v>
      </c>
      <c r="C338" s="3" t="s">
        <v>342</v>
      </c>
      <c r="D338" s="2" t="s">
        <v>1037</v>
      </c>
      <c r="E338" s="3" t="s">
        <v>1007</v>
      </c>
      <c r="F338" s="3">
        <v>136</v>
      </c>
      <c r="G338" s="3">
        <v>189</v>
      </c>
      <c r="H338" s="8">
        <v>10000</v>
      </c>
      <c r="I338" s="18"/>
    </row>
    <row r="339" spans="2:9" x14ac:dyDescent="0.3">
      <c r="B339" s="7">
        <v>337</v>
      </c>
      <c r="C339" s="3" t="s">
        <v>343</v>
      </c>
      <c r="D339" s="2" t="s">
        <v>1018</v>
      </c>
      <c r="E339" s="3" t="s">
        <v>1012</v>
      </c>
      <c r="F339" s="3">
        <v>200</v>
      </c>
      <c r="G339" s="3">
        <v>123</v>
      </c>
      <c r="H339" s="8">
        <v>3000</v>
      </c>
      <c r="I339" s="18"/>
    </row>
    <row r="340" spans="2:9" x14ac:dyDescent="0.3">
      <c r="B340" s="7">
        <v>338</v>
      </c>
      <c r="C340" s="3" t="s">
        <v>344</v>
      </c>
      <c r="D340" s="2" t="s">
        <v>1038</v>
      </c>
      <c r="E340" s="3" t="s">
        <v>1007</v>
      </c>
      <c r="F340" s="3">
        <v>51</v>
      </c>
      <c r="G340" s="3">
        <v>51</v>
      </c>
      <c r="H340" s="8">
        <v>5000</v>
      </c>
      <c r="I340" s="18"/>
    </row>
    <row r="341" spans="2:9" x14ac:dyDescent="0.3">
      <c r="B341" s="7">
        <v>339</v>
      </c>
      <c r="C341" s="3" t="s">
        <v>345</v>
      </c>
      <c r="D341" s="2" t="s">
        <v>1082</v>
      </c>
      <c r="E341" s="3" t="s">
        <v>1011</v>
      </c>
      <c r="F341" s="3">
        <v>165</v>
      </c>
      <c r="G341" s="3">
        <v>165</v>
      </c>
      <c r="H341" s="8">
        <v>2000</v>
      </c>
      <c r="I341" s="18"/>
    </row>
    <row r="342" spans="2:9" x14ac:dyDescent="0.3">
      <c r="B342" s="7">
        <v>340</v>
      </c>
      <c r="C342" s="3" t="s">
        <v>346</v>
      </c>
      <c r="D342" s="2" t="s">
        <v>1066</v>
      </c>
      <c r="E342" s="3" t="s">
        <v>1009</v>
      </c>
      <c r="F342" s="3">
        <v>102</v>
      </c>
      <c r="G342" s="3">
        <v>102</v>
      </c>
      <c r="H342" s="8">
        <v>800</v>
      </c>
      <c r="I342" s="18"/>
    </row>
    <row r="343" spans="2:9" x14ac:dyDescent="0.3">
      <c r="B343" s="7">
        <v>341</v>
      </c>
      <c r="C343" s="3" t="s">
        <v>347</v>
      </c>
      <c r="D343" s="2" t="s">
        <v>1035</v>
      </c>
      <c r="E343" s="3" t="s">
        <v>1007</v>
      </c>
      <c r="F343" s="3">
        <v>67</v>
      </c>
      <c r="G343" s="3">
        <v>67</v>
      </c>
      <c r="H343" s="8">
        <v>15000</v>
      </c>
      <c r="I343" s="18"/>
    </row>
    <row r="344" spans="2:9" x14ac:dyDescent="0.3">
      <c r="B344" s="7">
        <v>342</v>
      </c>
      <c r="C344" s="3" t="s">
        <v>348</v>
      </c>
      <c r="D344" s="2" t="s">
        <v>1078</v>
      </c>
      <c r="E344" s="3" t="s">
        <v>1011</v>
      </c>
      <c r="F344" s="3">
        <v>122</v>
      </c>
      <c r="G344" s="3">
        <v>122</v>
      </c>
      <c r="H344" s="8">
        <v>200</v>
      </c>
      <c r="I344" s="18"/>
    </row>
    <row r="345" spans="2:9" x14ac:dyDescent="0.3">
      <c r="B345" s="7">
        <v>343</v>
      </c>
      <c r="C345" s="3" t="s">
        <v>349</v>
      </c>
      <c r="D345" s="2" t="s">
        <v>1021</v>
      </c>
      <c r="E345" s="3" t="s">
        <v>1008</v>
      </c>
      <c r="F345" s="3">
        <v>119</v>
      </c>
      <c r="G345" s="3">
        <v>119</v>
      </c>
      <c r="H345" s="8">
        <v>20000</v>
      </c>
      <c r="I345" s="18"/>
    </row>
    <row r="346" spans="2:9" x14ac:dyDescent="0.3">
      <c r="B346" s="7">
        <v>344</v>
      </c>
      <c r="C346" s="3" t="s">
        <v>350</v>
      </c>
      <c r="D346" s="2" t="s">
        <v>1024</v>
      </c>
      <c r="E346" s="3" t="s">
        <v>1008</v>
      </c>
      <c r="F346" s="3">
        <v>190</v>
      </c>
      <c r="G346" s="3">
        <v>190</v>
      </c>
      <c r="H346" s="8">
        <v>150000</v>
      </c>
      <c r="I346" s="18"/>
    </row>
    <row r="347" spans="2:9" x14ac:dyDescent="0.3">
      <c r="B347" s="7">
        <v>345</v>
      </c>
      <c r="C347" s="3" t="s">
        <v>351</v>
      </c>
      <c r="D347" s="2" t="s">
        <v>1084</v>
      </c>
      <c r="E347" s="3" t="s">
        <v>1011</v>
      </c>
      <c r="F347" s="3">
        <v>130</v>
      </c>
      <c r="G347" s="3">
        <v>130</v>
      </c>
      <c r="H347" s="8">
        <v>2000</v>
      </c>
      <c r="I347" s="18"/>
    </row>
    <row r="348" spans="2:9" x14ac:dyDescent="0.3">
      <c r="B348" s="7">
        <v>346</v>
      </c>
      <c r="C348" s="3" t="s">
        <v>352</v>
      </c>
      <c r="D348" s="2" t="s">
        <v>1060</v>
      </c>
      <c r="E348" s="3" t="s">
        <v>1012</v>
      </c>
      <c r="F348" s="3">
        <v>48</v>
      </c>
      <c r="G348" s="3">
        <v>48</v>
      </c>
      <c r="H348" s="8">
        <v>1500</v>
      </c>
      <c r="I348" s="18"/>
    </row>
    <row r="349" spans="2:9" x14ac:dyDescent="0.3">
      <c r="B349" s="7">
        <v>347</v>
      </c>
      <c r="C349" s="3" t="s">
        <v>353</v>
      </c>
      <c r="D349" s="2" t="s">
        <v>1058</v>
      </c>
      <c r="E349" s="3" t="s">
        <v>1012</v>
      </c>
      <c r="F349" s="3">
        <v>199</v>
      </c>
      <c r="G349" s="3">
        <v>199</v>
      </c>
      <c r="H349" s="8">
        <v>500</v>
      </c>
      <c r="I349" s="18"/>
    </row>
    <row r="350" spans="2:9" x14ac:dyDescent="0.3">
      <c r="B350" s="7">
        <v>348</v>
      </c>
      <c r="C350" s="3" t="s">
        <v>354</v>
      </c>
      <c r="D350" s="2" t="s">
        <v>1072</v>
      </c>
      <c r="E350" s="3" t="s">
        <v>1009</v>
      </c>
      <c r="F350" s="3">
        <v>146</v>
      </c>
      <c r="G350" s="3">
        <v>146</v>
      </c>
      <c r="H350" s="8">
        <v>50</v>
      </c>
      <c r="I350" s="18"/>
    </row>
    <row r="351" spans="2:9" x14ac:dyDescent="0.3">
      <c r="B351" s="7">
        <v>349</v>
      </c>
      <c r="C351" s="3" t="s">
        <v>355</v>
      </c>
      <c r="D351" s="2" t="s">
        <v>1082</v>
      </c>
      <c r="E351" s="3" t="s">
        <v>1011</v>
      </c>
      <c r="F351" s="3">
        <v>179</v>
      </c>
      <c r="G351" s="3">
        <v>179</v>
      </c>
      <c r="H351" s="8">
        <v>2000</v>
      </c>
      <c r="I351" s="18"/>
    </row>
    <row r="352" spans="2:9" x14ac:dyDescent="0.3">
      <c r="B352" s="7">
        <v>350</v>
      </c>
      <c r="C352" s="3" t="s">
        <v>356</v>
      </c>
      <c r="D352" s="2" t="s">
        <v>1057</v>
      </c>
      <c r="E352" s="3" t="s">
        <v>1012</v>
      </c>
      <c r="F352" s="3">
        <v>89</v>
      </c>
      <c r="G352" s="3">
        <v>89</v>
      </c>
      <c r="H352" s="8">
        <v>500</v>
      </c>
      <c r="I352" s="18"/>
    </row>
    <row r="353" spans="2:9" x14ac:dyDescent="0.3">
      <c r="B353" s="7">
        <v>351</v>
      </c>
      <c r="C353" s="3" t="s">
        <v>357</v>
      </c>
      <c r="D353" s="2" t="s">
        <v>1030</v>
      </c>
      <c r="E353" s="3" t="s">
        <v>1008</v>
      </c>
      <c r="F353" s="3">
        <v>120</v>
      </c>
      <c r="G353" s="3">
        <v>120</v>
      </c>
      <c r="H353" s="8">
        <v>70000</v>
      </c>
      <c r="I353" s="18"/>
    </row>
    <row r="354" spans="2:9" x14ac:dyDescent="0.3">
      <c r="B354" s="7">
        <v>352</v>
      </c>
      <c r="C354" s="3" t="s">
        <v>358</v>
      </c>
      <c r="D354" s="2" t="s">
        <v>1053</v>
      </c>
      <c r="E354" s="3" t="s">
        <v>1010</v>
      </c>
      <c r="F354" s="3">
        <v>101</v>
      </c>
      <c r="G354" s="3">
        <v>101</v>
      </c>
      <c r="H354" s="8">
        <v>10</v>
      </c>
      <c r="I354" s="18"/>
    </row>
    <row r="355" spans="2:9" x14ac:dyDescent="0.3">
      <c r="B355" s="7">
        <v>353</v>
      </c>
      <c r="C355" s="3" t="s">
        <v>359</v>
      </c>
      <c r="D355" s="2" t="s">
        <v>1045</v>
      </c>
      <c r="E355" s="3" t="s">
        <v>1010</v>
      </c>
      <c r="F355" s="3">
        <v>87</v>
      </c>
      <c r="G355" s="3">
        <v>87</v>
      </c>
      <c r="H355" s="8">
        <v>100</v>
      </c>
      <c r="I355" s="18"/>
    </row>
    <row r="356" spans="2:9" x14ac:dyDescent="0.3">
      <c r="B356" s="7">
        <v>354</v>
      </c>
      <c r="C356" s="3" t="s">
        <v>360</v>
      </c>
      <c r="D356" s="2" t="s">
        <v>1051</v>
      </c>
      <c r="E356" s="3" t="s">
        <v>1010</v>
      </c>
      <c r="F356" s="3">
        <v>111</v>
      </c>
      <c r="G356" s="3">
        <v>111</v>
      </c>
      <c r="H356" s="8">
        <v>50</v>
      </c>
      <c r="I356" s="18"/>
    </row>
    <row r="357" spans="2:9" x14ac:dyDescent="0.3">
      <c r="B357" s="7">
        <v>355</v>
      </c>
      <c r="C357" s="3" t="s">
        <v>361</v>
      </c>
      <c r="D357" s="2" t="s">
        <v>1043</v>
      </c>
      <c r="E357" s="3" t="s">
        <v>1010</v>
      </c>
      <c r="F357" s="3">
        <v>36</v>
      </c>
      <c r="G357" s="3">
        <v>113</v>
      </c>
      <c r="H357" s="8">
        <v>50</v>
      </c>
      <c r="I357" s="18"/>
    </row>
    <row r="358" spans="2:9" x14ac:dyDescent="0.3">
      <c r="B358" s="7">
        <v>356</v>
      </c>
      <c r="C358" s="3" t="s">
        <v>362</v>
      </c>
      <c r="D358" s="2" t="s">
        <v>1059</v>
      </c>
      <c r="E358" s="3" t="s">
        <v>1012</v>
      </c>
      <c r="F358" s="3">
        <v>152</v>
      </c>
      <c r="G358" s="3">
        <v>134</v>
      </c>
      <c r="H358" s="8">
        <v>200</v>
      </c>
      <c r="I358" s="18"/>
    </row>
    <row r="359" spans="2:9" x14ac:dyDescent="0.3">
      <c r="B359" s="7">
        <v>357</v>
      </c>
      <c r="C359" s="3" t="s">
        <v>363</v>
      </c>
      <c r="D359" s="2" t="s">
        <v>1046</v>
      </c>
      <c r="E359" s="3" t="s">
        <v>1010</v>
      </c>
      <c r="F359" s="3">
        <v>68</v>
      </c>
      <c r="G359" s="3">
        <v>168</v>
      </c>
      <c r="H359" s="8">
        <v>100</v>
      </c>
      <c r="I359" s="18"/>
    </row>
    <row r="360" spans="2:9" x14ac:dyDescent="0.3">
      <c r="B360" s="7">
        <v>358</v>
      </c>
      <c r="C360" s="3" t="s">
        <v>364</v>
      </c>
      <c r="D360" s="2" t="s">
        <v>1044</v>
      </c>
      <c r="E360" s="3" t="s">
        <v>1010</v>
      </c>
      <c r="F360" s="3">
        <v>127</v>
      </c>
      <c r="G360" s="3">
        <v>160</v>
      </c>
      <c r="H360" s="8">
        <v>100</v>
      </c>
      <c r="I360" s="18"/>
    </row>
    <row r="361" spans="2:9" x14ac:dyDescent="0.3">
      <c r="B361" s="7">
        <v>359</v>
      </c>
      <c r="C361" s="3" t="s">
        <v>365</v>
      </c>
      <c r="D361" s="2" t="s">
        <v>1047</v>
      </c>
      <c r="E361" s="3" t="s">
        <v>1010</v>
      </c>
      <c r="F361" s="3">
        <v>109</v>
      </c>
      <c r="G361" s="3">
        <v>109</v>
      </c>
      <c r="H361" s="8">
        <v>500</v>
      </c>
      <c r="I361" s="18"/>
    </row>
    <row r="362" spans="2:9" x14ac:dyDescent="0.3">
      <c r="B362" s="7">
        <v>360</v>
      </c>
      <c r="C362" s="3" t="s">
        <v>366</v>
      </c>
      <c r="D362" s="2" t="s">
        <v>1035</v>
      </c>
      <c r="E362" s="3" t="s">
        <v>1007</v>
      </c>
      <c r="F362" s="3">
        <v>157</v>
      </c>
      <c r="G362" s="3">
        <v>81</v>
      </c>
      <c r="H362" s="8">
        <v>15000</v>
      </c>
      <c r="I362" s="18"/>
    </row>
    <row r="363" spans="2:9" x14ac:dyDescent="0.3">
      <c r="B363" s="7">
        <v>361</v>
      </c>
      <c r="C363" s="3" t="s">
        <v>367</v>
      </c>
      <c r="D363" s="2" t="s">
        <v>1074</v>
      </c>
      <c r="E363" s="3" t="s">
        <v>1009</v>
      </c>
      <c r="F363" s="3">
        <v>77</v>
      </c>
      <c r="G363" s="3">
        <v>100</v>
      </c>
      <c r="H363" s="8">
        <v>500</v>
      </c>
      <c r="I363" s="18"/>
    </row>
    <row r="364" spans="2:9" x14ac:dyDescent="0.3">
      <c r="B364" s="7">
        <v>362</v>
      </c>
      <c r="C364" s="3" t="s">
        <v>368</v>
      </c>
      <c r="D364" s="2" t="s">
        <v>1079</v>
      </c>
      <c r="E364" s="3" t="s">
        <v>1011</v>
      </c>
      <c r="F364" s="3">
        <v>112</v>
      </c>
      <c r="G364" s="3">
        <v>74</v>
      </c>
      <c r="H364" s="8">
        <v>5000</v>
      </c>
      <c r="I364" s="18"/>
    </row>
    <row r="365" spans="2:9" x14ac:dyDescent="0.3">
      <c r="B365" s="7">
        <v>363</v>
      </c>
      <c r="C365" s="3" t="s">
        <v>369</v>
      </c>
      <c r="D365" s="2" t="s">
        <v>1029</v>
      </c>
      <c r="E365" s="3" t="s">
        <v>1008</v>
      </c>
      <c r="F365" s="3">
        <v>130</v>
      </c>
      <c r="G365" s="3">
        <v>194</v>
      </c>
      <c r="H365" s="8">
        <v>3000</v>
      </c>
      <c r="I365" s="18"/>
    </row>
    <row r="366" spans="2:9" x14ac:dyDescent="0.3">
      <c r="B366" s="7">
        <v>364</v>
      </c>
      <c r="C366" s="3" t="s">
        <v>370</v>
      </c>
      <c r="D366" s="2" t="s">
        <v>1040</v>
      </c>
      <c r="E366" s="3" t="s">
        <v>1007</v>
      </c>
      <c r="F366" s="3">
        <v>77</v>
      </c>
      <c r="G366" s="3">
        <v>194</v>
      </c>
      <c r="H366" s="8">
        <v>5000</v>
      </c>
      <c r="I366" s="18"/>
    </row>
    <row r="367" spans="2:9" x14ac:dyDescent="0.3">
      <c r="B367" s="7">
        <v>365</v>
      </c>
      <c r="C367" s="3" t="s">
        <v>371</v>
      </c>
      <c r="D367" s="2" t="s">
        <v>1046</v>
      </c>
      <c r="E367" s="3" t="s">
        <v>1010</v>
      </c>
      <c r="F367" s="3">
        <v>157</v>
      </c>
      <c r="G367" s="3">
        <v>181</v>
      </c>
      <c r="H367" s="8">
        <v>100</v>
      </c>
      <c r="I367" s="18"/>
    </row>
    <row r="368" spans="2:9" x14ac:dyDescent="0.3">
      <c r="B368" s="7">
        <v>366</v>
      </c>
      <c r="C368" s="3" t="s">
        <v>372</v>
      </c>
      <c r="D368" s="2" t="s">
        <v>1073</v>
      </c>
      <c r="E368" s="3" t="s">
        <v>1009</v>
      </c>
      <c r="F368" s="3">
        <v>96</v>
      </c>
      <c r="G368" s="3">
        <v>82</v>
      </c>
      <c r="H368" s="8">
        <v>100</v>
      </c>
      <c r="I368" s="18"/>
    </row>
    <row r="369" spans="2:9" x14ac:dyDescent="0.3">
      <c r="B369" s="7">
        <v>367</v>
      </c>
      <c r="C369" s="3" t="s">
        <v>373</v>
      </c>
      <c r="D369" s="2" t="s">
        <v>1079</v>
      </c>
      <c r="E369" s="3" t="s">
        <v>1011</v>
      </c>
      <c r="F369" s="3">
        <v>97</v>
      </c>
      <c r="G369" s="3">
        <v>45</v>
      </c>
      <c r="H369" s="8">
        <v>5000</v>
      </c>
      <c r="I369" s="18"/>
    </row>
    <row r="370" spans="2:9" x14ac:dyDescent="0.3">
      <c r="B370" s="7">
        <v>368</v>
      </c>
      <c r="C370" s="3" t="s">
        <v>374</v>
      </c>
      <c r="D370" s="2" t="s">
        <v>1045</v>
      </c>
      <c r="E370" s="3" t="s">
        <v>1010</v>
      </c>
      <c r="F370" s="3">
        <v>144</v>
      </c>
      <c r="G370" s="3">
        <v>194</v>
      </c>
      <c r="H370" s="8">
        <v>100</v>
      </c>
      <c r="I370" s="18"/>
    </row>
    <row r="371" spans="2:9" x14ac:dyDescent="0.3">
      <c r="B371" s="7">
        <v>369</v>
      </c>
      <c r="C371" s="3" t="s">
        <v>375</v>
      </c>
      <c r="D371" s="2" t="s">
        <v>1049</v>
      </c>
      <c r="E371" s="3" t="s">
        <v>1010</v>
      </c>
      <c r="F371" s="3">
        <v>153</v>
      </c>
      <c r="G371" s="3">
        <v>153</v>
      </c>
      <c r="H371" s="8">
        <v>20</v>
      </c>
      <c r="I371" s="18"/>
    </row>
    <row r="372" spans="2:9" x14ac:dyDescent="0.3">
      <c r="B372" s="7">
        <v>370</v>
      </c>
      <c r="C372" s="3" t="s">
        <v>376</v>
      </c>
      <c r="D372" s="2" t="s">
        <v>1051</v>
      </c>
      <c r="E372" s="3" t="s">
        <v>1010</v>
      </c>
      <c r="F372" s="3">
        <v>176</v>
      </c>
      <c r="G372" s="3">
        <v>176</v>
      </c>
      <c r="H372" s="8">
        <v>50</v>
      </c>
      <c r="I372" s="18"/>
    </row>
    <row r="373" spans="2:9" x14ac:dyDescent="0.3">
      <c r="B373" s="7">
        <v>371</v>
      </c>
      <c r="C373" s="3" t="s">
        <v>377</v>
      </c>
      <c r="D373" s="2" t="s">
        <v>1070</v>
      </c>
      <c r="E373" s="3" t="s">
        <v>1009</v>
      </c>
      <c r="F373" s="3">
        <v>139</v>
      </c>
      <c r="G373" s="3">
        <v>139</v>
      </c>
      <c r="H373" s="8">
        <v>1500</v>
      </c>
      <c r="I373" s="18"/>
    </row>
    <row r="374" spans="2:9" x14ac:dyDescent="0.3">
      <c r="B374" s="7">
        <v>372</v>
      </c>
      <c r="C374" s="3" t="s">
        <v>378</v>
      </c>
      <c r="D374" s="2" t="s">
        <v>1038</v>
      </c>
      <c r="E374" s="3" t="s">
        <v>1007</v>
      </c>
      <c r="F374" s="3">
        <v>77</v>
      </c>
      <c r="G374" s="3">
        <v>77</v>
      </c>
      <c r="H374" s="8">
        <v>5000</v>
      </c>
      <c r="I374" s="18"/>
    </row>
    <row r="375" spans="2:9" x14ac:dyDescent="0.3">
      <c r="B375" s="7">
        <v>373</v>
      </c>
      <c r="C375" s="3" t="s">
        <v>379</v>
      </c>
      <c r="D375" s="2" t="s">
        <v>1056</v>
      </c>
      <c r="E375" s="3" t="s">
        <v>1012</v>
      </c>
      <c r="F375" s="3">
        <v>57</v>
      </c>
      <c r="G375" s="3">
        <v>57</v>
      </c>
      <c r="H375" s="8">
        <v>100</v>
      </c>
      <c r="I375" s="18"/>
    </row>
    <row r="376" spans="2:9" x14ac:dyDescent="0.3">
      <c r="B376" s="7">
        <v>374</v>
      </c>
      <c r="C376" s="3" t="s">
        <v>380</v>
      </c>
      <c r="D376" s="2" t="s">
        <v>1061</v>
      </c>
      <c r="E376" s="3" t="s">
        <v>1012</v>
      </c>
      <c r="F376" s="3">
        <v>160</v>
      </c>
      <c r="G376" s="3">
        <v>160</v>
      </c>
      <c r="H376" s="8">
        <v>500</v>
      </c>
      <c r="I376" s="18"/>
    </row>
    <row r="377" spans="2:9" x14ac:dyDescent="0.3">
      <c r="B377" s="7">
        <v>375</v>
      </c>
      <c r="C377" s="3" t="s">
        <v>381</v>
      </c>
      <c r="D377" s="2" t="s">
        <v>1059</v>
      </c>
      <c r="E377" s="3" t="s">
        <v>1012</v>
      </c>
      <c r="F377" s="3">
        <v>169</v>
      </c>
      <c r="G377" s="3">
        <v>169</v>
      </c>
      <c r="H377" s="8">
        <v>200</v>
      </c>
      <c r="I377" s="18"/>
    </row>
    <row r="378" spans="2:9" x14ac:dyDescent="0.3">
      <c r="B378" s="7">
        <v>376</v>
      </c>
      <c r="C378" s="3" t="s">
        <v>382</v>
      </c>
      <c r="D378" s="2" t="s">
        <v>1059</v>
      </c>
      <c r="E378" s="3" t="s">
        <v>1012</v>
      </c>
      <c r="F378" s="3">
        <v>114</v>
      </c>
      <c r="G378" s="3">
        <v>114</v>
      </c>
      <c r="H378" s="8">
        <v>200</v>
      </c>
      <c r="I378" s="18"/>
    </row>
    <row r="379" spans="2:9" x14ac:dyDescent="0.3">
      <c r="B379" s="7">
        <v>377</v>
      </c>
      <c r="C379" s="3" t="s">
        <v>383</v>
      </c>
      <c r="D379" s="2" t="s">
        <v>1080</v>
      </c>
      <c r="E379" s="3" t="s">
        <v>1011</v>
      </c>
      <c r="F379" s="3">
        <v>183</v>
      </c>
      <c r="G379" s="3">
        <v>183</v>
      </c>
      <c r="H379" s="8">
        <v>2500</v>
      </c>
      <c r="I379" s="18"/>
    </row>
    <row r="380" spans="2:9" x14ac:dyDescent="0.3">
      <c r="B380" s="7">
        <v>378</v>
      </c>
      <c r="C380" s="3" t="s">
        <v>384</v>
      </c>
      <c r="D380" s="2" t="s">
        <v>1063</v>
      </c>
      <c r="E380" s="3" t="s">
        <v>1009</v>
      </c>
      <c r="F380" s="3">
        <v>189</v>
      </c>
      <c r="G380" s="3">
        <v>187</v>
      </c>
      <c r="H380" s="8">
        <v>4500</v>
      </c>
      <c r="I380" s="18"/>
    </row>
    <row r="381" spans="2:9" x14ac:dyDescent="0.3">
      <c r="B381" s="7">
        <v>379</v>
      </c>
      <c r="C381" s="3" t="s">
        <v>385</v>
      </c>
      <c r="D381" s="2" t="s">
        <v>1079</v>
      </c>
      <c r="E381" s="3" t="s">
        <v>1011</v>
      </c>
      <c r="F381" s="3">
        <v>62</v>
      </c>
      <c r="G381" s="3">
        <v>139</v>
      </c>
      <c r="H381" s="8">
        <v>5000</v>
      </c>
      <c r="I381" s="18"/>
    </row>
    <row r="382" spans="2:9" x14ac:dyDescent="0.3">
      <c r="B382" s="7">
        <v>380</v>
      </c>
      <c r="C382" s="3" t="s">
        <v>386</v>
      </c>
      <c r="D382" s="2" t="s">
        <v>1082</v>
      </c>
      <c r="E382" s="3" t="s">
        <v>1011</v>
      </c>
      <c r="F382" s="3">
        <v>71</v>
      </c>
      <c r="G382" s="3">
        <v>60</v>
      </c>
      <c r="H382" s="8">
        <v>2000</v>
      </c>
      <c r="I382" s="18"/>
    </row>
    <row r="383" spans="2:9" x14ac:dyDescent="0.3">
      <c r="B383" s="7">
        <v>381</v>
      </c>
      <c r="C383" s="3" t="s">
        <v>387</v>
      </c>
      <c r="D383" s="2" t="s">
        <v>1078</v>
      </c>
      <c r="E383" s="3" t="s">
        <v>1011</v>
      </c>
      <c r="F383" s="3">
        <v>148</v>
      </c>
      <c r="G383" s="3">
        <v>124</v>
      </c>
      <c r="H383" s="8">
        <v>200</v>
      </c>
      <c r="I383" s="18"/>
    </row>
    <row r="384" spans="2:9" x14ac:dyDescent="0.3">
      <c r="B384" s="7">
        <v>382</v>
      </c>
      <c r="C384" s="3" t="s">
        <v>388</v>
      </c>
      <c r="D384" s="2" t="s">
        <v>1029</v>
      </c>
      <c r="E384" s="3" t="s">
        <v>1008</v>
      </c>
      <c r="F384" s="3">
        <v>186</v>
      </c>
      <c r="G384" s="3">
        <v>118</v>
      </c>
      <c r="H384" s="8">
        <v>3000</v>
      </c>
      <c r="I384" s="18"/>
    </row>
    <row r="385" spans="2:9" x14ac:dyDescent="0.3">
      <c r="B385" s="7">
        <v>383</v>
      </c>
      <c r="C385" s="3" t="s">
        <v>389</v>
      </c>
      <c r="D385" s="2" t="s">
        <v>1035</v>
      </c>
      <c r="E385" s="3" t="s">
        <v>1007</v>
      </c>
      <c r="F385" s="3">
        <v>94</v>
      </c>
      <c r="G385" s="3">
        <v>150</v>
      </c>
      <c r="H385" s="8">
        <v>15000</v>
      </c>
      <c r="I385" s="18"/>
    </row>
    <row r="386" spans="2:9" x14ac:dyDescent="0.3">
      <c r="B386" s="7">
        <v>384</v>
      </c>
      <c r="C386" s="3" t="s">
        <v>390</v>
      </c>
      <c r="D386" s="2" t="s">
        <v>1045</v>
      </c>
      <c r="E386" s="3" t="s">
        <v>1010</v>
      </c>
      <c r="F386" s="3">
        <v>158</v>
      </c>
      <c r="G386" s="3">
        <v>53</v>
      </c>
      <c r="H386" s="8">
        <v>100</v>
      </c>
      <c r="I386" s="18"/>
    </row>
    <row r="387" spans="2:9" x14ac:dyDescent="0.3">
      <c r="B387" s="7">
        <v>385</v>
      </c>
      <c r="C387" s="3" t="s">
        <v>391</v>
      </c>
      <c r="D387" s="2" t="s">
        <v>1057</v>
      </c>
      <c r="E387" s="3" t="s">
        <v>1012</v>
      </c>
      <c r="F387" s="3">
        <v>160</v>
      </c>
      <c r="G387" s="3">
        <v>89</v>
      </c>
      <c r="H387" s="8">
        <v>500</v>
      </c>
      <c r="I387" s="18"/>
    </row>
    <row r="388" spans="2:9" x14ac:dyDescent="0.3">
      <c r="B388" s="7">
        <v>386</v>
      </c>
      <c r="C388" s="3" t="s">
        <v>392</v>
      </c>
      <c r="D388" s="2" t="s">
        <v>1086</v>
      </c>
      <c r="E388" s="3" t="s">
        <v>1011</v>
      </c>
      <c r="F388" s="3">
        <v>43</v>
      </c>
      <c r="G388" s="3">
        <v>64</v>
      </c>
      <c r="H388" s="8">
        <v>4500</v>
      </c>
      <c r="I388" s="18"/>
    </row>
    <row r="389" spans="2:9" x14ac:dyDescent="0.3">
      <c r="B389" s="7">
        <v>387</v>
      </c>
      <c r="C389" s="3" t="s">
        <v>393</v>
      </c>
      <c r="D389" s="2" t="s">
        <v>1055</v>
      </c>
      <c r="E389" s="3" t="s">
        <v>1010</v>
      </c>
      <c r="F389" s="3">
        <v>123</v>
      </c>
      <c r="G389" s="3">
        <v>54</v>
      </c>
      <c r="H389" s="8">
        <v>50</v>
      </c>
      <c r="I389" s="18"/>
    </row>
    <row r="390" spans="2:9" x14ac:dyDescent="0.3">
      <c r="B390" s="7">
        <v>388</v>
      </c>
      <c r="C390" s="3" t="s">
        <v>394</v>
      </c>
      <c r="D390" s="2" t="s">
        <v>1044</v>
      </c>
      <c r="E390" s="3" t="s">
        <v>1010</v>
      </c>
      <c r="F390" s="3">
        <v>71</v>
      </c>
      <c r="G390" s="3">
        <v>170</v>
      </c>
      <c r="H390" s="8">
        <v>100</v>
      </c>
      <c r="I390" s="18"/>
    </row>
    <row r="391" spans="2:9" x14ac:dyDescent="0.3">
      <c r="B391" s="7">
        <v>389</v>
      </c>
      <c r="C391" s="3" t="s">
        <v>395</v>
      </c>
      <c r="D391" s="2" t="s">
        <v>1042</v>
      </c>
      <c r="E391" s="3" t="s">
        <v>1007</v>
      </c>
      <c r="F391" s="3">
        <v>142</v>
      </c>
      <c r="G391" s="3">
        <v>142</v>
      </c>
      <c r="H391" s="8">
        <v>3000</v>
      </c>
      <c r="I391" s="18"/>
    </row>
    <row r="392" spans="2:9" x14ac:dyDescent="0.3">
      <c r="B392" s="7">
        <v>390</v>
      </c>
      <c r="C392" s="3" t="s">
        <v>396</v>
      </c>
      <c r="D392" s="2" t="s">
        <v>1081</v>
      </c>
      <c r="E392" s="3" t="s">
        <v>1011</v>
      </c>
      <c r="F392" s="3">
        <v>33</v>
      </c>
      <c r="G392" s="3">
        <v>33</v>
      </c>
      <c r="H392" s="8">
        <v>1000</v>
      </c>
      <c r="I392" s="18"/>
    </row>
    <row r="393" spans="2:9" x14ac:dyDescent="0.3">
      <c r="B393" s="7">
        <v>391</v>
      </c>
      <c r="C393" s="3" t="s">
        <v>397</v>
      </c>
      <c r="D393" s="2" t="s">
        <v>1033</v>
      </c>
      <c r="E393" s="3" t="s">
        <v>1008</v>
      </c>
      <c r="F393" s="3">
        <v>192</v>
      </c>
      <c r="G393" s="3">
        <v>192</v>
      </c>
      <c r="H393" s="8">
        <v>4000</v>
      </c>
      <c r="I393" s="18"/>
    </row>
    <row r="394" spans="2:9" x14ac:dyDescent="0.3">
      <c r="B394" s="7">
        <v>392</v>
      </c>
      <c r="C394" s="3" t="s">
        <v>398</v>
      </c>
      <c r="D394" s="2" t="s">
        <v>1060</v>
      </c>
      <c r="E394" s="3" t="s">
        <v>1012</v>
      </c>
      <c r="F394" s="3">
        <v>90</v>
      </c>
      <c r="G394" s="3">
        <v>90</v>
      </c>
      <c r="H394" s="8">
        <v>1500</v>
      </c>
      <c r="I394" s="18"/>
    </row>
    <row r="395" spans="2:9" x14ac:dyDescent="0.3">
      <c r="B395" s="7">
        <v>393</v>
      </c>
      <c r="C395" s="3" t="s">
        <v>399</v>
      </c>
      <c r="D395" s="2" t="s">
        <v>1048</v>
      </c>
      <c r="E395" s="3" t="s">
        <v>1010</v>
      </c>
      <c r="F395" s="3">
        <v>102</v>
      </c>
      <c r="G395" s="3">
        <v>102</v>
      </c>
      <c r="H395" s="8">
        <v>50</v>
      </c>
      <c r="I395" s="18"/>
    </row>
    <row r="396" spans="2:9" x14ac:dyDescent="0.3">
      <c r="B396" s="7">
        <v>394</v>
      </c>
      <c r="C396" s="3" t="s">
        <v>400</v>
      </c>
      <c r="D396" s="2" t="s">
        <v>1047</v>
      </c>
      <c r="E396" s="3" t="s">
        <v>1010</v>
      </c>
      <c r="F396" s="3">
        <v>141</v>
      </c>
      <c r="G396" s="3">
        <v>141</v>
      </c>
      <c r="H396" s="8">
        <v>500</v>
      </c>
      <c r="I396" s="18"/>
    </row>
    <row r="397" spans="2:9" x14ac:dyDescent="0.3">
      <c r="B397" s="7">
        <v>395</v>
      </c>
      <c r="C397" s="3" t="s">
        <v>401</v>
      </c>
      <c r="D397" s="2" t="s">
        <v>1077</v>
      </c>
      <c r="E397" s="3" t="s">
        <v>1011</v>
      </c>
      <c r="F397" s="3">
        <v>63</v>
      </c>
      <c r="G397" s="3">
        <v>63</v>
      </c>
      <c r="H397" s="8">
        <v>5000</v>
      </c>
      <c r="I397" s="18"/>
    </row>
    <row r="398" spans="2:9" x14ac:dyDescent="0.3">
      <c r="B398" s="7">
        <v>396</v>
      </c>
      <c r="C398" s="3" t="s">
        <v>402</v>
      </c>
      <c r="D398" s="2" t="s">
        <v>1084</v>
      </c>
      <c r="E398" s="3" t="s">
        <v>1011</v>
      </c>
      <c r="F398" s="3">
        <v>108</v>
      </c>
      <c r="G398" s="3">
        <v>108</v>
      </c>
      <c r="H398" s="8">
        <v>2000</v>
      </c>
      <c r="I398" s="18"/>
    </row>
    <row r="399" spans="2:9" x14ac:dyDescent="0.3">
      <c r="B399" s="7">
        <v>397</v>
      </c>
      <c r="C399" s="3" t="s">
        <v>403</v>
      </c>
      <c r="D399" s="2" t="s">
        <v>1071</v>
      </c>
      <c r="E399" s="3" t="s">
        <v>1009</v>
      </c>
      <c r="F399" s="3">
        <v>165</v>
      </c>
      <c r="G399" s="3">
        <v>165</v>
      </c>
      <c r="H399" s="8">
        <v>200</v>
      </c>
      <c r="I399" s="18"/>
    </row>
    <row r="400" spans="2:9" x14ac:dyDescent="0.3">
      <c r="B400" s="7">
        <v>398</v>
      </c>
      <c r="C400" s="3" t="s">
        <v>404</v>
      </c>
      <c r="D400" s="2" t="s">
        <v>1028</v>
      </c>
      <c r="E400" s="3" t="s">
        <v>1008</v>
      </c>
      <c r="F400" s="3">
        <v>50</v>
      </c>
      <c r="G400" s="3">
        <v>50</v>
      </c>
      <c r="H400" s="8">
        <v>15000</v>
      </c>
      <c r="I400" s="18"/>
    </row>
    <row r="401" spans="2:9" x14ac:dyDescent="0.3">
      <c r="B401" s="7">
        <v>399</v>
      </c>
      <c r="C401" s="3" t="s">
        <v>405</v>
      </c>
      <c r="D401" s="2" t="s">
        <v>1023</v>
      </c>
      <c r="E401" s="3" t="s">
        <v>1008</v>
      </c>
      <c r="F401" s="3">
        <v>42</v>
      </c>
      <c r="G401" s="3">
        <v>42</v>
      </c>
      <c r="H401" s="8">
        <v>20000</v>
      </c>
      <c r="I401" s="18"/>
    </row>
    <row r="402" spans="2:9" x14ac:dyDescent="0.3">
      <c r="B402" s="7">
        <v>400</v>
      </c>
      <c r="C402" s="3" t="s">
        <v>406</v>
      </c>
      <c r="D402" s="2" t="s">
        <v>1046</v>
      </c>
      <c r="E402" s="3" t="s">
        <v>1010</v>
      </c>
      <c r="F402" s="3">
        <v>77</v>
      </c>
      <c r="G402" s="3">
        <v>136</v>
      </c>
      <c r="H402" s="8">
        <v>100</v>
      </c>
      <c r="I402" s="18"/>
    </row>
    <row r="403" spans="2:9" x14ac:dyDescent="0.3">
      <c r="B403" s="7">
        <v>401</v>
      </c>
      <c r="C403" s="3" t="s">
        <v>407</v>
      </c>
      <c r="D403" s="2" t="s">
        <v>1039</v>
      </c>
      <c r="E403" s="3" t="s">
        <v>1007</v>
      </c>
      <c r="F403" s="3">
        <v>126</v>
      </c>
      <c r="G403" s="3">
        <v>124</v>
      </c>
      <c r="H403" s="8">
        <v>12000</v>
      </c>
      <c r="I403" s="18"/>
    </row>
    <row r="404" spans="2:9" x14ac:dyDescent="0.3">
      <c r="B404" s="7">
        <v>402</v>
      </c>
      <c r="C404" s="3" t="s">
        <v>408</v>
      </c>
      <c r="D404" s="2" t="s">
        <v>1054</v>
      </c>
      <c r="E404" s="3" t="s">
        <v>1010</v>
      </c>
      <c r="F404" s="3">
        <v>110</v>
      </c>
      <c r="G404" s="3">
        <v>36</v>
      </c>
      <c r="H404" s="8">
        <v>30</v>
      </c>
      <c r="I404" s="18"/>
    </row>
    <row r="405" spans="2:9" x14ac:dyDescent="0.3">
      <c r="B405" s="7">
        <v>403</v>
      </c>
      <c r="C405" s="3" t="s">
        <v>409</v>
      </c>
      <c r="D405" s="2" t="s">
        <v>1071</v>
      </c>
      <c r="E405" s="3" t="s">
        <v>1009</v>
      </c>
      <c r="F405" s="3">
        <v>83</v>
      </c>
      <c r="G405" s="3">
        <v>157</v>
      </c>
      <c r="H405" s="8">
        <v>200</v>
      </c>
      <c r="I405" s="18"/>
    </row>
    <row r="406" spans="2:9" x14ac:dyDescent="0.3">
      <c r="B406" s="7">
        <v>404</v>
      </c>
      <c r="C406" s="3" t="s">
        <v>410</v>
      </c>
      <c r="D406" s="2" t="s">
        <v>1021</v>
      </c>
      <c r="E406" s="3" t="s">
        <v>1008</v>
      </c>
      <c r="F406" s="3">
        <v>184</v>
      </c>
      <c r="G406" s="3">
        <v>90</v>
      </c>
      <c r="H406" s="8">
        <v>20000</v>
      </c>
      <c r="I406" s="18"/>
    </row>
    <row r="407" spans="2:9" x14ac:dyDescent="0.3">
      <c r="B407" s="7">
        <v>405</v>
      </c>
      <c r="C407" s="3" t="s">
        <v>411</v>
      </c>
      <c r="D407" s="2" t="s">
        <v>1077</v>
      </c>
      <c r="E407" s="3" t="s">
        <v>1011</v>
      </c>
      <c r="F407" s="3">
        <v>72</v>
      </c>
      <c r="G407" s="3">
        <v>92</v>
      </c>
      <c r="H407" s="8">
        <v>5000</v>
      </c>
      <c r="I407" s="18"/>
    </row>
    <row r="408" spans="2:9" x14ac:dyDescent="0.3">
      <c r="B408" s="7">
        <v>406</v>
      </c>
      <c r="C408" s="3" t="s">
        <v>412</v>
      </c>
      <c r="D408" s="2" t="s">
        <v>1076</v>
      </c>
      <c r="E408" s="3" t="s">
        <v>1009</v>
      </c>
      <c r="F408" s="3">
        <v>182</v>
      </c>
      <c r="G408" s="3">
        <v>41</v>
      </c>
      <c r="H408" s="8">
        <v>100</v>
      </c>
      <c r="I408" s="18"/>
    </row>
    <row r="409" spans="2:9" x14ac:dyDescent="0.3">
      <c r="B409" s="7">
        <v>407</v>
      </c>
      <c r="C409" s="3" t="s">
        <v>413</v>
      </c>
      <c r="D409" s="2" t="s">
        <v>1041</v>
      </c>
      <c r="E409" s="3" t="s">
        <v>1007</v>
      </c>
      <c r="F409" s="3">
        <v>144</v>
      </c>
      <c r="G409" s="3">
        <v>113</v>
      </c>
      <c r="H409" s="8">
        <v>2000</v>
      </c>
      <c r="I409" s="18"/>
    </row>
    <row r="410" spans="2:9" x14ac:dyDescent="0.3">
      <c r="B410" s="7">
        <v>408</v>
      </c>
      <c r="C410" s="3" t="s">
        <v>414</v>
      </c>
      <c r="D410" s="2" t="s">
        <v>1081</v>
      </c>
      <c r="E410" s="3" t="s">
        <v>1011</v>
      </c>
      <c r="F410" s="3">
        <v>134</v>
      </c>
      <c r="G410" s="3">
        <v>127</v>
      </c>
      <c r="H410" s="8">
        <v>1000</v>
      </c>
      <c r="I410" s="18"/>
    </row>
    <row r="411" spans="2:9" x14ac:dyDescent="0.3">
      <c r="B411" s="7">
        <v>409</v>
      </c>
      <c r="C411" s="3" t="s">
        <v>415</v>
      </c>
      <c r="D411" s="2" t="s">
        <v>1018</v>
      </c>
      <c r="E411" s="3" t="s">
        <v>1012</v>
      </c>
      <c r="F411" s="3">
        <v>104</v>
      </c>
      <c r="G411" s="3">
        <v>174</v>
      </c>
      <c r="H411" s="8">
        <v>3000</v>
      </c>
      <c r="I411" s="18"/>
    </row>
    <row r="412" spans="2:9" x14ac:dyDescent="0.3">
      <c r="B412" s="7">
        <v>410</v>
      </c>
      <c r="C412" s="3" t="s">
        <v>416</v>
      </c>
      <c r="D412" s="2" t="s">
        <v>1059</v>
      </c>
      <c r="E412" s="3" t="s">
        <v>1012</v>
      </c>
      <c r="F412" s="3">
        <v>143</v>
      </c>
      <c r="G412" s="3">
        <v>122</v>
      </c>
      <c r="H412" s="8">
        <v>200</v>
      </c>
      <c r="I412" s="18"/>
    </row>
    <row r="413" spans="2:9" x14ac:dyDescent="0.3">
      <c r="B413" s="7">
        <v>411</v>
      </c>
      <c r="C413" s="3" t="s">
        <v>417</v>
      </c>
      <c r="D413" s="2" t="s">
        <v>1067</v>
      </c>
      <c r="E413" s="3" t="s">
        <v>1009</v>
      </c>
      <c r="F413" s="3">
        <v>139</v>
      </c>
      <c r="G413" s="3">
        <v>150</v>
      </c>
      <c r="H413" s="8">
        <v>100</v>
      </c>
      <c r="I413" s="18"/>
    </row>
    <row r="414" spans="2:9" x14ac:dyDescent="0.3">
      <c r="B414" s="7">
        <v>412</v>
      </c>
      <c r="C414" s="3" t="s">
        <v>418</v>
      </c>
      <c r="D414" s="2" t="s">
        <v>1035</v>
      </c>
      <c r="E414" s="3" t="s">
        <v>1007</v>
      </c>
      <c r="F414" s="3">
        <v>60</v>
      </c>
      <c r="G414" s="3">
        <v>56</v>
      </c>
      <c r="H414" s="8">
        <v>15000</v>
      </c>
      <c r="I414" s="18"/>
    </row>
    <row r="415" spans="2:9" x14ac:dyDescent="0.3">
      <c r="B415" s="7">
        <v>413</v>
      </c>
      <c r="C415" s="3" t="s">
        <v>419</v>
      </c>
      <c r="D415" s="2" t="s">
        <v>1084</v>
      </c>
      <c r="E415" s="3" t="s">
        <v>1011</v>
      </c>
      <c r="F415" s="3">
        <v>59</v>
      </c>
      <c r="G415" s="3">
        <v>69</v>
      </c>
      <c r="H415" s="8">
        <v>2000</v>
      </c>
      <c r="I415" s="18"/>
    </row>
    <row r="416" spans="2:9" x14ac:dyDescent="0.3">
      <c r="B416" s="7">
        <v>414</v>
      </c>
      <c r="C416" s="3" t="s">
        <v>420</v>
      </c>
      <c r="D416" s="2" t="s">
        <v>1059</v>
      </c>
      <c r="E416" s="3" t="s">
        <v>1012</v>
      </c>
      <c r="F416" s="3">
        <v>195</v>
      </c>
      <c r="G416" s="3">
        <v>58</v>
      </c>
      <c r="H416" s="8">
        <v>200</v>
      </c>
      <c r="I416" s="18"/>
    </row>
    <row r="417" spans="2:9" x14ac:dyDescent="0.3">
      <c r="B417" s="7">
        <v>415</v>
      </c>
      <c r="C417" s="3" t="s">
        <v>421</v>
      </c>
      <c r="D417" s="2" t="s">
        <v>1067</v>
      </c>
      <c r="E417" s="3" t="s">
        <v>1009</v>
      </c>
      <c r="F417" s="3">
        <v>78</v>
      </c>
      <c r="G417" s="3">
        <v>197</v>
      </c>
      <c r="H417" s="8">
        <v>100</v>
      </c>
      <c r="I417" s="18"/>
    </row>
    <row r="418" spans="2:9" x14ac:dyDescent="0.3">
      <c r="B418" s="7">
        <v>416</v>
      </c>
      <c r="C418" s="3" t="s">
        <v>422</v>
      </c>
      <c r="D418" s="2" t="s">
        <v>1038</v>
      </c>
      <c r="E418" s="3" t="s">
        <v>1007</v>
      </c>
      <c r="F418" s="3">
        <v>151</v>
      </c>
      <c r="G418" s="3">
        <v>100</v>
      </c>
      <c r="H418" s="8">
        <v>5000</v>
      </c>
      <c r="I418" s="18"/>
    </row>
    <row r="419" spans="2:9" x14ac:dyDescent="0.3">
      <c r="B419" s="7">
        <v>417</v>
      </c>
      <c r="C419" s="3" t="s">
        <v>423</v>
      </c>
      <c r="D419" s="2" t="s">
        <v>1042</v>
      </c>
      <c r="E419" s="3" t="s">
        <v>1007</v>
      </c>
      <c r="F419" s="3">
        <v>81</v>
      </c>
      <c r="G419" s="3">
        <v>110</v>
      </c>
      <c r="H419" s="8">
        <v>3000</v>
      </c>
      <c r="I419" s="18"/>
    </row>
    <row r="420" spans="2:9" x14ac:dyDescent="0.3">
      <c r="B420" s="7">
        <v>418</v>
      </c>
      <c r="C420" s="3" t="s">
        <v>424</v>
      </c>
      <c r="D420" s="2" t="s">
        <v>1070</v>
      </c>
      <c r="E420" s="3" t="s">
        <v>1009</v>
      </c>
      <c r="F420" s="3">
        <v>162</v>
      </c>
      <c r="G420" s="3">
        <v>93</v>
      </c>
      <c r="H420" s="8">
        <v>1500</v>
      </c>
      <c r="I420" s="18"/>
    </row>
    <row r="421" spans="2:9" x14ac:dyDescent="0.3">
      <c r="B421" s="7">
        <v>419</v>
      </c>
      <c r="C421" s="3" t="s">
        <v>425</v>
      </c>
      <c r="D421" s="2" t="s">
        <v>1045</v>
      </c>
      <c r="E421" s="3" t="s">
        <v>1010</v>
      </c>
      <c r="F421" s="3">
        <v>168</v>
      </c>
      <c r="G421" s="3">
        <v>35</v>
      </c>
      <c r="H421" s="8">
        <v>100</v>
      </c>
      <c r="I421" s="18"/>
    </row>
    <row r="422" spans="2:9" x14ac:dyDescent="0.3">
      <c r="B422" s="7">
        <v>420</v>
      </c>
      <c r="C422" s="3" t="s">
        <v>426</v>
      </c>
      <c r="D422" s="2" t="s">
        <v>1048</v>
      </c>
      <c r="E422" s="3" t="s">
        <v>1010</v>
      </c>
      <c r="F422" s="3">
        <v>41</v>
      </c>
      <c r="G422" s="3">
        <v>73</v>
      </c>
      <c r="H422" s="8">
        <v>50</v>
      </c>
      <c r="I422" s="18"/>
    </row>
    <row r="423" spans="2:9" x14ac:dyDescent="0.3">
      <c r="B423" s="7">
        <v>421</v>
      </c>
      <c r="C423" s="3" t="s">
        <v>427</v>
      </c>
      <c r="D423" s="2" t="s">
        <v>1083</v>
      </c>
      <c r="E423" s="3" t="s">
        <v>1011</v>
      </c>
      <c r="F423" s="3">
        <v>144</v>
      </c>
      <c r="G423" s="3">
        <v>163</v>
      </c>
      <c r="H423" s="8">
        <v>3000</v>
      </c>
      <c r="I423" s="18"/>
    </row>
    <row r="424" spans="2:9" x14ac:dyDescent="0.3">
      <c r="B424" s="7">
        <v>422</v>
      </c>
      <c r="C424" s="3" t="s">
        <v>428</v>
      </c>
      <c r="D424" s="2" t="s">
        <v>1055</v>
      </c>
      <c r="E424" s="3" t="s">
        <v>1010</v>
      </c>
      <c r="F424" s="3">
        <v>157</v>
      </c>
      <c r="G424" s="3">
        <v>167</v>
      </c>
      <c r="H424" s="8">
        <v>50</v>
      </c>
      <c r="I424" s="18"/>
    </row>
    <row r="425" spans="2:9" x14ac:dyDescent="0.3">
      <c r="B425" s="7">
        <v>423</v>
      </c>
      <c r="C425" s="3" t="s">
        <v>429</v>
      </c>
      <c r="D425" s="2" t="s">
        <v>1018</v>
      </c>
      <c r="E425" s="3" t="s">
        <v>1012</v>
      </c>
      <c r="F425" s="3">
        <v>144</v>
      </c>
      <c r="G425" s="3">
        <v>123</v>
      </c>
      <c r="H425" s="8">
        <v>3000</v>
      </c>
      <c r="I425" s="18"/>
    </row>
    <row r="426" spans="2:9" x14ac:dyDescent="0.3">
      <c r="B426" s="7">
        <v>424</v>
      </c>
      <c r="C426" s="3" t="s">
        <v>430</v>
      </c>
      <c r="D426" s="2" t="s">
        <v>1077</v>
      </c>
      <c r="E426" s="3" t="s">
        <v>1011</v>
      </c>
      <c r="F426" s="3">
        <v>42</v>
      </c>
      <c r="G426" s="3">
        <v>196</v>
      </c>
      <c r="H426" s="8">
        <v>5000</v>
      </c>
      <c r="I426" s="18"/>
    </row>
    <row r="427" spans="2:9" x14ac:dyDescent="0.3">
      <c r="B427" s="7">
        <v>425</v>
      </c>
      <c r="C427" s="3" t="s">
        <v>431</v>
      </c>
      <c r="D427" s="2" t="s">
        <v>1084</v>
      </c>
      <c r="E427" s="3" t="s">
        <v>1011</v>
      </c>
      <c r="F427" s="3">
        <v>152</v>
      </c>
      <c r="G427" s="3">
        <v>112</v>
      </c>
      <c r="H427" s="8">
        <v>2000</v>
      </c>
      <c r="I427" s="18"/>
    </row>
    <row r="428" spans="2:9" x14ac:dyDescent="0.3">
      <c r="B428" s="7">
        <v>426</v>
      </c>
      <c r="C428" s="3" t="s">
        <v>432</v>
      </c>
      <c r="D428" s="2" t="s">
        <v>1029</v>
      </c>
      <c r="E428" s="3" t="s">
        <v>1008</v>
      </c>
      <c r="F428" s="3">
        <v>38</v>
      </c>
      <c r="G428" s="3">
        <v>43</v>
      </c>
      <c r="H428" s="8">
        <v>3000</v>
      </c>
      <c r="I428" s="18"/>
    </row>
    <row r="429" spans="2:9" x14ac:dyDescent="0.3">
      <c r="B429" s="7">
        <v>427</v>
      </c>
      <c r="C429" s="3" t="s">
        <v>433</v>
      </c>
      <c r="D429" s="2" t="s">
        <v>1044</v>
      </c>
      <c r="E429" s="3" t="s">
        <v>1010</v>
      </c>
      <c r="F429" s="3">
        <v>150</v>
      </c>
      <c r="G429" s="3">
        <v>181</v>
      </c>
      <c r="H429" s="8">
        <v>100</v>
      </c>
      <c r="I429" s="18"/>
    </row>
    <row r="430" spans="2:9" x14ac:dyDescent="0.3">
      <c r="B430" s="7">
        <v>428</v>
      </c>
      <c r="C430" s="3" t="s">
        <v>434</v>
      </c>
      <c r="D430" s="2" t="s">
        <v>1032</v>
      </c>
      <c r="E430" s="3" t="s">
        <v>1008</v>
      </c>
      <c r="F430" s="3">
        <v>170</v>
      </c>
      <c r="G430" s="3">
        <v>73</v>
      </c>
      <c r="H430" s="8">
        <v>2000</v>
      </c>
      <c r="I430" s="18"/>
    </row>
    <row r="431" spans="2:9" x14ac:dyDescent="0.3">
      <c r="B431" s="7">
        <v>429</v>
      </c>
      <c r="C431" s="3" t="s">
        <v>435</v>
      </c>
      <c r="D431" s="2" t="s">
        <v>1081</v>
      </c>
      <c r="E431" s="3" t="s">
        <v>1011</v>
      </c>
      <c r="F431" s="3">
        <v>144</v>
      </c>
      <c r="G431" s="3">
        <v>63</v>
      </c>
      <c r="H431" s="8">
        <v>1000</v>
      </c>
      <c r="I431" s="18"/>
    </row>
    <row r="432" spans="2:9" x14ac:dyDescent="0.3">
      <c r="B432" s="7">
        <v>430</v>
      </c>
      <c r="C432" s="3" t="s">
        <v>436</v>
      </c>
      <c r="D432" s="2" t="s">
        <v>1041</v>
      </c>
      <c r="E432" s="3" t="s">
        <v>1007</v>
      </c>
      <c r="F432" s="3">
        <v>66</v>
      </c>
      <c r="G432" s="3">
        <v>59</v>
      </c>
      <c r="H432" s="8">
        <v>2000</v>
      </c>
      <c r="I432" s="18"/>
    </row>
    <row r="433" spans="2:9" x14ac:dyDescent="0.3">
      <c r="B433" s="7">
        <v>431</v>
      </c>
      <c r="C433" s="3" t="s">
        <v>437</v>
      </c>
      <c r="D433" s="2" t="s">
        <v>1024</v>
      </c>
      <c r="E433" s="3" t="s">
        <v>1008</v>
      </c>
      <c r="F433" s="3">
        <v>152</v>
      </c>
      <c r="G433" s="3">
        <v>57</v>
      </c>
      <c r="H433" s="8">
        <v>150000</v>
      </c>
      <c r="I433" s="18"/>
    </row>
    <row r="434" spans="2:9" x14ac:dyDescent="0.3">
      <c r="B434" s="7">
        <v>432</v>
      </c>
      <c r="C434" s="3" t="s">
        <v>438</v>
      </c>
      <c r="D434" s="2" t="s">
        <v>1038</v>
      </c>
      <c r="E434" s="3" t="s">
        <v>1007</v>
      </c>
      <c r="F434" s="3">
        <v>63</v>
      </c>
      <c r="G434" s="3">
        <v>142</v>
      </c>
      <c r="H434" s="8">
        <v>5000</v>
      </c>
      <c r="I434" s="18"/>
    </row>
    <row r="435" spans="2:9" x14ac:dyDescent="0.3">
      <c r="B435" s="7">
        <v>433</v>
      </c>
      <c r="C435" s="3" t="s">
        <v>439</v>
      </c>
      <c r="D435" s="2" t="s">
        <v>1065</v>
      </c>
      <c r="E435" s="3" t="s">
        <v>1009</v>
      </c>
      <c r="F435" s="3">
        <v>76</v>
      </c>
      <c r="G435" s="3">
        <v>76</v>
      </c>
      <c r="H435" s="8">
        <v>200</v>
      </c>
      <c r="I435" s="18"/>
    </row>
    <row r="436" spans="2:9" x14ac:dyDescent="0.3">
      <c r="B436" s="7">
        <v>434</v>
      </c>
      <c r="C436" s="3" t="s">
        <v>440</v>
      </c>
      <c r="D436" s="2" t="s">
        <v>1035</v>
      </c>
      <c r="E436" s="3" t="s">
        <v>1007</v>
      </c>
      <c r="F436" s="3">
        <v>92</v>
      </c>
      <c r="G436" s="3">
        <v>92</v>
      </c>
      <c r="H436" s="8">
        <v>15000</v>
      </c>
      <c r="I436" s="18"/>
    </row>
    <row r="437" spans="2:9" x14ac:dyDescent="0.3">
      <c r="B437" s="7">
        <v>435</v>
      </c>
      <c r="C437" s="3" t="s">
        <v>441</v>
      </c>
      <c r="D437" s="2" t="s">
        <v>1084</v>
      </c>
      <c r="E437" s="3" t="s">
        <v>1011</v>
      </c>
      <c r="F437" s="3">
        <v>126</v>
      </c>
      <c r="G437" s="3">
        <v>126</v>
      </c>
      <c r="H437" s="8">
        <v>2000</v>
      </c>
      <c r="I437" s="18"/>
    </row>
    <row r="438" spans="2:9" x14ac:dyDescent="0.3">
      <c r="B438" s="7">
        <v>436</v>
      </c>
      <c r="C438" s="3" t="s">
        <v>442</v>
      </c>
      <c r="D438" s="2" t="s">
        <v>1039</v>
      </c>
      <c r="E438" s="3" t="s">
        <v>1007</v>
      </c>
      <c r="F438" s="3">
        <v>89</v>
      </c>
      <c r="G438" s="3">
        <v>89</v>
      </c>
      <c r="H438" s="8">
        <v>12000</v>
      </c>
      <c r="I438" s="18"/>
    </row>
    <row r="439" spans="2:9" x14ac:dyDescent="0.3">
      <c r="B439" s="7">
        <v>437</v>
      </c>
      <c r="C439" s="3" t="s">
        <v>443</v>
      </c>
      <c r="D439" s="2" t="s">
        <v>1030</v>
      </c>
      <c r="E439" s="3" t="s">
        <v>1008</v>
      </c>
      <c r="F439" s="3">
        <v>37</v>
      </c>
      <c r="G439" s="3">
        <v>37</v>
      </c>
      <c r="H439" s="8">
        <v>70000</v>
      </c>
      <c r="I439" s="18"/>
    </row>
    <row r="440" spans="2:9" x14ac:dyDescent="0.3">
      <c r="B440" s="7">
        <v>438</v>
      </c>
      <c r="C440" s="3" t="s">
        <v>444</v>
      </c>
      <c r="D440" s="2" t="s">
        <v>1048</v>
      </c>
      <c r="E440" s="3" t="s">
        <v>1010</v>
      </c>
      <c r="F440" s="3">
        <v>115</v>
      </c>
      <c r="G440" s="3">
        <v>115</v>
      </c>
      <c r="H440" s="8">
        <v>50</v>
      </c>
      <c r="I440" s="18"/>
    </row>
    <row r="441" spans="2:9" x14ac:dyDescent="0.3">
      <c r="B441" s="7">
        <v>439</v>
      </c>
      <c r="C441" s="3" t="s">
        <v>445</v>
      </c>
      <c r="D441" s="2" t="s">
        <v>1038</v>
      </c>
      <c r="E441" s="3" t="s">
        <v>1007</v>
      </c>
      <c r="F441" s="3">
        <v>113</v>
      </c>
      <c r="G441" s="3">
        <v>113</v>
      </c>
      <c r="H441" s="8">
        <v>5000</v>
      </c>
      <c r="I441" s="18"/>
    </row>
    <row r="442" spans="2:9" x14ac:dyDescent="0.3">
      <c r="B442" s="7">
        <v>440</v>
      </c>
      <c r="C442" s="3" t="s">
        <v>446</v>
      </c>
      <c r="D442" s="2" t="s">
        <v>1017</v>
      </c>
      <c r="E442" s="3" t="s">
        <v>1012</v>
      </c>
      <c r="F442" s="3">
        <v>151</v>
      </c>
      <c r="G442" s="3">
        <v>151</v>
      </c>
      <c r="H442" s="8">
        <v>200</v>
      </c>
      <c r="I442" s="18"/>
    </row>
    <row r="443" spans="2:9" x14ac:dyDescent="0.3">
      <c r="B443" s="7">
        <v>441</v>
      </c>
      <c r="C443" s="3" t="s">
        <v>447</v>
      </c>
      <c r="D443" s="2" t="s">
        <v>1034</v>
      </c>
      <c r="E443" s="3" t="s">
        <v>1008</v>
      </c>
      <c r="F443" s="3">
        <v>55</v>
      </c>
      <c r="G443" s="3">
        <v>55</v>
      </c>
      <c r="H443" s="8">
        <v>50000</v>
      </c>
      <c r="I443" s="18"/>
    </row>
    <row r="444" spans="2:9" x14ac:dyDescent="0.3">
      <c r="B444" s="7">
        <v>442</v>
      </c>
      <c r="C444" s="3" t="s">
        <v>448</v>
      </c>
      <c r="D444" s="2" t="s">
        <v>1055</v>
      </c>
      <c r="E444" s="3" t="s">
        <v>1010</v>
      </c>
      <c r="F444" s="3">
        <v>73</v>
      </c>
      <c r="G444" s="3">
        <v>73</v>
      </c>
      <c r="H444" s="8">
        <v>50</v>
      </c>
      <c r="I444" s="18"/>
    </row>
    <row r="445" spans="2:9" x14ac:dyDescent="0.3">
      <c r="B445" s="7">
        <v>443</v>
      </c>
      <c r="C445" s="3" t="s">
        <v>449</v>
      </c>
      <c r="D445" s="2" t="s">
        <v>1036</v>
      </c>
      <c r="E445" s="3" t="s">
        <v>1007</v>
      </c>
      <c r="F445" s="3">
        <v>49</v>
      </c>
      <c r="G445" s="3">
        <v>49</v>
      </c>
      <c r="H445" s="8">
        <v>8000</v>
      </c>
      <c r="I445" s="18"/>
    </row>
    <row r="446" spans="2:9" x14ac:dyDescent="0.3">
      <c r="B446" s="7">
        <v>444</v>
      </c>
      <c r="C446" s="3" t="s">
        <v>450</v>
      </c>
      <c r="D446" s="2" t="s">
        <v>1025</v>
      </c>
      <c r="E446" s="3" t="s">
        <v>1008</v>
      </c>
      <c r="F446" s="3">
        <v>64</v>
      </c>
      <c r="G446" s="3">
        <v>64</v>
      </c>
      <c r="H446" s="8">
        <v>30000</v>
      </c>
      <c r="I446" s="18"/>
    </row>
    <row r="447" spans="2:9" x14ac:dyDescent="0.3">
      <c r="B447" s="7">
        <v>445</v>
      </c>
      <c r="C447" s="3" t="s">
        <v>451</v>
      </c>
      <c r="D447" s="2" t="s">
        <v>1036</v>
      </c>
      <c r="E447" s="3" t="s">
        <v>1007</v>
      </c>
      <c r="F447" s="3">
        <v>141</v>
      </c>
      <c r="G447" s="3">
        <v>141</v>
      </c>
      <c r="H447" s="8">
        <v>8000</v>
      </c>
      <c r="I447" s="18"/>
    </row>
    <row r="448" spans="2:9" x14ac:dyDescent="0.3">
      <c r="B448" s="7">
        <v>446</v>
      </c>
      <c r="C448" s="3" t="s">
        <v>452</v>
      </c>
      <c r="D448" s="2" t="s">
        <v>1060</v>
      </c>
      <c r="E448" s="3" t="s">
        <v>1012</v>
      </c>
      <c r="F448" s="3">
        <v>139</v>
      </c>
      <c r="G448" s="3">
        <v>139</v>
      </c>
      <c r="H448" s="8">
        <v>1500</v>
      </c>
      <c r="I448" s="18"/>
    </row>
    <row r="449" spans="2:9" x14ac:dyDescent="0.3">
      <c r="B449" s="7">
        <v>447</v>
      </c>
      <c r="C449" s="3" t="s">
        <v>453</v>
      </c>
      <c r="D449" s="2" t="s">
        <v>1066</v>
      </c>
      <c r="E449" s="3" t="s">
        <v>1009</v>
      </c>
      <c r="F449" s="3">
        <v>199</v>
      </c>
      <c r="G449" s="3">
        <v>199</v>
      </c>
      <c r="H449" s="8">
        <v>800</v>
      </c>
      <c r="I449" s="18"/>
    </row>
    <row r="450" spans="2:9" x14ac:dyDescent="0.3">
      <c r="B450" s="7">
        <v>448</v>
      </c>
      <c r="C450" s="3" t="s">
        <v>454</v>
      </c>
      <c r="D450" s="2" t="s">
        <v>1087</v>
      </c>
      <c r="E450" s="3" t="s">
        <v>1011</v>
      </c>
      <c r="F450" s="3">
        <v>74</v>
      </c>
      <c r="G450" s="3">
        <v>74</v>
      </c>
      <c r="H450" s="8">
        <v>5000</v>
      </c>
      <c r="I450" s="18"/>
    </row>
    <row r="451" spans="2:9" x14ac:dyDescent="0.3">
      <c r="B451" s="7">
        <v>449</v>
      </c>
      <c r="C451" s="3" t="s">
        <v>455</v>
      </c>
      <c r="D451" s="2" t="s">
        <v>1050</v>
      </c>
      <c r="E451" s="3" t="s">
        <v>1010</v>
      </c>
      <c r="F451" s="3">
        <v>54</v>
      </c>
      <c r="G451" s="3">
        <v>54</v>
      </c>
      <c r="H451" s="8">
        <v>30</v>
      </c>
      <c r="I451" s="18"/>
    </row>
    <row r="452" spans="2:9" x14ac:dyDescent="0.3">
      <c r="B452" s="7">
        <v>450</v>
      </c>
      <c r="C452" s="3" t="s">
        <v>456</v>
      </c>
      <c r="D452" s="2" t="s">
        <v>1052</v>
      </c>
      <c r="E452" s="3" t="s">
        <v>1010</v>
      </c>
      <c r="F452" s="3">
        <v>145</v>
      </c>
      <c r="G452" s="3">
        <v>145</v>
      </c>
      <c r="H452" s="8">
        <v>100</v>
      </c>
      <c r="I452" s="18"/>
    </row>
    <row r="453" spans="2:9" x14ac:dyDescent="0.3">
      <c r="B453" s="7">
        <v>451</v>
      </c>
      <c r="C453" s="3" t="s">
        <v>457</v>
      </c>
      <c r="D453" s="2" t="s">
        <v>1047</v>
      </c>
      <c r="E453" s="3" t="s">
        <v>1010</v>
      </c>
      <c r="F453" s="3">
        <v>47</v>
      </c>
      <c r="G453" s="3">
        <v>47</v>
      </c>
      <c r="H453" s="8">
        <v>500</v>
      </c>
      <c r="I453" s="18"/>
    </row>
    <row r="454" spans="2:9" x14ac:dyDescent="0.3">
      <c r="B454" s="7">
        <v>452</v>
      </c>
      <c r="C454" s="3" t="s">
        <v>458</v>
      </c>
      <c r="D454" s="2" t="s">
        <v>1064</v>
      </c>
      <c r="E454" s="3" t="s">
        <v>1009</v>
      </c>
      <c r="F454" s="3">
        <v>80</v>
      </c>
      <c r="G454" s="3">
        <v>80</v>
      </c>
      <c r="H454" s="8">
        <v>15000</v>
      </c>
      <c r="I454" s="18"/>
    </row>
    <row r="455" spans="2:9" x14ac:dyDescent="0.3">
      <c r="B455" s="7">
        <v>453</v>
      </c>
      <c r="C455" s="3" t="s">
        <v>459</v>
      </c>
      <c r="D455" s="2" t="s">
        <v>1079</v>
      </c>
      <c r="E455" s="3" t="s">
        <v>1011</v>
      </c>
      <c r="F455" s="3">
        <v>65</v>
      </c>
      <c r="G455" s="3">
        <v>65</v>
      </c>
      <c r="H455" s="8">
        <v>5000</v>
      </c>
      <c r="I455" s="18"/>
    </row>
    <row r="456" spans="2:9" x14ac:dyDescent="0.3">
      <c r="B456" s="7">
        <v>454</v>
      </c>
      <c r="C456" s="3" t="s">
        <v>460</v>
      </c>
      <c r="D456" s="2" t="s">
        <v>1051</v>
      </c>
      <c r="E456" s="3" t="s">
        <v>1010</v>
      </c>
      <c r="F456" s="3">
        <v>39</v>
      </c>
      <c r="G456" s="3">
        <v>39</v>
      </c>
      <c r="H456" s="8">
        <v>50</v>
      </c>
      <c r="I456" s="18"/>
    </row>
    <row r="457" spans="2:9" x14ac:dyDescent="0.3">
      <c r="B457" s="7">
        <v>455</v>
      </c>
      <c r="C457" s="3" t="s">
        <v>461</v>
      </c>
      <c r="D457" s="2" t="s">
        <v>1039</v>
      </c>
      <c r="E457" s="3" t="s">
        <v>1007</v>
      </c>
      <c r="F457" s="3">
        <v>169</v>
      </c>
      <c r="G457" s="3">
        <v>169</v>
      </c>
      <c r="H457" s="8">
        <v>12000</v>
      </c>
      <c r="I457" s="18"/>
    </row>
    <row r="458" spans="2:9" x14ac:dyDescent="0.3">
      <c r="B458" s="7">
        <v>456</v>
      </c>
      <c r="C458" s="3" t="s">
        <v>462</v>
      </c>
      <c r="D458" s="2" t="s">
        <v>1054</v>
      </c>
      <c r="E458" s="3" t="s">
        <v>1010</v>
      </c>
      <c r="F458" s="3">
        <v>165</v>
      </c>
      <c r="G458" s="3">
        <v>165</v>
      </c>
      <c r="H458" s="8">
        <v>30</v>
      </c>
      <c r="I458" s="18"/>
    </row>
    <row r="459" spans="2:9" x14ac:dyDescent="0.3">
      <c r="B459" s="7">
        <v>457</v>
      </c>
      <c r="C459" s="3" t="s">
        <v>463</v>
      </c>
      <c r="D459" s="2" t="s">
        <v>1057</v>
      </c>
      <c r="E459" s="3" t="s">
        <v>1012</v>
      </c>
      <c r="F459" s="3">
        <v>90</v>
      </c>
      <c r="G459" s="3">
        <v>90</v>
      </c>
      <c r="H459" s="8">
        <v>500</v>
      </c>
      <c r="I459" s="18"/>
    </row>
    <row r="460" spans="2:9" x14ac:dyDescent="0.3">
      <c r="B460" s="7">
        <v>458</v>
      </c>
      <c r="C460" s="3" t="s">
        <v>464</v>
      </c>
      <c r="D460" s="2" t="s">
        <v>1053</v>
      </c>
      <c r="E460" s="3" t="s">
        <v>1010</v>
      </c>
      <c r="F460" s="3">
        <v>187</v>
      </c>
      <c r="G460" s="3">
        <v>187</v>
      </c>
      <c r="H460" s="8">
        <v>10</v>
      </c>
      <c r="I460" s="18"/>
    </row>
    <row r="461" spans="2:9" x14ac:dyDescent="0.3">
      <c r="B461" s="7">
        <v>459</v>
      </c>
      <c r="C461" s="3" t="s">
        <v>465</v>
      </c>
      <c r="D461" s="2" t="s">
        <v>1069</v>
      </c>
      <c r="E461" s="3" t="s">
        <v>1009</v>
      </c>
      <c r="F461" s="3">
        <v>189</v>
      </c>
      <c r="G461" s="3">
        <v>189</v>
      </c>
      <c r="H461" s="8">
        <v>200</v>
      </c>
      <c r="I461" s="18"/>
    </row>
    <row r="462" spans="2:9" x14ac:dyDescent="0.3">
      <c r="B462" s="7">
        <v>460</v>
      </c>
      <c r="C462" s="3" t="s">
        <v>466</v>
      </c>
      <c r="D462" s="2" t="s">
        <v>1030</v>
      </c>
      <c r="E462" s="3" t="s">
        <v>1008</v>
      </c>
      <c r="F462" s="3">
        <v>115</v>
      </c>
      <c r="G462" s="3">
        <v>115</v>
      </c>
      <c r="H462" s="8">
        <v>70000</v>
      </c>
      <c r="I462" s="18"/>
    </row>
    <row r="463" spans="2:9" x14ac:dyDescent="0.3">
      <c r="B463" s="7">
        <v>461</v>
      </c>
      <c r="C463" s="3" t="s">
        <v>467</v>
      </c>
      <c r="D463" s="2" t="s">
        <v>1046</v>
      </c>
      <c r="E463" s="3" t="s">
        <v>1010</v>
      </c>
      <c r="F463" s="3">
        <v>121</v>
      </c>
      <c r="G463" s="3">
        <v>121</v>
      </c>
      <c r="H463" s="8">
        <v>100</v>
      </c>
      <c r="I463" s="18"/>
    </row>
    <row r="464" spans="2:9" x14ac:dyDescent="0.3">
      <c r="B464" s="7">
        <v>462</v>
      </c>
      <c r="C464" s="3" t="s">
        <v>468</v>
      </c>
      <c r="D464" s="2" t="s">
        <v>1034</v>
      </c>
      <c r="E464" s="3" t="s">
        <v>1008</v>
      </c>
      <c r="F464" s="3">
        <v>156</v>
      </c>
      <c r="G464" s="3">
        <v>156</v>
      </c>
      <c r="H464" s="8">
        <v>50000</v>
      </c>
      <c r="I464" s="18"/>
    </row>
    <row r="465" spans="2:9" x14ac:dyDescent="0.3">
      <c r="B465" s="7">
        <v>463</v>
      </c>
      <c r="C465" s="3" t="s">
        <v>469</v>
      </c>
      <c r="D465" s="2" t="s">
        <v>1076</v>
      </c>
      <c r="E465" s="3" t="s">
        <v>1009</v>
      </c>
      <c r="F465" s="3">
        <v>62</v>
      </c>
      <c r="G465" s="3">
        <v>62</v>
      </c>
      <c r="H465" s="8">
        <v>100</v>
      </c>
      <c r="I465" s="18"/>
    </row>
    <row r="466" spans="2:9" x14ac:dyDescent="0.3">
      <c r="B466" s="7">
        <v>464</v>
      </c>
      <c r="C466" s="3" t="s">
        <v>470</v>
      </c>
      <c r="D466" s="2" t="s">
        <v>1046</v>
      </c>
      <c r="E466" s="3" t="s">
        <v>1010</v>
      </c>
      <c r="F466" s="3">
        <v>33</v>
      </c>
      <c r="G466" s="3">
        <v>33</v>
      </c>
      <c r="H466" s="8">
        <v>100</v>
      </c>
      <c r="I466" s="18"/>
    </row>
    <row r="467" spans="2:9" x14ac:dyDescent="0.3">
      <c r="B467" s="7">
        <v>465</v>
      </c>
      <c r="C467" s="3" t="s">
        <v>471</v>
      </c>
      <c r="D467" s="2" t="s">
        <v>1042</v>
      </c>
      <c r="E467" s="3" t="s">
        <v>1007</v>
      </c>
      <c r="F467" s="3">
        <v>42</v>
      </c>
      <c r="G467" s="3">
        <v>75</v>
      </c>
      <c r="H467" s="8">
        <v>3000</v>
      </c>
      <c r="I467" s="18"/>
    </row>
    <row r="468" spans="2:9" x14ac:dyDescent="0.3">
      <c r="B468" s="7">
        <v>466</v>
      </c>
      <c r="C468" s="3" t="s">
        <v>472</v>
      </c>
      <c r="D468" s="2" t="s">
        <v>1040</v>
      </c>
      <c r="E468" s="3" t="s">
        <v>1007</v>
      </c>
      <c r="F468" s="3">
        <v>149</v>
      </c>
      <c r="G468" s="3">
        <v>121</v>
      </c>
      <c r="H468" s="8">
        <v>5000</v>
      </c>
      <c r="I468" s="18"/>
    </row>
    <row r="469" spans="2:9" x14ac:dyDescent="0.3">
      <c r="B469" s="7">
        <v>467</v>
      </c>
      <c r="C469" s="3" t="s">
        <v>473</v>
      </c>
      <c r="D469" s="2" t="s">
        <v>1086</v>
      </c>
      <c r="E469" s="3" t="s">
        <v>1011</v>
      </c>
      <c r="F469" s="3">
        <v>86</v>
      </c>
      <c r="G469" s="3">
        <v>135</v>
      </c>
      <c r="H469" s="8">
        <v>4500</v>
      </c>
      <c r="I469" s="18"/>
    </row>
    <row r="470" spans="2:9" x14ac:dyDescent="0.3">
      <c r="B470" s="7">
        <v>468</v>
      </c>
      <c r="C470" s="3" t="s">
        <v>474</v>
      </c>
      <c r="D470" s="2" t="s">
        <v>1036</v>
      </c>
      <c r="E470" s="3" t="s">
        <v>1007</v>
      </c>
      <c r="F470" s="3">
        <v>171</v>
      </c>
      <c r="G470" s="3">
        <v>138</v>
      </c>
      <c r="H470" s="8">
        <v>8000</v>
      </c>
      <c r="I470" s="18"/>
    </row>
    <row r="471" spans="2:9" x14ac:dyDescent="0.3">
      <c r="B471" s="7">
        <v>469</v>
      </c>
      <c r="C471" s="3" t="s">
        <v>475</v>
      </c>
      <c r="D471" s="2" t="s">
        <v>1025</v>
      </c>
      <c r="E471" s="3" t="s">
        <v>1008</v>
      </c>
      <c r="F471" s="3">
        <v>118</v>
      </c>
      <c r="G471" s="3">
        <v>139</v>
      </c>
      <c r="H471" s="8">
        <v>30000</v>
      </c>
      <c r="I471" s="18"/>
    </row>
    <row r="472" spans="2:9" x14ac:dyDescent="0.3">
      <c r="B472" s="7">
        <v>470</v>
      </c>
      <c r="C472" s="3" t="s">
        <v>476</v>
      </c>
      <c r="D472" s="2" t="s">
        <v>1037</v>
      </c>
      <c r="E472" s="3" t="s">
        <v>1007</v>
      </c>
      <c r="F472" s="3">
        <v>145</v>
      </c>
      <c r="G472" s="3">
        <v>195</v>
      </c>
      <c r="H472" s="8">
        <v>10000</v>
      </c>
      <c r="I472" s="18"/>
    </row>
    <row r="473" spans="2:9" x14ac:dyDescent="0.3">
      <c r="B473" s="7">
        <v>471</v>
      </c>
      <c r="C473" s="3" t="s">
        <v>477</v>
      </c>
      <c r="D473" s="2" t="s">
        <v>1057</v>
      </c>
      <c r="E473" s="3" t="s">
        <v>1012</v>
      </c>
      <c r="F473" s="3">
        <v>192</v>
      </c>
      <c r="G473" s="3">
        <v>47</v>
      </c>
      <c r="H473" s="8">
        <v>500</v>
      </c>
      <c r="I473" s="18"/>
    </row>
    <row r="474" spans="2:9" x14ac:dyDescent="0.3">
      <c r="B474" s="7">
        <v>472</v>
      </c>
      <c r="C474" s="3" t="s">
        <v>478</v>
      </c>
      <c r="D474" s="2" t="s">
        <v>1057</v>
      </c>
      <c r="E474" s="3" t="s">
        <v>1012</v>
      </c>
      <c r="F474" s="3">
        <v>40</v>
      </c>
      <c r="G474" s="3">
        <v>97</v>
      </c>
      <c r="H474" s="8">
        <v>500</v>
      </c>
      <c r="I474" s="18"/>
    </row>
    <row r="475" spans="2:9" x14ac:dyDescent="0.3">
      <c r="B475" s="7">
        <v>473</v>
      </c>
      <c r="C475" s="3" t="s">
        <v>479</v>
      </c>
      <c r="D475" s="2" t="s">
        <v>1037</v>
      </c>
      <c r="E475" s="3" t="s">
        <v>1007</v>
      </c>
      <c r="F475" s="3">
        <v>159</v>
      </c>
      <c r="G475" s="3">
        <v>60</v>
      </c>
      <c r="H475" s="8">
        <v>10000</v>
      </c>
      <c r="I475" s="18"/>
    </row>
    <row r="476" spans="2:9" x14ac:dyDescent="0.3">
      <c r="B476" s="7">
        <v>474</v>
      </c>
      <c r="C476" s="3" t="s">
        <v>480</v>
      </c>
      <c r="D476" s="2" t="s">
        <v>1032</v>
      </c>
      <c r="E476" s="3" t="s">
        <v>1008</v>
      </c>
      <c r="F476" s="3">
        <v>73</v>
      </c>
      <c r="G476" s="3">
        <v>192</v>
      </c>
      <c r="H476" s="8">
        <v>2000</v>
      </c>
      <c r="I476" s="18"/>
    </row>
    <row r="477" spans="2:9" x14ac:dyDescent="0.3">
      <c r="B477" s="7">
        <v>475</v>
      </c>
      <c r="C477" s="3" t="s">
        <v>481</v>
      </c>
      <c r="D477" s="2" t="s">
        <v>1037</v>
      </c>
      <c r="E477" s="3" t="s">
        <v>1007</v>
      </c>
      <c r="F477" s="3">
        <v>182</v>
      </c>
      <c r="G477" s="3">
        <v>44</v>
      </c>
      <c r="H477" s="8">
        <v>10000</v>
      </c>
      <c r="I477" s="18"/>
    </row>
    <row r="478" spans="2:9" x14ac:dyDescent="0.3">
      <c r="B478" s="7">
        <v>476</v>
      </c>
      <c r="C478" s="3" t="s">
        <v>482</v>
      </c>
      <c r="D478" s="2" t="s">
        <v>1038</v>
      </c>
      <c r="E478" s="3" t="s">
        <v>1007</v>
      </c>
      <c r="F478" s="3">
        <v>45</v>
      </c>
      <c r="G478" s="3">
        <v>36</v>
      </c>
      <c r="H478" s="8">
        <v>5000</v>
      </c>
      <c r="I478" s="18"/>
    </row>
    <row r="479" spans="2:9" x14ac:dyDescent="0.3">
      <c r="B479" s="7">
        <v>477</v>
      </c>
      <c r="C479" s="3" t="s">
        <v>483</v>
      </c>
      <c r="D479" s="2" t="s">
        <v>1042</v>
      </c>
      <c r="E479" s="3" t="s">
        <v>1007</v>
      </c>
      <c r="F479" s="3">
        <v>73</v>
      </c>
      <c r="G479" s="3">
        <v>111</v>
      </c>
      <c r="H479" s="8">
        <v>3000</v>
      </c>
      <c r="I479" s="18"/>
    </row>
    <row r="480" spans="2:9" x14ac:dyDescent="0.3">
      <c r="B480" s="7">
        <v>478</v>
      </c>
      <c r="C480" s="3" t="s">
        <v>484</v>
      </c>
      <c r="D480" s="2" t="s">
        <v>1066</v>
      </c>
      <c r="E480" s="3" t="s">
        <v>1009</v>
      </c>
      <c r="F480" s="3">
        <v>200</v>
      </c>
      <c r="G480" s="3">
        <v>187</v>
      </c>
      <c r="H480" s="8">
        <v>800</v>
      </c>
      <c r="I480" s="18"/>
    </row>
    <row r="481" spans="2:9" x14ac:dyDescent="0.3">
      <c r="B481" s="7">
        <v>479</v>
      </c>
      <c r="C481" s="3" t="s">
        <v>485</v>
      </c>
      <c r="D481" s="2" t="s">
        <v>1040</v>
      </c>
      <c r="E481" s="3" t="s">
        <v>1007</v>
      </c>
      <c r="F481" s="3">
        <v>74</v>
      </c>
      <c r="G481" s="3">
        <v>142</v>
      </c>
      <c r="H481" s="8">
        <v>5000</v>
      </c>
      <c r="I481" s="18"/>
    </row>
    <row r="482" spans="2:9" x14ac:dyDescent="0.3">
      <c r="B482" s="7">
        <v>480</v>
      </c>
      <c r="C482" s="3" t="s">
        <v>486</v>
      </c>
      <c r="D482" s="2" t="s">
        <v>1062</v>
      </c>
      <c r="E482" s="3" t="s">
        <v>1009</v>
      </c>
      <c r="F482" s="3">
        <v>30</v>
      </c>
      <c r="G482" s="3">
        <v>153</v>
      </c>
      <c r="H482" s="8">
        <v>100</v>
      </c>
      <c r="I482" s="18"/>
    </row>
    <row r="483" spans="2:9" x14ac:dyDescent="0.3">
      <c r="B483" s="7">
        <v>481</v>
      </c>
      <c r="C483" s="3" t="s">
        <v>487</v>
      </c>
      <c r="D483" s="2" t="s">
        <v>1083</v>
      </c>
      <c r="E483" s="3" t="s">
        <v>1011</v>
      </c>
      <c r="F483" s="3">
        <v>158</v>
      </c>
      <c r="G483" s="3">
        <v>191</v>
      </c>
      <c r="H483" s="8">
        <v>3000</v>
      </c>
      <c r="I483" s="18"/>
    </row>
    <row r="484" spans="2:9" x14ac:dyDescent="0.3">
      <c r="B484" s="7">
        <v>482</v>
      </c>
      <c r="C484" s="3" t="s">
        <v>488</v>
      </c>
      <c r="D484" s="2" t="s">
        <v>1079</v>
      </c>
      <c r="E484" s="3" t="s">
        <v>1011</v>
      </c>
      <c r="F484" s="3">
        <v>153</v>
      </c>
      <c r="G484" s="3">
        <v>73</v>
      </c>
      <c r="H484" s="8">
        <v>5000</v>
      </c>
      <c r="I484" s="18"/>
    </row>
    <row r="485" spans="2:9" x14ac:dyDescent="0.3">
      <c r="B485" s="7">
        <v>483</v>
      </c>
      <c r="C485" s="3" t="s">
        <v>489</v>
      </c>
      <c r="D485" s="2" t="s">
        <v>1058</v>
      </c>
      <c r="E485" s="3" t="s">
        <v>1012</v>
      </c>
      <c r="F485" s="3">
        <v>60</v>
      </c>
      <c r="G485" s="3">
        <v>67</v>
      </c>
      <c r="H485" s="8">
        <v>500</v>
      </c>
      <c r="I485" s="18"/>
    </row>
    <row r="486" spans="2:9" x14ac:dyDescent="0.3">
      <c r="B486" s="7">
        <v>484</v>
      </c>
      <c r="C486" s="3" t="s">
        <v>490</v>
      </c>
      <c r="D486" s="2" t="s">
        <v>1059</v>
      </c>
      <c r="E486" s="3" t="s">
        <v>1012</v>
      </c>
      <c r="F486" s="3">
        <v>170</v>
      </c>
      <c r="G486" s="3">
        <v>168</v>
      </c>
      <c r="H486" s="8">
        <v>200</v>
      </c>
      <c r="I486" s="18"/>
    </row>
    <row r="487" spans="2:9" x14ac:dyDescent="0.3">
      <c r="B487" s="7">
        <v>485</v>
      </c>
      <c r="C487" s="3" t="s">
        <v>491</v>
      </c>
      <c r="D487" s="2" t="s">
        <v>1081</v>
      </c>
      <c r="E487" s="3" t="s">
        <v>1011</v>
      </c>
      <c r="F487" s="3">
        <v>72</v>
      </c>
      <c r="G487" s="3">
        <v>138</v>
      </c>
      <c r="H487" s="8">
        <v>1000</v>
      </c>
      <c r="I487" s="18"/>
    </row>
    <row r="488" spans="2:9" x14ac:dyDescent="0.3">
      <c r="B488" s="7">
        <v>486</v>
      </c>
      <c r="C488" s="3" t="s">
        <v>492</v>
      </c>
      <c r="D488" s="2" t="s">
        <v>1055</v>
      </c>
      <c r="E488" s="3" t="s">
        <v>1010</v>
      </c>
      <c r="F488" s="3">
        <v>199</v>
      </c>
      <c r="G488" s="3">
        <v>73</v>
      </c>
      <c r="H488" s="8">
        <v>50</v>
      </c>
      <c r="I488" s="18"/>
    </row>
    <row r="489" spans="2:9" x14ac:dyDescent="0.3">
      <c r="B489" s="7">
        <v>487</v>
      </c>
      <c r="C489" s="3" t="s">
        <v>493</v>
      </c>
      <c r="D489" s="2" t="s">
        <v>1038</v>
      </c>
      <c r="E489" s="3" t="s">
        <v>1007</v>
      </c>
      <c r="F489" s="3">
        <v>162</v>
      </c>
      <c r="G489" s="3">
        <v>162</v>
      </c>
      <c r="H489" s="8">
        <v>5000</v>
      </c>
      <c r="I489" s="18"/>
    </row>
    <row r="490" spans="2:9" x14ac:dyDescent="0.3">
      <c r="B490" s="7">
        <v>488</v>
      </c>
      <c r="C490" s="3" t="s">
        <v>494</v>
      </c>
      <c r="D490" s="2" t="s">
        <v>1028</v>
      </c>
      <c r="E490" s="3" t="s">
        <v>1008</v>
      </c>
      <c r="F490" s="3">
        <v>191</v>
      </c>
      <c r="G490" s="3">
        <v>191</v>
      </c>
      <c r="H490" s="8">
        <v>15000</v>
      </c>
      <c r="I490" s="18"/>
    </row>
    <row r="491" spans="2:9" x14ac:dyDescent="0.3">
      <c r="B491" s="7">
        <v>489</v>
      </c>
      <c r="C491" s="3" t="s">
        <v>495</v>
      </c>
      <c r="D491" s="2" t="s">
        <v>1055</v>
      </c>
      <c r="E491" s="3" t="s">
        <v>1010</v>
      </c>
      <c r="F491" s="3">
        <v>114</v>
      </c>
      <c r="G491" s="3">
        <v>114</v>
      </c>
      <c r="H491" s="8">
        <v>50</v>
      </c>
      <c r="I491" s="18"/>
    </row>
    <row r="492" spans="2:9" x14ac:dyDescent="0.3">
      <c r="B492" s="7">
        <v>490</v>
      </c>
      <c r="C492" s="3" t="s">
        <v>496</v>
      </c>
      <c r="D492" s="2" t="s">
        <v>1037</v>
      </c>
      <c r="E492" s="3" t="s">
        <v>1007</v>
      </c>
      <c r="F492" s="3">
        <v>40</v>
      </c>
      <c r="G492" s="3">
        <v>40</v>
      </c>
      <c r="H492" s="8">
        <v>10000</v>
      </c>
      <c r="I492" s="18"/>
    </row>
    <row r="493" spans="2:9" x14ac:dyDescent="0.3">
      <c r="B493" s="7">
        <v>491</v>
      </c>
      <c r="C493" s="3" t="s">
        <v>497</v>
      </c>
      <c r="D493" s="2" t="s">
        <v>1036</v>
      </c>
      <c r="E493" s="3" t="s">
        <v>1007</v>
      </c>
      <c r="F493" s="3">
        <v>109</v>
      </c>
      <c r="G493" s="3">
        <v>109</v>
      </c>
      <c r="H493" s="8">
        <v>8000</v>
      </c>
      <c r="I493" s="18"/>
    </row>
    <row r="494" spans="2:9" x14ac:dyDescent="0.3">
      <c r="B494" s="7">
        <v>492</v>
      </c>
      <c r="C494" s="3" t="s">
        <v>498</v>
      </c>
      <c r="D494" s="2" t="s">
        <v>1018</v>
      </c>
      <c r="E494" s="3" t="s">
        <v>1012</v>
      </c>
      <c r="F494" s="3">
        <v>113</v>
      </c>
      <c r="G494" s="3">
        <v>113</v>
      </c>
      <c r="H494" s="8">
        <v>3000</v>
      </c>
      <c r="I494" s="18"/>
    </row>
    <row r="495" spans="2:9" x14ac:dyDescent="0.3">
      <c r="B495" s="7">
        <v>493</v>
      </c>
      <c r="C495" s="3" t="s">
        <v>499</v>
      </c>
      <c r="D495" s="2" t="s">
        <v>1076</v>
      </c>
      <c r="E495" s="3" t="s">
        <v>1009</v>
      </c>
      <c r="F495" s="3">
        <v>178</v>
      </c>
      <c r="G495" s="3">
        <v>178</v>
      </c>
      <c r="H495" s="8">
        <v>100</v>
      </c>
      <c r="I495" s="18"/>
    </row>
    <row r="496" spans="2:9" x14ac:dyDescent="0.3">
      <c r="B496" s="7">
        <v>494</v>
      </c>
      <c r="C496" s="3" t="s">
        <v>500</v>
      </c>
      <c r="D496" s="2" t="s">
        <v>1071</v>
      </c>
      <c r="E496" s="3" t="s">
        <v>1009</v>
      </c>
      <c r="F496" s="3">
        <v>60</v>
      </c>
      <c r="G496" s="3">
        <v>60</v>
      </c>
      <c r="H496" s="8">
        <v>200</v>
      </c>
      <c r="I496" s="18"/>
    </row>
    <row r="497" spans="2:9" x14ac:dyDescent="0.3">
      <c r="B497" s="7">
        <v>495</v>
      </c>
      <c r="C497" s="3" t="s">
        <v>501</v>
      </c>
      <c r="D497" s="2" t="s">
        <v>1081</v>
      </c>
      <c r="E497" s="3" t="s">
        <v>1011</v>
      </c>
      <c r="F497" s="3">
        <v>73</v>
      </c>
      <c r="G497" s="3">
        <v>73</v>
      </c>
      <c r="H497" s="8">
        <v>1000</v>
      </c>
      <c r="I497" s="18"/>
    </row>
    <row r="498" spans="2:9" x14ac:dyDescent="0.3">
      <c r="B498" s="7">
        <v>496</v>
      </c>
      <c r="C498" s="3" t="s">
        <v>502</v>
      </c>
      <c r="D498" s="2" t="s">
        <v>1044</v>
      </c>
      <c r="E498" s="3" t="s">
        <v>1010</v>
      </c>
      <c r="F498" s="3">
        <v>88</v>
      </c>
      <c r="G498" s="3">
        <v>88</v>
      </c>
      <c r="H498" s="8">
        <v>100</v>
      </c>
      <c r="I498" s="18"/>
    </row>
    <row r="499" spans="2:9" x14ac:dyDescent="0.3">
      <c r="B499" s="7">
        <v>497</v>
      </c>
      <c r="C499" s="3" t="s">
        <v>503</v>
      </c>
      <c r="D499" s="2" t="s">
        <v>1067</v>
      </c>
      <c r="E499" s="3" t="s">
        <v>1009</v>
      </c>
      <c r="F499" s="3">
        <v>171</v>
      </c>
      <c r="G499" s="3">
        <v>171</v>
      </c>
      <c r="H499" s="8">
        <v>100</v>
      </c>
      <c r="I499" s="18"/>
    </row>
    <row r="500" spans="2:9" x14ac:dyDescent="0.3">
      <c r="B500" s="7">
        <v>498</v>
      </c>
      <c r="C500" s="3" t="s">
        <v>504</v>
      </c>
      <c r="D500" s="2" t="s">
        <v>1049</v>
      </c>
      <c r="E500" s="3" t="s">
        <v>1010</v>
      </c>
      <c r="F500" s="3">
        <v>42</v>
      </c>
      <c r="G500" s="3">
        <v>42</v>
      </c>
      <c r="H500" s="8">
        <v>20</v>
      </c>
      <c r="I500" s="18"/>
    </row>
    <row r="501" spans="2:9" x14ac:dyDescent="0.3">
      <c r="B501" s="7">
        <v>499</v>
      </c>
      <c r="C501" s="3" t="s">
        <v>505</v>
      </c>
      <c r="D501" s="2" t="s">
        <v>1075</v>
      </c>
      <c r="E501" s="3" t="s">
        <v>1009</v>
      </c>
      <c r="F501" s="3">
        <v>40</v>
      </c>
      <c r="G501" s="3">
        <v>40</v>
      </c>
      <c r="H501" s="8">
        <v>2000</v>
      </c>
      <c r="I501" s="18"/>
    </row>
    <row r="502" spans="2:9" x14ac:dyDescent="0.3">
      <c r="B502" s="7">
        <v>500</v>
      </c>
      <c r="C502" s="3" t="s">
        <v>506</v>
      </c>
      <c r="D502" s="2" t="s">
        <v>1032</v>
      </c>
      <c r="E502" s="3" t="s">
        <v>1008</v>
      </c>
      <c r="F502" s="3">
        <v>153</v>
      </c>
      <c r="G502" s="3">
        <v>153</v>
      </c>
      <c r="H502" s="8">
        <v>2000</v>
      </c>
      <c r="I502" s="18"/>
    </row>
    <row r="503" spans="2:9" x14ac:dyDescent="0.3">
      <c r="B503" s="7">
        <v>501</v>
      </c>
      <c r="C503" s="3" t="s">
        <v>507</v>
      </c>
      <c r="D503" s="2" t="s">
        <v>1030</v>
      </c>
      <c r="E503" s="3" t="s">
        <v>1008</v>
      </c>
      <c r="F503" s="3">
        <v>156</v>
      </c>
      <c r="G503" s="3">
        <v>156</v>
      </c>
      <c r="H503" s="8">
        <v>70000</v>
      </c>
      <c r="I503" s="18"/>
    </row>
    <row r="504" spans="2:9" x14ac:dyDescent="0.3">
      <c r="B504" s="7">
        <v>502</v>
      </c>
      <c r="C504" s="3" t="s">
        <v>508</v>
      </c>
      <c r="D504" s="2" t="s">
        <v>1027</v>
      </c>
      <c r="E504" s="3" t="s">
        <v>1008</v>
      </c>
      <c r="F504" s="3">
        <v>120</v>
      </c>
      <c r="G504" s="3">
        <v>67</v>
      </c>
      <c r="H504" s="8">
        <v>30000</v>
      </c>
      <c r="I504" s="18"/>
    </row>
    <row r="505" spans="2:9" x14ac:dyDescent="0.3">
      <c r="B505" s="7">
        <v>503</v>
      </c>
      <c r="C505" s="3" t="s">
        <v>509</v>
      </c>
      <c r="D505" s="2" t="s">
        <v>1085</v>
      </c>
      <c r="E505" s="3" t="s">
        <v>1011</v>
      </c>
      <c r="F505" s="3">
        <v>114</v>
      </c>
      <c r="G505" s="3">
        <v>133</v>
      </c>
      <c r="H505" s="8">
        <v>1500</v>
      </c>
      <c r="I505" s="18"/>
    </row>
    <row r="506" spans="2:9" x14ac:dyDescent="0.3">
      <c r="B506" s="7">
        <v>504</v>
      </c>
      <c r="C506" s="3" t="s">
        <v>510</v>
      </c>
      <c r="D506" s="2" t="s">
        <v>1056</v>
      </c>
      <c r="E506" s="3" t="s">
        <v>1012</v>
      </c>
      <c r="F506" s="3">
        <v>119</v>
      </c>
      <c r="G506" s="3">
        <v>170</v>
      </c>
      <c r="H506" s="8">
        <v>100</v>
      </c>
      <c r="I506" s="18"/>
    </row>
    <row r="507" spans="2:9" x14ac:dyDescent="0.3">
      <c r="B507" s="7">
        <v>505</v>
      </c>
      <c r="C507" s="3" t="s">
        <v>511</v>
      </c>
      <c r="D507" s="2" t="s">
        <v>1083</v>
      </c>
      <c r="E507" s="3" t="s">
        <v>1011</v>
      </c>
      <c r="F507" s="3">
        <v>70</v>
      </c>
      <c r="G507" s="3">
        <v>92</v>
      </c>
      <c r="H507" s="8">
        <v>3000</v>
      </c>
      <c r="I507" s="18"/>
    </row>
    <row r="508" spans="2:9" x14ac:dyDescent="0.3">
      <c r="B508" s="7">
        <v>506</v>
      </c>
      <c r="C508" s="3" t="s">
        <v>512</v>
      </c>
      <c r="D508" s="2" t="s">
        <v>1076</v>
      </c>
      <c r="E508" s="3" t="s">
        <v>1009</v>
      </c>
      <c r="F508" s="3">
        <v>186</v>
      </c>
      <c r="G508" s="3">
        <v>70</v>
      </c>
      <c r="H508" s="8">
        <v>100</v>
      </c>
      <c r="I508" s="18"/>
    </row>
    <row r="509" spans="2:9" x14ac:dyDescent="0.3">
      <c r="B509" s="7">
        <v>507</v>
      </c>
      <c r="C509" s="3" t="s">
        <v>513</v>
      </c>
      <c r="D509" s="2" t="s">
        <v>1038</v>
      </c>
      <c r="E509" s="3" t="s">
        <v>1007</v>
      </c>
      <c r="F509" s="3">
        <v>135</v>
      </c>
      <c r="G509" s="3">
        <v>154</v>
      </c>
      <c r="H509" s="8">
        <v>5000</v>
      </c>
      <c r="I509" s="18"/>
    </row>
    <row r="510" spans="2:9" x14ac:dyDescent="0.3">
      <c r="B510" s="7">
        <v>508</v>
      </c>
      <c r="C510" s="3" t="s">
        <v>514</v>
      </c>
      <c r="D510" s="2" t="s">
        <v>1076</v>
      </c>
      <c r="E510" s="3" t="s">
        <v>1009</v>
      </c>
      <c r="F510" s="3">
        <v>36</v>
      </c>
      <c r="G510" s="3">
        <v>41</v>
      </c>
      <c r="H510" s="8">
        <v>100</v>
      </c>
      <c r="I510" s="18"/>
    </row>
    <row r="511" spans="2:9" x14ac:dyDescent="0.3">
      <c r="B511" s="7">
        <v>509</v>
      </c>
      <c r="C511" s="3" t="s">
        <v>515</v>
      </c>
      <c r="D511" s="2" t="s">
        <v>1053</v>
      </c>
      <c r="E511" s="3" t="s">
        <v>1010</v>
      </c>
      <c r="F511" s="3">
        <v>52</v>
      </c>
      <c r="G511" s="3">
        <v>152</v>
      </c>
      <c r="H511" s="8">
        <v>10</v>
      </c>
      <c r="I511" s="18"/>
    </row>
    <row r="512" spans="2:9" x14ac:dyDescent="0.3">
      <c r="B512" s="7">
        <v>510</v>
      </c>
      <c r="C512" s="3" t="s">
        <v>516</v>
      </c>
      <c r="D512" s="2" t="s">
        <v>1038</v>
      </c>
      <c r="E512" s="3" t="s">
        <v>1007</v>
      </c>
      <c r="F512" s="3">
        <v>106</v>
      </c>
      <c r="G512" s="3">
        <v>85</v>
      </c>
      <c r="H512" s="8">
        <v>5000</v>
      </c>
      <c r="I512" s="18"/>
    </row>
    <row r="513" spans="2:9" x14ac:dyDescent="0.3">
      <c r="B513" s="7">
        <v>511</v>
      </c>
      <c r="C513" s="3" t="s">
        <v>517</v>
      </c>
      <c r="D513" s="2" t="s">
        <v>1060</v>
      </c>
      <c r="E513" s="3" t="s">
        <v>1012</v>
      </c>
      <c r="F513" s="3">
        <v>164</v>
      </c>
      <c r="G513" s="3">
        <v>92</v>
      </c>
      <c r="H513" s="8">
        <v>1500</v>
      </c>
      <c r="I513" s="18"/>
    </row>
    <row r="514" spans="2:9" x14ac:dyDescent="0.3">
      <c r="B514" s="7">
        <v>512</v>
      </c>
      <c r="C514" s="3" t="s">
        <v>518</v>
      </c>
      <c r="D514" s="2" t="s">
        <v>1047</v>
      </c>
      <c r="E514" s="3" t="s">
        <v>1010</v>
      </c>
      <c r="F514" s="3">
        <v>62</v>
      </c>
      <c r="G514" s="3">
        <v>52</v>
      </c>
      <c r="H514" s="8">
        <v>500</v>
      </c>
      <c r="I514" s="18"/>
    </row>
    <row r="515" spans="2:9" x14ac:dyDescent="0.3">
      <c r="B515" s="7">
        <v>513</v>
      </c>
      <c r="C515" s="3" t="s">
        <v>519</v>
      </c>
      <c r="D515" s="2" t="s">
        <v>1061</v>
      </c>
      <c r="E515" s="3" t="s">
        <v>1012</v>
      </c>
      <c r="F515" s="3">
        <v>35</v>
      </c>
      <c r="G515" s="3">
        <v>120</v>
      </c>
      <c r="H515" s="8">
        <v>500</v>
      </c>
      <c r="I515" s="18"/>
    </row>
    <row r="516" spans="2:9" x14ac:dyDescent="0.3">
      <c r="B516" s="7">
        <v>514</v>
      </c>
      <c r="C516" s="3" t="s">
        <v>520</v>
      </c>
      <c r="D516" s="2" t="s">
        <v>1081</v>
      </c>
      <c r="E516" s="3" t="s">
        <v>1011</v>
      </c>
      <c r="F516" s="3">
        <v>189</v>
      </c>
      <c r="G516" s="3">
        <v>83</v>
      </c>
      <c r="H516" s="8">
        <v>1000</v>
      </c>
      <c r="I516" s="18"/>
    </row>
    <row r="517" spans="2:9" x14ac:dyDescent="0.3">
      <c r="B517" s="7">
        <v>515</v>
      </c>
      <c r="C517" s="3" t="s">
        <v>521</v>
      </c>
      <c r="D517" s="2" t="s">
        <v>1044</v>
      </c>
      <c r="E517" s="3" t="s">
        <v>1010</v>
      </c>
      <c r="F517" s="3">
        <v>128</v>
      </c>
      <c r="G517" s="3">
        <v>75</v>
      </c>
      <c r="H517" s="8">
        <v>100</v>
      </c>
      <c r="I517" s="18"/>
    </row>
    <row r="518" spans="2:9" x14ac:dyDescent="0.3">
      <c r="B518" s="7">
        <v>516</v>
      </c>
      <c r="C518" s="3" t="s">
        <v>522</v>
      </c>
      <c r="D518" s="2" t="s">
        <v>1066</v>
      </c>
      <c r="E518" s="3" t="s">
        <v>1009</v>
      </c>
      <c r="F518" s="3">
        <v>158</v>
      </c>
      <c r="G518" s="3">
        <v>194</v>
      </c>
      <c r="H518" s="8">
        <v>800</v>
      </c>
      <c r="I518" s="18"/>
    </row>
    <row r="519" spans="2:9" x14ac:dyDescent="0.3">
      <c r="B519" s="7">
        <v>517</v>
      </c>
      <c r="C519" s="3" t="s">
        <v>523</v>
      </c>
      <c r="D519" s="2" t="s">
        <v>1023</v>
      </c>
      <c r="E519" s="3" t="s">
        <v>1008</v>
      </c>
      <c r="F519" s="3">
        <v>113</v>
      </c>
      <c r="G519" s="3">
        <v>149</v>
      </c>
      <c r="H519" s="8">
        <v>20000</v>
      </c>
      <c r="I519" s="18"/>
    </row>
    <row r="520" spans="2:9" x14ac:dyDescent="0.3">
      <c r="B520" s="7">
        <v>518</v>
      </c>
      <c r="C520" s="3" t="s">
        <v>524</v>
      </c>
      <c r="D520" s="2" t="s">
        <v>1060</v>
      </c>
      <c r="E520" s="3" t="s">
        <v>1012</v>
      </c>
      <c r="F520" s="3">
        <v>51</v>
      </c>
      <c r="G520" s="3">
        <v>37</v>
      </c>
      <c r="H520" s="8">
        <v>1500</v>
      </c>
      <c r="I520" s="18"/>
    </row>
    <row r="521" spans="2:9" x14ac:dyDescent="0.3">
      <c r="B521" s="7">
        <v>519</v>
      </c>
      <c r="C521" s="3" t="s">
        <v>525</v>
      </c>
      <c r="D521" s="2" t="s">
        <v>1026</v>
      </c>
      <c r="E521" s="3" t="s">
        <v>1008</v>
      </c>
      <c r="F521" s="3">
        <v>116</v>
      </c>
      <c r="G521" s="3">
        <v>170</v>
      </c>
      <c r="H521" s="8">
        <v>6000</v>
      </c>
      <c r="I521" s="18"/>
    </row>
    <row r="522" spans="2:9" x14ac:dyDescent="0.3">
      <c r="B522" s="7">
        <v>520</v>
      </c>
      <c r="C522" s="3" t="s">
        <v>526</v>
      </c>
      <c r="D522" s="2" t="s">
        <v>1040</v>
      </c>
      <c r="E522" s="3" t="s">
        <v>1007</v>
      </c>
      <c r="F522" s="3">
        <v>185</v>
      </c>
      <c r="G522" s="3">
        <v>161</v>
      </c>
      <c r="H522" s="8">
        <v>5000</v>
      </c>
      <c r="I522" s="18"/>
    </row>
    <row r="523" spans="2:9" x14ac:dyDescent="0.3">
      <c r="B523" s="7">
        <v>521</v>
      </c>
      <c r="C523" s="3" t="s">
        <v>527</v>
      </c>
      <c r="D523" s="2" t="s">
        <v>1057</v>
      </c>
      <c r="E523" s="3" t="s">
        <v>1012</v>
      </c>
      <c r="F523" s="3">
        <v>99</v>
      </c>
      <c r="G523" s="3">
        <v>178</v>
      </c>
      <c r="H523" s="8">
        <v>500</v>
      </c>
      <c r="I523" s="18"/>
    </row>
    <row r="524" spans="2:9" x14ac:dyDescent="0.3">
      <c r="B524" s="7">
        <v>522</v>
      </c>
      <c r="C524" s="3" t="s">
        <v>528</v>
      </c>
      <c r="D524" s="2" t="s">
        <v>1060</v>
      </c>
      <c r="E524" s="3" t="s">
        <v>1012</v>
      </c>
      <c r="F524" s="3">
        <v>183</v>
      </c>
      <c r="G524" s="3">
        <v>198</v>
      </c>
      <c r="H524" s="8">
        <v>1500</v>
      </c>
      <c r="I524" s="18"/>
    </row>
    <row r="525" spans="2:9" x14ac:dyDescent="0.3">
      <c r="B525" s="7">
        <v>523</v>
      </c>
      <c r="C525" s="3" t="s">
        <v>529</v>
      </c>
      <c r="D525" s="2" t="s">
        <v>1034</v>
      </c>
      <c r="E525" s="3" t="s">
        <v>1008</v>
      </c>
      <c r="F525" s="3">
        <v>140</v>
      </c>
      <c r="G525" s="3">
        <v>72</v>
      </c>
      <c r="H525" s="8">
        <v>50000</v>
      </c>
      <c r="I525" s="18"/>
    </row>
    <row r="526" spans="2:9" x14ac:dyDescent="0.3">
      <c r="B526" s="7">
        <v>524</v>
      </c>
      <c r="C526" s="3" t="s">
        <v>530</v>
      </c>
      <c r="D526" s="2" t="s">
        <v>1082</v>
      </c>
      <c r="E526" s="3" t="s">
        <v>1011</v>
      </c>
      <c r="F526" s="3">
        <v>100</v>
      </c>
      <c r="G526" s="3">
        <v>105</v>
      </c>
      <c r="H526" s="8">
        <v>2000</v>
      </c>
      <c r="I526" s="18"/>
    </row>
    <row r="527" spans="2:9" x14ac:dyDescent="0.3">
      <c r="B527" s="7">
        <v>525</v>
      </c>
      <c r="C527" s="3" t="s">
        <v>531</v>
      </c>
      <c r="D527" s="2" t="s">
        <v>1075</v>
      </c>
      <c r="E527" s="3" t="s">
        <v>1009</v>
      </c>
      <c r="F527" s="3">
        <v>185</v>
      </c>
      <c r="G527" s="3">
        <v>33</v>
      </c>
      <c r="H527" s="8">
        <v>2000</v>
      </c>
      <c r="I527" s="18"/>
    </row>
    <row r="528" spans="2:9" x14ac:dyDescent="0.3">
      <c r="B528" s="7">
        <v>526</v>
      </c>
      <c r="C528" s="3" t="s">
        <v>532</v>
      </c>
      <c r="D528" s="2" t="s">
        <v>1087</v>
      </c>
      <c r="E528" s="3" t="s">
        <v>1011</v>
      </c>
      <c r="F528" s="3">
        <v>189</v>
      </c>
      <c r="G528" s="3">
        <v>172</v>
      </c>
      <c r="H528" s="8">
        <v>5000</v>
      </c>
      <c r="I528" s="18"/>
    </row>
    <row r="529" spans="2:9" x14ac:dyDescent="0.3">
      <c r="B529" s="7">
        <v>527</v>
      </c>
      <c r="C529" s="3" t="s">
        <v>533</v>
      </c>
      <c r="D529" s="2" t="s">
        <v>1082</v>
      </c>
      <c r="E529" s="3" t="s">
        <v>1011</v>
      </c>
      <c r="F529" s="3">
        <v>52</v>
      </c>
      <c r="G529" s="3">
        <v>152</v>
      </c>
      <c r="H529" s="8">
        <v>2000</v>
      </c>
      <c r="I529" s="18"/>
    </row>
    <row r="530" spans="2:9" x14ac:dyDescent="0.3">
      <c r="B530" s="7">
        <v>528</v>
      </c>
      <c r="C530" s="3" t="s">
        <v>534</v>
      </c>
      <c r="D530" s="2" t="s">
        <v>1057</v>
      </c>
      <c r="E530" s="3" t="s">
        <v>1012</v>
      </c>
      <c r="F530" s="3">
        <v>118</v>
      </c>
      <c r="G530" s="3">
        <v>68</v>
      </c>
      <c r="H530" s="8">
        <v>500</v>
      </c>
      <c r="I530" s="18"/>
    </row>
    <row r="531" spans="2:9" x14ac:dyDescent="0.3">
      <c r="B531" s="7">
        <v>529</v>
      </c>
      <c r="C531" s="3" t="s">
        <v>535</v>
      </c>
      <c r="D531" s="2" t="s">
        <v>1027</v>
      </c>
      <c r="E531" s="3" t="s">
        <v>1008</v>
      </c>
      <c r="F531" s="3">
        <v>104</v>
      </c>
      <c r="G531" s="3">
        <v>104</v>
      </c>
      <c r="H531" s="8">
        <v>30000</v>
      </c>
      <c r="I531" s="18"/>
    </row>
    <row r="532" spans="2:9" x14ac:dyDescent="0.3">
      <c r="B532" s="7">
        <v>530</v>
      </c>
      <c r="C532" s="3" t="s">
        <v>536</v>
      </c>
      <c r="D532" s="2" t="s">
        <v>1087</v>
      </c>
      <c r="E532" s="3" t="s">
        <v>1011</v>
      </c>
      <c r="F532" s="3">
        <v>69</v>
      </c>
      <c r="G532" s="3">
        <v>87</v>
      </c>
      <c r="H532" s="8">
        <v>5000</v>
      </c>
      <c r="I532" s="18"/>
    </row>
    <row r="533" spans="2:9" x14ac:dyDescent="0.3">
      <c r="B533" s="7">
        <v>531</v>
      </c>
      <c r="C533" s="3" t="s">
        <v>537</v>
      </c>
      <c r="D533" s="2" t="s">
        <v>1064</v>
      </c>
      <c r="E533" s="3" t="s">
        <v>1009</v>
      </c>
      <c r="F533" s="3">
        <v>62</v>
      </c>
      <c r="G533" s="3">
        <v>145</v>
      </c>
      <c r="H533" s="8">
        <v>15000</v>
      </c>
      <c r="I533" s="18"/>
    </row>
    <row r="534" spans="2:9" x14ac:dyDescent="0.3">
      <c r="B534" s="7">
        <v>532</v>
      </c>
      <c r="C534" s="3" t="s">
        <v>538</v>
      </c>
      <c r="D534" s="2" t="s">
        <v>1080</v>
      </c>
      <c r="E534" s="3" t="s">
        <v>1011</v>
      </c>
      <c r="F534" s="3">
        <v>86</v>
      </c>
      <c r="G534" s="3">
        <v>143</v>
      </c>
      <c r="H534" s="8">
        <v>2500</v>
      </c>
      <c r="I534" s="18"/>
    </row>
    <row r="535" spans="2:9" x14ac:dyDescent="0.3">
      <c r="B535" s="7">
        <v>533</v>
      </c>
      <c r="C535" s="3" t="s">
        <v>539</v>
      </c>
      <c r="D535" s="2" t="s">
        <v>1059</v>
      </c>
      <c r="E535" s="3" t="s">
        <v>1012</v>
      </c>
      <c r="F535" s="3">
        <v>114</v>
      </c>
      <c r="G535" s="3">
        <v>198</v>
      </c>
      <c r="H535" s="8">
        <v>200</v>
      </c>
      <c r="I535" s="18"/>
    </row>
    <row r="536" spans="2:9" x14ac:dyDescent="0.3">
      <c r="B536" s="7">
        <v>534</v>
      </c>
      <c r="C536" s="3" t="s">
        <v>540</v>
      </c>
      <c r="D536" s="2" t="s">
        <v>1059</v>
      </c>
      <c r="E536" s="3" t="s">
        <v>1012</v>
      </c>
      <c r="F536" s="3">
        <v>142</v>
      </c>
      <c r="G536" s="3">
        <v>124</v>
      </c>
      <c r="H536" s="8">
        <v>200</v>
      </c>
      <c r="I536" s="18"/>
    </row>
    <row r="537" spans="2:9" x14ac:dyDescent="0.3">
      <c r="B537" s="7">
        <v>535</v>
      </c>
      <c r="C537" s="3" t="s">
        <v>541</v>
      </c>
      <c r="D537" s="2" t="s">
        <v>1032</v>
      </c>
      <c r="E537" s="3" t="s">
        <v>1008</v>
      </c>
      <c r="F537" s="3">
        <v>138</v>
      </c>
      <c r="G537" s="3">
        <v>44</v>
      </c>
      <c r="H537" s="8">
        <v>2000</v>
      </c>
      <c r="I537" s="18"/>
    </row>
    <row r="538" spans="2:9" x14ac:dyDescent="0.3">
      <c r="B538" s="7">
        <v>536</v>
      </c>
      <c r="C538" s="3" t="s">
        <v>542</v>
      </c>
      <c r="D538" s="2" t="s">
        <v>1071</v>
      </c>
      <c r="E538" s="3" t="s">
        <v>1009</v>
      </c>
      <c r="F538" s="3">
        <v>128</v>
      </c>
      <c r="G538" s="3">
        <v>116</v>
      </c>
      <c r="H538" s="8">
        <v>200</v>
      </c>
      <c r="I538" s="18"/>
    </row>
    <row r="539" spans="2:9" x14ac:dyDescent="0.3">
      <c r="B539" s="7">
        <v>537</v>
      </c>
      <c r="C539" s="3" t="s">
        <v>543</v>
      </c>
      <c r="D539" s="2" t="s">
        <v>1025</v>
      </c>
      <c r="E539" s="3" t="s">
        <v>1008</v>
      </c>
      <c r="F539" s="3">
        <v>177</v>
      </c>
      <c r="G539" s="3">
        <v>93</v>
      </c>
      <c r="H539" s="8">
        <v>30000</v>
      </c>
      <c r="I539" s="18"/>
    </row>
    <row r="540" spans="2:9" x14ac:dyDescent="0.3">
      <c r="B540" s="7">
        <v>538</v>
      </c>
      <c r="C540" s="3" t="s">
        <v>544</v>
      </c>
      <c r="D540" s="2" t="s">
        <v>1061</v>
      </c>
      <c r="E540" s="3" t="s">
        <v>1012</v>
      </c>
      <c r="F540" s="3">
        <v>148</v>
      </c>
      <c r="G540" s="3">
        <v>48</v>
      </c>
      <c r="H540" s="8">
        <v>500</v>
      </c>
      <c r="I540" s="18"/>
    </row>
    <row r="541" spans="2:9" x14ac:dyDescent="0.3">
      <c r="B541" s="7">
        <v>539</v>
      </c>
      <c r="C541" s="3" t="s">
        <v>545</v>
      </c>
      <c r="D541" s="2" t="s">
        <v>1072</v>
      </c>
      <c r="E541" s="3" t="s">
        <v>1009</v>
      </c>
      <c r="F541" s="3">
        <v>105</v>
      </c>
      <c r="G541" s="3">
        <v>99</v>
      </c>
      <c r="H541" s="8">
        <v>50</v>
      </c>
      <c r="I541" s="18"/>
    </row>
    <row r="542" spans="2:9" x14ac:dyDescent="0.3">
      <c r="B542" s="7">
        <v>540</v>
      </c>
      <c r="C542" s="3" t="s">
        <v>546</v>
      </c>
      <c r="D542" s="2" t="s">
        <v>1057</v>
      </c>
      <c r="E542" s="3" t="s">
        <v>1012</v>
      </c>
      <c r="F542" s="3">
        <v>141</v>
      </c>
      <c r="G542" s="3">
        <v>102</v>
      </c>
      <c r="H542" s="8">
        <v>500</v>
      </c>
      <c r="I542" s="18"/>
    </row>
    <row r="543" spans="2:9" x14ac:dyDescent="0.3">
      <c r="B543" s="7">
        <v>541</v>
      </c>
      <c r="C543" s="3" t="s">
        <v>547</v>
      </c>
      <c r="D543" s="2" t="s">
        <v>1030</v>
      </c>
      <c r="E543" s="3" t="s">
        <v>1008</v>
      </c>
      <c r="F543" s="3">
        <v>103</v>
      </c>
      <c r="G543" s="3">
        <v>95</v>
      </c>
      <c r="H543" s="8">
        <v>70000</v>
      </c>
      <c r="I543" s="18"/>
    </row>
    <row r="544" spans="2:9" x14ac:dyDescent="0.3">
      <c r="B544" s="7">
        <v>542</v>
      </c>
      <c r="C544" s="3" t="s">
        <v>548</v>
      </c>
      <c r="D544" s="2" t="s">
        <v>1035</v>
      </c>
      <c r="E544" s="3" t="s">
        <v>1007</v>
      </c>
      <c r="F544" s="3">
        <v>53</v>
      </c>
      <c r="G544" s="3">
        <v>152</v>
      </c>
      <c r="H544" s="8">
        <v>15000</v>
      </c>
      <c r="I544" s="18"/>
    </row>
    <row r="545" spans="2:9" x14ac:dyDescent="0.3">
      <c r="B545" s="7">
        <v>543</v>
      </c>
      <c r="C545" s="3" t="s">
        <v>549</v>
      </c>
      <c r="D545" s="2" t="s">
        <v>1045</v>
      </c>
      <c r="E545" s="3" t="s">
        <v>1010</v>
      </c>
      <c r="F545" s="3">
        <v>55</v>
      </c>
      <c r="G545" s="3">
        <v>143</v>
      </c>
      <c r="H545" s="8">
        <v>100</v>
      </c>
      <c r="I545" s="18"/>
    </row>
    <row r="546" spans="2:9" x14ac:dyDescent="0.3">
      <c r="B546" s="7">
        <v>544</v>
      </c>
      <c r="C546" s="3" t="s">
        <v>550</v>
      </c>
      <c r="D546" s="2" t="s">
        <v>1018</v>
      </c>
      <c r="E546" s="3" t="s">
        <v>1012</v>
      </c>
      <c r="F546" s="3">
        <v>102</v>
      </c>
      <c r="G546" s="3">
        <v>173</v>
      </c>
      <c r="H546" s="8">
        <v>3000</v>
      </c>
      <c r="I546" s="18"/>
    </row>
    <row r="547" spans="2:9" x14ac:dyDescent="0.3">
      <c r="B547" s="7">
        <v>545</v>
      </c>
      <c r="C547" s="3" t="s">
        <v>551</v>
      </c>
      <c r="D547" s="2" t="s">
        <v>1030</v>
      </c>
      <c r="E547" s="3" t="s">
        <v>1008</v>
      </c>
      <c r="F547" s="3">
        <v>137</v>
      </c>
      <c r="G547" s="3">
        <v>71</v>
      </c>
      <c r="H547" s="8">
        <v>70000</v>
      </c>
      <c r="I547" s="18"/>
    </row>
    <row r="548" spans="2:9" x14ac:dyDescent="0.3">
      <c r="B548" s="7">
        <v>546</v>
      </c>
      <c r="C548" s="3" t="s">
        <v>552</v>
      </c>
      <c r="D548" s="2" t="s">
        <v>1053</v>
      </c>
      <c r="E548" s="3" t="s">
        <v>1010</v>
      </c>
      <c r="F548" s="3">
        <v>46</v>
      </c>
      <c r="G548" s="3">
        <v>69</v>
      </c>
      <c r="H548" s="8">
        <v>10</v>
      </c>
      <c r="I548" s="18"/>
    </row>
    <row r="549" spans="2:9" x14ac:dyDescent="0.3">
      <c r="B549" s="7">
        <v>547</v>
      </c>
      <c r="C549" s="3" t="s">
        <v>553</v>
      </c>
      <c r="D549" s="2" t="s">
        <v>1071</v>
      </c>
      <c r="E549" s="3" t="s">
        <v>1009</v>
      </c>
      <c r="F549" s="3">
        <v>140</v>
      </c>
      <c r="G549" s="3">
        <v>85</v>
      </c>
      <c r="H549" s="8">
        <v>200</v>
      </c>
      <c r="I549" s="18"/>
    </row>
    <row r="550" spans="2:9" x14ac:dyDescent="0.3">
      <c r="B550" s="7">
        <v>548</v>
      </c>
      <c r="C550" s="3" t="s">
        <v>554</v>
      </c>
      <c r="D550" s="2" t="s">
        <v>1043</v>
      </c>
      <c r="E550" s="3" t="s">
        <v>1010</v>
      </c>
      <c r="F550" s="3">
        <v>41</v>
      </c>
      <c r="G550" s="3">
        <v>152</v>
      </c>
      <c r="H550" s="8">
        <v>50</v>
      </c>
      <c r="I550" s="18"/>
    </row>
    <row r="551" spans="2:9" x14ac:dyDescent="0.3">
      <c r="B551" s="7">
        <v>549</v>
      </c>
      <c r="C551" s="3" t="s">
        <v>555</v>
      </c>
      <c r="D551" s="2" t="s">
        <v>1028</v>
      </c>
      <c r="E551" s="3" t="s">
        <v>1008</v>
      </c>
      <c r="F551" s="3">
        <v>138</v>
      </c>
      <c r="G551" s="3">
        <v>194</v>
      </c>
      <c r="H551" s="8">
        <v>15000</v>
      </c>
      <c r="I551" s="18"/>
    </row>
    <row r="552" spans="2:9" x14ac:dyDescent="0.3">
      <c r="B552" s="7">
        <v>550</v>
      </c>
      <c r="C552" s="3" t="s">
        <v>556</v>
      </c>
      <c r="D552" s="2" t="s">
        <v>1079</v>
      </c>
      <c r="E552" s="3" t="s">
        <v>1011</v>
      </c>
      <c r="F552" s="3">
        <v>64</v>
      </c>
      <c r="G552" s="3">
        <v>77</v>
      </c>
      <c r="H552" s="8">
        <v>5000</v>
      </c>
      <c r="I552" s="18"/>
    </row>
    <row r="553" spans="2:9" x14ac:dyDescent="0.3">
      <c r="B553" s="7">
        <v>551</v>
      </c>
      <c r="C553" s="3" t="s">
        <v>557</v>
      </c>
      <c r="D553" s="2" t="s">
        <v>1082</v>
      </c>
      <c r="E553" s="3" t="s">
        <v>1011</v>
      </c>
      <c r="F553" s="3">
        <v>45</v>
      </c>
      <c r="G553" s="3">
        <v>39</v>
      </c>
      <c r="H553" s="8">
        <v>2000</v>
      </c>
      <c r="I553" s="18"/>
    </row>
    <row r="554" spans="2:9" x14ac:dyDescent="0.3">
      <c r="B554" s="7">
        <v>552</v>
      </c>
      <c r="C554" s="3" t="s">
        <v>558</v>
      </c>
      <c r="D554" s="2" t="s">
        <v>1022</v>
      </c>
      <c r="E554" s="3" t="s">
        <v>1008</v>
      </c>
      <c r="F554" s="3">
        <v>140</v>
      </c>
      <c r="G554" s="3">
        <v>78</v>
      </c>
      <c r="H554" s="8">
        <v>0</v>
      </c>
      <c r="I554" s="18"/>
    </row>
    <row r="555" spans="2:9" x14ac:dyDescent="0.3">
      <c r="B555" s="7">
        <v>553</v>
      </c>
      <c r="C555" s="3" t="s">
        <v>559</v>
      </c>
      <c r="D555" s="2" t="s">
        <v>1083</v>
      </c>
      <c r="E555" s="3" t="s">
        <v>1011</v>
      </c>
      <c r="F555" s="3">
        <v>126</v>
      </c>
      <c r="G555" s="3">
        <v>81</v>
      </c>
      <c r="H555" s="8">
        <v>3000</v>
      </c>
      <c r="I555" s="18"/>
    </row>
    <row r="556" spans="2:9" x14ac:dyDescent="0.3">
      <c r="B556" s="7">
        <v>554</v>
      </c>
      <c r="C556" s="3" t="s">
        <v>560</v>
      </c>
      <c r="D556" s="2" t="s">
        <v>1034</v>
      </c>
      <c r="E556" s="3" t="s">
        <v>1008</v>
      </c>
      <c r="F556" s="3">
        <v>165</v>
      </c>
      <c r="G556" s="3">
        <v>117</v>
      </c>
      <c r="H556" s="8">
        <v>50000</v>
      </c>
      <c r="I556" s="18"/>
    </row>
    <row r="557" spans="2:9" x14ac:dyDescent="0.3">
      <c r="B557" s="7">
        <v>555</v>
      </c>
      <c r="C557" s="3" t="s">
        <v>561</v>
      </c>
      <c r="D557" s="2" t="s">
        <v>1070</v>
      </c>
      <c r="E557" s="3" t="s">
        <v>1009</v>
      </c>
      <c r="F557" s="3">
        <v>70</v>
      </c>
      <c r="G557" s="3">
        <v>177</v>
      </c>
      <c r="H557" s="8">
        <v>1500</v>
      </c>
      <c r="I557" s="18"/>
    </row>
    <row r="558" spans="2:9" x14ac:dyDescent="0.3">
      <c r="B558" s="7">
        <v>556</v>
      </c>
      <c r="C558" s="3" t="s">
        <v>562</v>
      </c>
      <c r="D558" s="2" t="s">
        <v>1032</v>
      </c>
      <c r="E558" s="3" t="s">
        <v>1008</v>
      </c>
      <c r="F558" s="3">
        <v>39</v>
      </c>
      <c r="G558" s="3">
        <v>68</v>
      </c>
      <c r="H558" s="8">
        <v>2000</v>
      </c>
      <c r="I558" s="18"/>
    </row>
    <row r="559" spans="2:9" x14ac:dyDescent="0.3">
      <c r="B559" s="7">
        <v>557</v>
      </c>
      <c r="C559" s="3" t="s">
        <v>563</v>
      </c>
      <c r="D559" s="2" t="s">
        <v>1084</v>
      </c>
      <c r="E559" s="3" t="s">
        <v>1011</v>
      </c>
      <c r="F559" s="3">
        <v>34</v>
      </c>
      <c r="G559" s="3">
        <v>152</v>
      </c>
      <c r="H559" s="8">
        <v>2000</v>
      </c>
      <c r="I559" s="18"/>
    </row>
    <row r="560" spans="2:9" x14ac:dyDescent="0.3">
      <c r="B560" s="7">
        <v>558</v>
      </c>
      <c r="C560" s="3" t="s">
        <v>564</v>
      </c>
      <c r="D560" s="2" t="s">
        <v>1040</v>
      </c>
      <c r="E560" s="3" t="s">
        <v>1007</v>
      </c>
      <c r="F560" s="3">
        <v>47</v>
      </c>
      <c r="G560" s="3">
        <v>173</v>
      </c>
      <c r="H560" s="8">
        <v>5000</v>
      </c>
      <c r="I560" s="18"/>
    </row>
    <row r="561" spans="2:9" x14ac:dyDescent="0.3">
      <c r="B561" s="7">
        <v>559</v>
      </c>
      <c r="C561" s="3" t="s">
        <v>565</v>
      </c>
      <c r="D561" s="2" t="s">
        <v>1018</v>
      </c>
      <c r="E561" s="3" t="s">
        <v>1012</v>
      </c>
      <c r="F561" s="3">
        <v>43</v>
      </c>
      <c r="G561" s="3">
        <v>119</v>
      </c>
      <c r="H561" s="8">
        <v>3000</v>
      </c>
      <c r="I561" s="18"/>
    </row>
    <row r="562" spans="2:9" x14ac:dyDescent="0.3">
      <c r="B562" s="7">
        <v>560</v>
      </c>
      <c r="C562" s="3" t="s">
        <v>566</v>
      </c>
      <c r="D562" s="2" t="s">
        <v>1037</v>
      </c>
      <c r="E562" s="3" t="s">
        <v>1007</v>
      </c>
      <c r="F562" s="3">
        <v>182</v>
      </c>
      <c r="G562" s="3">
        <v>114</v>
      </c>
      <c r="H562" s="8">
        <v>10000</v>
      </c>
      <c r="I562" s="18"/>
    </row>
    <row r="563" spans="2:9" x14ac:dyDescent="0.3">
      <c r="B563" s="7">
        <v>561</v>
      </c>
      <c r="C563" s="3" t="s">
        <v>567</v>
      </c>
      <c r="D563" s="2" t="s">
        <v>1058</v>
      </c>
      <c r="E563" s="3" t="s">
        <v>1012</v>
      </c>
      <c r="F563" s="3">
        <v>139</v>
      </c>
      <c r="G563" s="3">
        <v>112</v>
      </c>
      <c r="H563" s="8">
        <v>500</v>
      </c>
      <c r="I563" s="18"/>
    </row>
    <row r="564" spans="2:9" x14ac:dyDescent="0.3">
      <c r="B564" s="7">
        <v>562</v>
      </c>
      <c r="C564" s="3" t="s">
        <v>568</v>
      </c>
      <c r="D564" s="2" t="s">
        <v>1056</v>
      </c>
      <c r="E564" s="3" t="s">
        <v>1012</v>
      </c>
      <c r="F564" s="3">
        <v>124</v>
      </c>
      <c r="G564" s="3">
        <v>124</v>
      </c>
      <c r="H564" s="8">
        <v>100</v>
      </c>
      <c r="I564" s="18"/>
    </row>
    <row r="565" spans="2:9" x14ac:dyDescent="0.3">
      <c r="B565" s="7">
        <v>563</v>
      </c>
      <c r="C565" s="3" t="s">
        <v>569</v>
      </c>
      <c r="D565" s="2" t="s">
        <v>1018</v>
      </c>
      <c r="E565" s="3" t="s">
        <v>1012</v>
      </c>
      <c r="F565" s="3">
        <v>73</v>
      </c>
      <c r="G565" s="3">
        <v>73</v>
      </c>
      <c r="H565" s="8">
        <v>3000</v>
      </c>
      <c r="I565" s="18"/>
    </row>
    <row r="566" spans="2:9" x14ac:dyDescent="0.3">
      <c r="B566" s="7">
        <v>564</v>
      </c>
      <c r="C566" s="3" t="s">
        <v>570</v>
      </c>
      <c r="D566" s="2" t="s">
        <v>1018</v>
      </c>
      <c r="E566" s="3" t="s">
        <v>1012</v>
      </c>
      <c r="F566" s="3">
        <v>134</v>
      </c>
      <c r="G566" s="3">
        <v>134</v>
      </c>
      <c r="H566" s="8">
        <v>3000</v>
      </c>
      <c r="I566" s="18"/>
    </row>
    <row r="567" spans="2:9" x14ac:dyDescent="0.3">
      <c r="B567" s="7">
        <v>565</v>
      </c>
      <c r="C567" s="3" t="s">
        <v>571</v>
      </c>
      <c r="D567" s="2" t="s">
        <v>1081</v>
      </c>
      <c r="E567" s="3" t="s">
        <v>1011</v>
      </c>
      <c r="F567" s="3">
        <v>139</v>
      </c>
      <c r="G567" s="3">
        <v>139</v>
      </c>
      <c r="H567" s="8">
        <v>1000</v>
      </c>
      <c r="I567" s="18"/>
    </row>
    <row r="568" spans="2:9" x14ac:dyDescent="0.3">
      <c r="B568" s="7">
        <v>566</v>
      </c>
      <c r="C568" s="3" t="s">
        <v>572</v>
      </c>
      <c r="D568" s="2" t="s">
        <v>1044</v>
      </c>
      <c r="E568" s="3" t="s">
        <v>1010</v>
      </c>
      <c r="F568" s="3">
        <v>191</v>
      </c>
      <c r="G568" s="3">
        <v>191</v>
      </c>
      <c r="H568" s="8">
        <v>100</v>
      </c>
      <c r="I568" s="18"/>
    </row>
    <row r="569" spans="2:9" x14ac:dyDescent="0.3">
      <c r="B569" s="7">
        <v>567</v>
      </c>
      <c r="C569" s="3" t="s">
        <v>573</v>
      </c>
      <c r="D569" s="2" t="s">
        <v>1079</v>
      </c>
      <c r="E569" s="3" t="s">
        <v>1011</v>
      </c>
      <c r="F569" s="3">
        <v>174</v>
      </c>
      <c r="G569" s="3">
        <v>174</v>
      </c>
      <c r="H569" s="8">
        <v>5000</v>
      </c>
      <c r="I569" s="18"/>
    </row>
    <row r="570" spans="2:9" x14ac:dyDescent="0.3">
      <c r="B570" s="7">
        <v>568</v>
      </c>
      <c r="C570" s="3" t="s">
        <v>574</v>
      </c>
      <c r="D570" s="2" t="s">
        <v>1075</v>
      </c>
      <c r="E570" s="3" t="s">
        <v>1009</v>
      </c>
      <c r="F570" s="3">
        <v>118</v>
      </c>
      <c r="G570" s="3">
        <v>118</v>
      </c>
      <c r="H570" s="8">
        <v>2000</v>
      </c>
      <c r="I570" s="18"/>
    </row>
    <row r="571" spans="2:9" x14ac:dyDescent="0.3">
      <c r="B571" s="7">
        <v>569</v>
      </c>
      <c r="C571" s="3" t="s">
        <v>575</v>
      </c>
      <c r="D571" s="2" t="s">
        <v>1057</v>
      </c>
      <c r="E571" s="3" t="s">
        <v>1012</v>
      </c>
      <c r="F571" s="3">
        <v>80</v>
      </c>
      <c r="G571" s="3">
        <v>80</v>
      </c>
      <c r="H571" s="8">
        <v>500</v>
      </c>
      <c r="I571" s="18"/>
    </row>
    <row r="572" spans="2:9" x14ac:dyDescent="0.3">
      <c r="B572" s="7">
        <v>570</v>
      </c>
      <c r="C572" s="3" t="s">
        <v>576</v>
      </c>
      <c r="D572" s="2" t="s">
        <v>1035</v>
      </c>
      <c r="E572" s="3" t="s">
        <v>1007</v>
      </c>
      <c r="F572" s="3">
        <v>180</v>
      </c>
      <c r="G572" s="3">
        <v>180</v>
      </c>
      <c r="H572" s="8">
        <v>15000</v>
      </c>
      <c r="I572" s="18"/>
    </row>
    <row r="573" spans="2:9" x14ac:dyDescent="0.3">
      <c r="B573" s="7">
        <v>571</v>
      </c>
      <c r="C573" s="3" t="s">
        <v>577</v>
      </c>
      <c r="D573" s="2" t="s">
        <v>1052</v>
      </c>
      <c r="E573" s="3" t="s">
        <v>1010</v>
      </c>
      <c r="F573" s="3">
        <v>193</v>
      </c>
      <c r="G573" s="3">
        <v>193</v>
      </c>
      <c r="H573" s="8">
        <v>100</v>
      </c>
      <c r="I573" s="18"/>
    </row>
    <row r="574" spans="2:9" x14ac:dyDescent="0.3">
      <c r="B574" s="7">
        <v>572</v>
      </c>
      <c r="C574" s="3" t="s">
        <v>578</v>
      </c>
      <c r="D574" s="2" t="s">
        <v>1031</v>
      </c>
      <c r="E574" s="3" t="s">
        <v>1008</v>
      </c>
      <c r="F574" s="3">
        <v>89</v>
      </c>
      <c r="G574" s="3">
        <v>89</v>
      </c>
      <c r="H574" s="8">
        <v>40000</v>
      </c>
      <c r="I574" s="18"/>
    </row>
    <row r="575" spans="2:9" x14ac:dyDescent="0.3">
      <c r="B575" s="7">
        <v>573</v>
      </c>
      <c r="C575" s="3" t="s">
        <v>579</v>
      </c>
      <c r="D575" s="2" t="s">
        <v>1031</v>
      </c>
      <c r="E575" s="3" t="s">
        <v>1008</v>
      </c>
      <c r="F575" s="3">
        <v>196</v>
      </c>
      <c r="G575" s="3">
        <v>196</v>
      </c>
      <c r="H575" s="8">
        <v>40000</v>
      </c>
      <c r="I575" s="18"/>
    </row>
    <row r="576" spans="2:9" x14ac:dyDescent="0.3">
      <c r="B576" s="7">
        <v>574</v>
      </c>
      <c r="C576" s="3" t="s">
        <v>580</v>
      </c>
      <c r="D576" s="2" t="s">
        <v>1042</v>
      </c>
      <c r="E576" s="3" t="s">
        <v>1007</v>
      </c>
      <c r="F576" s="3">
        <v>162</v>
      </c>
      <c r="G576" s="3">
        <v>162</v>
      </c>
      <c r="H576" s="8">
        <v>3000</v>
      </c>
      <c r="I576" s="18"/>
    </row>
    <row r="577" spans="2:9" x14ac:dyDescent="0.3">
      <c r="B577" s="7">
        <v>575</v>
      </c>
      <c r="C577" s="3" t="s">
        <v>581</v>
      </c>
      <c r="D577" s="2" t="s">
        <v>1082</v>
      </c>
      <c r="E577" s="3" t="s">
        <v>1011</v>
      </c>
      <c r="F577" s="3">
        <v>128</v>
      </c>
      <c r="G577" s="3">
        <v>128</v>
      </c>
      <c r="H577" s="8">
        <v>2000</v>
      </c>
      <c r="I577" s="18"/>
    </row>
    <row r="578" spans="2:9" x14ac:dyDescent="0.3">
      <c r="B578" s="7">
        <v>576</v>
      </c>
      <c r="C578" s="3" t="s">
        <v>582</v>
      </c>
      <c r="D578" s="2" t="s">
        <v>1037</v>
      </c>
      <c r="E578" s="3" t="s">
        <v>1007</v>
      </c>
      <c r="F578" s="3">
        <v>171</v>
      </c>
      <c r="G578" s="3">
        <v>171</v>
      </c>
      <c r="H578" s="8">
        <v>10000</v>
      </c>
      <c r="I578" s="18"/>
    </row>
    <row r="579" spans="2:9" x14ac:dyDescent="0.3">
      <c r="B579" s="7">
        <v>577</v>
      </c>
      <c r="C579" s="3" t="s">
        <v>583</v>
      </c>
      <c r="D579" s="2" t="s">
        <v>1058</v>
      </c>
      <c r="E579" s="3" t="s">
        <v>1012</v>
      </c>
      <c r="F579" s="3">
        <v>47</v>
      </c>
      <c r="G579" s="3">
        <v>47</v>
      </c>
      <c r="H579" s="8">
        <v>500</v>
      </c>
      <c r="I579" s="18"/>
    </row>
    <row r="580" spans="2:9" x14ac:dyDescent="0.3">
      <c r="B580" s="7">
        <v>578</v>
      </c>
      <c r="C580" s="3" t="s">
        <v>584</v>
      </c>
      <c r="D580" s="2" t="s">
        <v>1029</v>
      </c>
      <c r="E580" s="3" t="s">
        <v>1008</v>
      </c>
      <c r="F580" s="3">
        <v>78</v>
      </c>
      <c r="G580" s="3">
        <v>78</v>
      </c>
      <c r="H580" s="8">
        <v>3000</v>
      </c>
      <c r="I580" s="18"/>
    </row>
    <row r="581" spans="2:9" x14ac:dyDescent="0.3">
      <c r="B581" s="7">
        <v>579</v>
      </c>
      <c r="C581" s="3" t="s">
        <v>585</v>
      </c>
      <c r="D581" s="2" t="s">
        <v>1079</v>
      </c>
      <c r="E581" s="3" t="s">
        <v>1011</v>
      </c>
      <c r="F581" s="3">
        <v>190</v>
      </c>
      <c r="G581" s="3">
        <v>190</v>
      </c>
      <c r="H581" s="8">
        <v>5000</v>
      </c>
      <c r="I581" s="18"/>
    </row>
    <row r="582" spans="2:9" x14ac:dyDescent="0.3">
      <c r="B582" s="7">
        <v>580</v>
      </c>
      <c r="C582" s="3" t="s">
        <v>586</v>
      </c>
      <c r="D582" s="2" t="s">
        <v>1036</v>
      </c>
      <c r="E582" s="3" t="s">
        <v>1007</v>
      </c>
      <c r="F582" s="3">
        <v>133</v>
      </c>
      <c r="G582" s="3">
        <v>133</v>
      </c>
      <c r="H582" s="8">
        <v>8000</v>
      </c>
      <c r="I582" s="18"/>
    </row>
    <row r="583" spans="2:9" x14ac:dyDescent="0.3">
      <c r="B583" s="7">
        <v>581</v>
      </c>
      <c r="C583" s="3" t="s">
        <v>587</v>
      </c>
      <c r="D583" s="2" t="s">
        <v>1058</v>
      </c>
      <c r="E583" s="3" t="s">
        <v>1012</v>
      </c>
      <c r="F583" s="3">
        <v>63</v>
      </c>
      <c r="G583" s="3">
        <v>63</v>
      </c>
      <c r="H583" s="8">
        <v>500</v>
      </c>
      <c r="I583" s="18"/>
    </row>
    <row r="584" spans="2:9" x14ac:dyDescent="0.3">
      <c r="B584" s="7">
        <v>582</v>
      </c>
      <c r="C584" s="3" t="s">
        <v>588</v>
      </c>
      <c r="D584" s="2" t="s">
        <v>1082</v>
      </c>
      <c r="E584" s="3" t="s">
        <v>1011</v>
      </c>
      <c r="F584" s="3">
        <v>98</v>
      </c>
      <c r="G584" s="3">
        <v>98</v>
      </c>
      <c r="H584" s="8">
        <v>2000</v>
      </c>
      <c r="I584" s="18"/>
    </row>
    <row r="585" spans="2:9" x14ac:dyDescent="0.3">
      <c r="B585" s="7">
        <v>583</v>
      </c>
      <c r="C585" s="3" t="s">
        <v>589</v>
      </c>
      <c r="D585" s="2" t="s">
        <v>1046</v>
      </c>
      <c r="E585" s="3" t="s">
        <v>1010</v>
      </c>
      <c r="F585" s="3">
        <v>121</v>
      </c>
      <c r="G585" s="3">
        <v>121</v>
      </c>
      <c r="H585" s="8">
        <v>100</v>
      </c>
      <c r="I585" s="18"/>
    </row>
    <row r="586" spans="2:9" x14ac:dyDescent="0.3">
      <c r="B586" s="7">
        <v>584</v>
      </c>
      <c r="C586" s="3" t="s">
        <v>590</v>
      </c>
      <c r="D586" s="2" t="s">
        <v>1049</v>
      </c>
      <c r="E586" s="3" t="s">
        <v>1010</v>
      </c>
      <c r="F586" s="3">
        <v>37</v>
      </c>
      <c r="G586" s="3">
        <v>37</v>
      </c>
      <c r="H586" s="8">
        <v>20</v>
      </c>
      <c r="I586" s="18"/>
    </row>
    <row r="587" spans="2:9" x14ac:dyDescent="0.3">
      <c r="B587" s="7">
        <v>585</v>
      </c>
      <c r="C587" s="3" t="s">
        <v>591</v>
      </c>
      <c r="D587" s="2" t="s">
        <v>1058</v>
      </c>
      <c r="E587" s="3" t="s">
        <v>1012</v>
      </c>
      <c r="F587" s="3">
        <v>133</v>
      </c>
      <c r="G587" s="3">
        <v>133</v>
      </c>
      <c r="H587" s="8">
        <v>500</v>
      </c>
      <c r="I587" s="18"/>
    </row>
    <row r="588" spans="2:9" x14ac:dyDescent="0.3">
      <c r="B588" s="7">
        <v>586</v>
      </c>
      <c r="C588" s="3" t="s">
        <v>592</v>
      </c>
      <c r="D588" s="2" t="s">
        <v>1039</v>
      </c>
      <c r="E588" s="3" t="s">
        <v>1007</v>
      </c>
      <c r="F588" s="3">
        <v>155</v>
      </c>
      <c r="G588" s="3">
        <v>155</v>
      </c>
      <c r="H588" s="8">
        <v>12000</v>
      </c>
      <c r="I588" s="18"/>
    </row>
    <row r="589" spans="2:9" x14ac:dyDescent="0.3">
      <c r="B589" s="7">
        <v>587</v>
      </c>
      <c r="C589" s="3" t="s">
        <v>593</v>
      </c>
      <c r="D589" s="2" t="s">
        <v>1059</v>
      </c>
      <c r="E589" s="3" t="s">
        <v>1012</v>
      </c>
      <c r="F589" s="3">
        <v>60</v>
      </c>
      <c r="G589" s="3">
        <v>60</v>
      </c>
      <c r="H589" s="8">
        <v>200</v>
      </c>
      <c r="I589" s="18"/>
    </row>
    <row r="590" spans="2:9" x14ac:dyDescent="0.3">
      <c r="B590" s="7">
        <v>588</v>
      </c>
      <c r="C590" s="3" t="s">
        <v>594</v>
      </c>
      <c r="D590" s="2" t="s">
        <v>1059</v>
      </c>
      <c r="E590" s="3" t="s">
        <v>1012</v>
      </c>
      <c r="F590" s="3">
        <v>75</v>
      </c>
      <c r="G590" s="3">
        <v>75</v>
      </c>
      <c r="H590" s="8">
        <v>200</v>
      </c>
      <c r="I590" s="18"/>
    </row>
    <row r="591" spans="2:9" x14ac:dyDescent="0.3">
      <c r="B591" s="7">
        <v>589</v>
      </c>
      <c r="C591" s="3" t="s">
        <v>595</v>
      </c>
      <c r="D591" s="2" t="s">
        <v>1065</v>
      </c>
      <c r="E591" s="3" t="s">
        <v>1009</v>
      </c>
      <c r="F591" s="3">
        <v>130</v>
      </c>
      <c r="G591" s="3">
        <v>130</v>
      </c>
      <c r="H591" s="8">
        <v>200</v>
      </c>
      <c r="I591" s="18"/>
    </row>
    <row r="592" spans="2:9" x14ac:dyDescent="0.3">
      <c r="B592" s="7">
        <v>590</v>
      </c>
      <c r="C592" s="3" t="s">
        <v>596</v>
      </c>
      <c r="D592" s="2" t="s">
        <v>1035</v>
      </c>
      <c r="E592" s="3" t="s">
        <v>1007</v>
      </c>
      <c r="F592" s="3">
        <v>173</v>
      </c>
      <c r="G592" s="3">
        <v>173</v>
      </c>
      <c r="H592" s="8">
        <v>15000</v>
      </c>
      <c r="I592" s="18"/>
    </row>
    <row r="593" spans="2:9" x14ac:dyDescent="0.3">
      <c r="B593" s="7">
        <v>591</v>
      </c>
      <c r="C593" s="3" t="s">
        <v>597</v>
      </c>
      <c r="D593" s="2" t="s">
        <v>1027</v>
      </c>
      <c r="E593" s="3" t="s">
        <v>1008</v>
      </c>
      <c r="F593" s="3">
        <v>133</v>
      </c>
      <c r="G593" s="3">
        <v>133</v>
      </c>
      <c r="H593" s="8">
        <v>30000</v>
      </c>
      <c r="I593" s="18"/>
    </row>
    <row r="594" spans="2:9" x14ac:dyDescent="0.3">
      <c r="B594" s="7">
        <v>592</v>
      </c>
      <c r="C594" s="3" t="s">
        <v>598</v>
      </c>
      <c r="D594" s="2" t="s">
        <v>1022</v>
      </c>
      <c r="E594" s="3" t="s">
        <v>1008</v>
      </c>
      <c r="F594" s="3">
        <v>176</v>
      </c>
      <c r="G594" s="3">
        <v>176</v>
      </c>
      <c r="H594" s="8">
        <v>0</v>
      </c>
      <c r="I594" s="18"/>
    </row>
    <row r="595" spans="2:9" x14ac:dyDescent="0.3">
      <c r="B595" s="7">
        <v>593</v>
      </c>
      <c r="C595" s="3" t="s">
        <v>599</v>
      </c>
      <c r="D595" s="2" t="s">
        <v>1084</v>
      </c>
      <c r="E595" s="3" t="s">
        <v>1011</v>
      </c>
      <c r="F595" s="3">
        <v>36</v>
      </c>
      <c r="G595" s="3">
        <v>36</v>
      </c>
      <c r="H595" s="8">
        <v>2000</v>
      </c>
      <c r="I595" s="18"/>
    </row>
    <row r="596" spans="2:9" x14ac:dyDescent="0.3">
      <c r="B596" s="7">
        <v>594</v>
      </c>
      <c r="C596" s="3" t="s">
        <v>600</v>
      </c>
      <c r="D596" s="2" t="s">
        <v>1024</v>
      </c>
      <c r="E596" s="3" t="s">
        <v>1008</v>
      </c>
      <c r="F596" s="3">
        <v>132</v>
      </c>
      <c r="G596" s="3">
        <v>132</v>
      </c>
      <c r="H596" s="8">
        <v>150000</v>
      </c>
      <c r="I596" s="18"/>
    </row>
    <row r="597" spans="2:9" x14ac:dyDescent="0.3">
      <c r="B597" s="7">
        <v>595</v>
      </c>
      <c r="C597" s="3" t="s">
        <v>601</v>
      </c>
      <c r="D597" s="2" t="s">
        <v>1047</v>
      </c>
      <c r="E597" s="3" t="s">
        <v>1010</v>
      </c>
      <c r="F597" s="3">
        <v>41</v>
      </c>
      <c r="G597" s="3">
        <v>41</v>
      </c>
      <c r="H597" s="8">
        <v>500</v>
      </c>
      <c r="I597" s="18"/>
    </row>
    <row r="598" spans="2:9" x14ac:dyDescent="0.3">
      <c r="B598" s="7">
        <v>596</v>
      </c>
      <c r="C598" s="3" t="s">
        <v>602</v>
      </c>
      <c r="D598" s="2" t="s">
        <v>1025</v>
      </c>
      <c r="E598" s="3" t="s">
        <v>1008</v>
      </c>
      <c r="F598" s="3">
        <v>106</v>
      </c>
      <c r="G598" s="3">
        <v>106</v>
      </c>
      <c r="H598" s="8">
        <v>30000</v>
      </c>
      <c r="I598" s="18"/>
    </row>
    <row r="599" spans="2:9" x14ac:dyDescent="0.3">
      <c r="B599" s="7">
        <v>597</v>
      </c>
      <c r="C599" s="3" t="s">
        <v>603</v>
      </c>
      <c r="D599" s="2" t="s">
        <v>1028</v>
      </c>
      <c r="E599" s="3" t="s">
        <v>1008</v>
      </c>
      <c r="F599" s="3">
        <v>108</v>
      </c>
      <c r="G599" s="3">
        <v>108</v>
      </c>
      <c r="H599" s="8">
        <v>15000</v>
      </c>
      <c r="I599" s="18"/>
    </row>
    <row r="600" spans="2:9" x14ac:dyDescent="0.3">
      <c r="B600" s="7">
        <v>598</v>
      </c>
      <c r="C600" s="3" t="s">
        <v>604</v>
      </c>
      <c r="D600" s="2" t="s">
        <v>1040</v>
      </c>
      <c r="E600" s="3" t="s">
        <v>1007</v>
      </c>
      <c r="F600" s="3">
        <v>50</v>
      </c>
      <c r="G600" s="3">
        <v>50</v>
      </c>
      <c r="H600" s="8">
        <v>5000</v>
      </c>
      <c r="I600" s="18"/>
    </row>
    <row r="601" spans="2:9" x14ac:dyDescent="0.3">
      <c r="B601" s="7">
        <v>599</v>
      </c>
      <c r="C601" s="3" t="s">
        <v>605</v>
      </c>
      <c r="D601" s="2" t="s">
        <v>1044</v>
      </c>
      <c r="E601" s="3" t="s">
        <v>1010</v>
      </c>
      <c r="F601" s="3">
        <v>144</v>
      </c>
      <c r="G601" s="3">
        <v>144</v>
      </c>
      <c r="H601" s="8">
        <v>100</v>
      </c>
      <c r="I601" s="18"/>
    </row>
    <row r="602" spans="2:9" x14ac:dyDescent="0.3">
      <c r="B602" s="7">
        <v>600</v>
      </c>
      <c r="C602" s="3" t="s">
        <v>606</v>
      </c>
      <c r="D602" s="2" t="s">
        <v>1042</v>
      </c>
      <c r="E602" s="3" t="s">
        <v>1007</v>
      </c>
      <c r="F602" s="3">
        <v>75</v>
      </c>
      <c r="G602" s="3">
        <v>75</v>
      </c>
      <c r="H602" s="8">
        <v>3000</v>
      </c>
      <c r="I602" s="18"/>
    </row>
    <row r="603" spans="2:9" x14ac:dyDescent="0.3">
      <c r="B603" s="7">
        <v>601</v>
      </c>
      <c r="C603" s="3" t="s">
        <v>607</v>
      </c>
      <c r="D603" s="2" t="s">
        <v>1022</v>
      </c>
      <c r="E603" s="3" t="s">
        <v>1008</v>
      </c>
      <c r="F603" s="3">
        <v>112</v>
      </c>
      <c r="G603" s="3">
        <v>112</v>
      </c>
      <c r="H603" s="8">
        <v>0</v>
      </c>
      <c r="I603" s="18"/>
    </row>
    <row r="604" spans="2:9" x14ac:dyDescent="0.3">
      <c r="B604" s="7">
        <v>602</v>
      </c>
      <c r="C604" s="3" t="s">
        <v>608</v>
      </c>
      <c r="D604" s="2" t="s">
        <v>1085</v>
      </c>
      <c r="E604" s="3" t="s">
        <v>1011</v>
      </c>
      <c r="F604" s="3">
        <v>49</v>
      </c>
      <c r="G604" s="3">
        <v>49</v>
      </c>
      <c r="H604" s="8">
        <v>1500</v>
      </c>
      <c r="I604" s="18"/>
    </row>
    <row r="605" spans="2:9" x14ac:dyDescent="0.3">
      <c r="B605" s="7">
        <v>603</v>
      </c>
      <c r="C605" s="3" t="s">
        <v>609</v>
      </c>
      <c r="D605" s="2" t="s">
        <v>1056</v>
      </c>
      <c r="E605" s="3" t="s">
        <v>1012</v>
      </c>
      <c r="F605" s="3">
        <v>52</v>
      </c>
      <c r="G605" s="3">
        <v>52</v>
      </c>
      <c r="H605" s="8">
        <v>100</v>
      </c>
      <c r="I605" s="18"/>
    </row>
    <row r="606" spans="2:9" x14ac:dyDescent="0.3">
      <c r="B606" s="7">
        <v>604</v>
      </c>
      <c r="C606" s="3" t="s">
        <v>610</v>
      </c>
      <c r="D606" s="2" t="s">
        <v>1076</v>
      </c>
      <c r="E606" s="3" t="s">
        <v>1009</v>
      </c>
      <c r="F606" s="3">
        <v>40</v>
      </c>
      <c r="G606" s="3">
        <v>40</v>
      </c>
      <c r="H606" s="8">
        <v>100</v>
      </c>
      <c r="I606" s="18"/>
    </row>
    <row r="607" spans="2:9" x14ac:dyDescent="0.3">
      <c r="B607" s="7">
        <v>605</v>
      </c>
      <c r="C607" s="3" t="s">
        <v>611</v>
      </c>
      <c r="D607" s="2" t="s">
        <v>1051</v>
      </c>
      <c r="E607" s="3" t="s">
        <v>1010</v>
      </c>
      <c r="F607" s="3">
        <v>164</v>
      </c>
      <c r="G607" s="3">
        <v>62</v>
      </c>
      <c r="H607" s="8">
        <v>50</v>
      </c>
      <c r="I607" s="18"/>
    </row>
    <row r="608" spans="2:9" x14ac:dyDescent="0.3">
      <c r="B608" s="7">
        <v>606</v>
      </c>
      <c r="C608" s="3" t="s">
        <v>612</v>
      </c>
      <c r="D608" s="2" t="s">
        <v>1086</v>
      </c>
      <c r="E608" s="3" t="s">
        <v>1011</v>
      </c>
      <c r="F608" s="3">
        <v>123</v>
      </c>
      <c r="G608" s="3">
        <v>52</v>
      </c>
      <c r="H608" s="8">
        <v>4500</v>
      </c>
      <c r="I608" s="18"/>
    </row>
    <row r="609" spans="2:9" x14ac:dyDescent="0.3">
      <c r="B609" s="7">
        <v>607</v>
      </c>
      <c r="C609" s="3" t="s">
        <v>613</v>
      </c>
      <c r="D609" s="2" t="s">
        <v>1029</v>
      </c>
      <c r="E609" s="3" t="s">
        <v>1008</v>
      </c>
      <c r="F609" s="3">
        <v>174</v>
      </c>
      <c r="G609" s="3">
        <v>124</v>
      </c>
      <c r="H609" s="8">
        <v>3000</v>
      </c>
      <c r="I609" s="18"/>
    </row>
    <row r="610" spans="2:9" x14ac:dyDescent="0.3">
      <c r="B610" s="7">
        <v>608</v>
      </c>
      <c r="C610" s="3" t="s">
        <v>614</v>
      </c>
      <c r="D610" s="2" t="s">
        <v>1066</v>
      </c>
      <c r="E610" s="3" t="s">
        <v>1009</v>
      </c>
      <c r="F610" s="3">
        <v>39</v>
      </c>
      <c r="G610" s="3">
        <v>103</v>
      </c>
      <c r="H610" s="8">
        <v>800</v>
      </c>
      <c r="I610" s="18"/>
    </row>
    <row r="611" spans="2:9" x14ac:dyDescent="0.3">
      <c r="B611" s="7">
        <v>609</v>
      </c>
      <c r="C611" s="3" t="s">
        <v>615</v>
      </c>
      <c r="D611" s="2" t="s">
        <v>1018</v>
      </c>
      <c r="E611" s="3" t="s">
        <v>1012</v>
      </c>
      <c r="F611" s="3">
        <v>196</v>
      </c>
      <c r="G611" s="3">
        <v>32</v>
      </c>
      <c r="H611" s="8">
        <v>3000</v>
      </c>
      <c r="I611" s="18"/>
    </row>
    <row r="612" spans="2:9" x14ac:dyDescent="0.3">
      <c r="B612" s="7">
        <v>610</v>
      </c>
      <c r="C612" s="3" t="s">
        <v>616</v>
      </c>
      <c r="D612" s="2" t="s">
        <v>1081</v>
      </c>
      <c r="E612" s="3" t="s">
        <v>1011</v>
      </c>
      <c r="F612" s="3">
        <v>198</v>
      </c>
      <c r="G612" s="3">
        <v>156</v>
      </c>
      <c r="H612" s="8">
        <v>1000</v>
      </c>
      <c r="I612" s="18"/>
    </row>
    <row r="613" spans="2:9" x14ac:dyDescent="0.3">
      <c r="B613" s="7">
        <v>611</v>
      </c>
      <c r="C613" s="3" t="s">
        <v>617</v>
      </c>
      <c r="D613" s="2" t="s">
        <v>1040</v>
      </c>
      <c r="E613" s="3" t="s">
        <v>1007</v>
      </c>
      <c r="F613" s="3">
        <v>132</v>
      </c>
      <c r="G613" s="3">
        <v>195</v>
      </c>
      <c r="H613" s="8">
        <v>5000</v>
      </c>
      <c r="I613" s="18"/>
    </row>
    <row r="614" spans="2:9" x14ac:dyDescent="0.3">
      <c r="B614" s="7">
        <v>612</v>
      </c>
      <c r="C614" s="3" t="s">
        <v>618</v>
      </c>
      <c r="D614" s="2" t="s">
        <v>1039</v>
      </c>
      <c r="E614" s="3" t="s">
        <v>1007</v>
      </c>
      <c r="F614" s="3">
        <v>126</v>
      </c>
      <c r="G614" s="3">
        <v>50</v>
      </c>
      <c r="H614" s="8">
        <v>12000</v>
      </c>
      <c r="I614" s="18"/>
    </row>
    <row r="615" spans="2:9" x14ac:dyDescent="0.3">
      <c r="B615" s="7">
        <v>613</v>
      </c>
      <c r="C615" s="3" t="s">
        <v>619</v>
      </c>
      <c r="D615" s="2" t="s">
        <v>1042</v>
      </c>
      <c r="E615" s="3" t="s">
        <v>1007</v>
      </c>
      <c r="F615" s="3">
        <v>74</v>
      </c>
      <c r="G615" s="3">
        <v>124</v>
      </c>
      <c r="H615" s="8">
        <v>3000</v>
      </c>
      <c r="I615" s="18"/>
    </row>
    <row r="616" spans="2:9" x14ac:dyDescent="0.3">
      <c r="B616" s="7">
        <v>614</v>
      </c>
      <c r="C616" s="3" t="s">
        <v>620</v>
      </c>
      <c r="D616" s="2" t="s">
        <v>1040</v>
      </c>
      <c r="E616" s="3" t="s">
        <v>1007</v>
      </c>
      <c r="F616" s="3">
        <v>177</v>
      </c>
      <c r="G616" s="3">
        <v>181</v>
      </c>
      <c r="H616" s="8">
        <v>5000</v>
      </c>
      <c r="I616" s="18"/>
    </row>
    <row r="617" spans="2:9" x14ac:dyDescent="0.3">
      <c r="B617" s="7">
        <v>615</v>
      </c>
      <c r="C617" s="3" t="s">
        <v>621</v>
      </c>
      <c r="D617" s="2" t="s">
        <v>1073</v>
      </c>
      <c r="E617" s="3" t="s">
        <v>1009</v>
      </c>
      <c r="F617" s="3">
        <v>189</v>
      </c>
      <c r="G617" s="3">
        <v>41</v>
      </c>
      <c r="H617" s="8">
        <v>100</v>
      </c>
      <c r="I617" s="18"/>
    </row>
    <row r="618" spans="2:9" x14ac:dyDescent="0.3">
      <c r="B618" s="7">
        <v>616</v>
      </c>
      <c r="C618" s="3" t="s">
        <v>622</v>
      </c>
      <c r="D618" s="2" t="s">
        <v>1060</v>
      </c>
      <c r="E618" s="3" t="s">
        <v>1012</v>
      </c>
      <c r="F618" s="3">
        <v>113</v>
      </c>
      <c r="G618" s="3">
        <v>113</v>
      </c>
      <c r="H618" s="8">
        <v>1500</v>
      </c>
      <c r="I618" s="18"/>
    </row>
    <row r="619" spans="2:9" x14ac:dyDescent="0.3">
      <c r="B619" s="7">
        <v>617</v>
      </c>
      <c r="C619" s="3" t="s">
        <v>623</v>
      </c>
      <c r="D619" s="2" t="s">
        <v>1067</v>
      </c>
      <c r="E619" s="3" t="s">
        <v>1009</v>
      </c>
      <c r="F619" s="3">
        <v>133</v>
      </c>
      <c r="G619" s="3">
        <v>133</v>
      </c>
      <c r="H619" s="8">
        <v>100</v>
      </c>
      <c r="I619" s="18"/>
    </row>
    <row r="620" spans="2:9" x14ac:dyDescent="0.3">
      <c r="B620" s="7">
        <v>618</v>
      </c>
      <c r="C620" s="3" t="s">
        <v>624</v>
      </c>
      <c r="D620" s="2" t="s">
        <v>1033</v>
      </c>
      <c r="E620" s="3" t="s">
        <v>1008</v>
      </c>
      <c r="F620" s="3">
        <v>175</v>
      </c>
      <c r="G620" s="3">
        <v>175</v>
      </c>
      <c r="H620" s="8">
        <v>4000</v>
      </c>
      <c r="I620" s="18"/>
    </row>
    <row r="621" spans="2:9" x14ac:dyDescent="0.3">
      <c r="B621" s="7">
        <v>619</v>
      </c>
      <c r="C621" s="3" t="s">
        <v>625</v>
      </c>
      <c r="D621" s="2" t="s">
        <v>1071</v>
      </c>
      <c r="E621" s="3" t="s">
        <v>1009</v>
      </c>
      <c r="F621" s="3">
        <v>59</v>
      </c>
      <c r="G621" s="3">
        <v>59</v>
      </c>
      <c r="H621" s="8">
        <v>200</v>
      </c>
      <c r="I621" s="18"/>
    </row>
    <row r="622" spans="2:9" x14ac:dyDescent="0.3">
      <c r="B622" s="7">
        <v>620</v>
      </c>
      <c r="C622" s="3" t="s">
        <v>626</v>
      </c>
      <c r="D622" s="2" t="s">
        <v>1034</v>
      </c>
      <c r="E622" s="3" t="s">
        <v>1008</v>
      </c>
      <c r="F622" s="3">
        <v>66</v>
      </c>
      <c r="G622" s="3">
        <v>66</v>
      </c>
      <c r="H622" s="8">
        <v>50000</v>
      </c>
      <c r="I622" s="18"/>
    </row>
    <row r="623" spans="2:9" x14ac:dyDescent="0.3">
      <c r="B623" s="7">
        <v>621</v>
      </c>
      <c r="C623" s="3" t="s">
        <v>627</v>
      </c>
      <c r="D623" s="2" t="s">
        <v>1059</v>
      </c>
      <c r="E623" s="3" t="s">
        <v>1012</v>
      </c>
      <c r="F623" s="3">
        <v>189</v>
      </c>
      <c r="G623" s="3">
        <v>189</v>
      </c>
      <c r="H623" s="8">
        <v>200</v>
      </c>
      <c r="I623" s="18"/>
    </row>
    <row r="624" spans="2:9" x14ac:dyDescent="0.3">
      <c r="B624" s="7">
        <v>622</v>
      </c>
      <c r="C624" s="3" t="s">
        <v>628</v>
      </c>
      <c r="D624" s="2" t="s">
        <v>1062</v>
      </c>
      <c r="E624" s="3" t="s">
        <v>1009</v>
      </c>
      <c r="F624" s="3">
        <v>174</v>
      </c>
      <c r="G624" s="3">
        <v>174</v>
      </c>
      <c r="H624" s="8">
        <v>100</v>
      </c>
      <c r="I624" s="18"/>
    </row>
    <row r="625" spans="2:9" x14ac:dyDescent="0.3">
      <c r="B625" s="7">
        <v>623</v>
      </c>
      <c r="C625" s="3" t="s">
        <v>629</v>
      </c>
      <c r="D625" s="2" t="s">
        <v>1036</v>
      </c>
      <c r="E625" s="3" t="s">
        <v>1007</v>
      </c>
      <c r="F625" s="3">
        <v>152</v>
      </c>
      <c r="G625" s="3">
        <v>152</v>
      </c>
      <c r="H625" s="8">
        <v>8000</v>
      </c>
      <c r="I625" s="18"/>
    </row>
    <row r="626" spans="2:9" x14ac:dyDescent="0.3">
      <c r="B626" s="7">
        <v>624</v>
      </c>
      <c r="C626" s="3" t="s">
        <v>630</v>
      </c>
      <c r="D626" s="2" t="s">
        <v>1087</v>
      </c>
      <c r="E626" s="3" t="s">
        <v>1011</v>
      </c>
      <c r="F626" s="3">
        <v>98</v>
      </c>
      <c r="G626" s="3">
        <v>98</v>
      </c>
      <c r="H626" s="8">
        <v>5000</v>
      </c>
      <c r="I626" s="18"/>
    </row>
    <row r="627" spans="2:9" x14ac:dyDescent="0.3">
      <c r="B627" s="7">
        <v>625</v>
      </c>
      <c r="C627" s="3" t="s">
        <v>631</v>
      </c>
      <c r="D627" s="2" t="s">
        <v>1066</v>
      </c>
      <c r="E627" s="3" t="s">
        <v>1009</v>
      </c>
      <c r="F627" s="3">
        <v>124</v>
      </c>
      <c r="G627" s="3">
        <v>124</v>
      </c>
      <c r="H627" s="8">
        <v>800</v>
      </c>
      <c r="I627" s="18"/>
    </row>
    <row r="628" spans="2:9" x14ac:dyDescent="0.3">
      <c r="B628" s="7">
        <v>626</v>
      </c>
      <c r="C628" s="3" t="s">
        <v>632</v>
      </c>
      <c r="D628" s="2" t="s">
        <v>1025</v>
      </c>
      <c r="E628" s="3" t="s">
        <v>1008</v>
      </c>
      <c r="F628" s="3">
        <v>68</v>
      </c>
      <c r="G628" s="3">
        <v>68</v>
      </c>
      <c r="H628" s="8">
        <v>30000</v>
      </c>
      <c r="I628" s="18"/>
    </row>
    <row r="629" spans="2:9" x14ac:dyDescent="0.3">
      <c r="B629" s="7">
        <v>627</v>
      </c>
      <c r="C629" s="3" t="s">
        <v>633</v>
      </c>
      <c r="D629" s="2" t="s">
        <v>1080</v>
      </c>
      <c r="E629" s="3" t="s">
        <v>1011</v>
      </c>
      <c r="F629" s="3">
        <v>30</v>
      </c>
      <c r="G629" s="3">
        <v>30</v>
      </c>
      <c r="H629" s="8">
        <v>2500</v>
      </c>
      <c r="I629" s="18"/>
    </row>
    <row r="630" spans="2:9" x14ac:dyDescent="0.3">
      <c r="B630" s="7">
        <v>628</v>
      </c>
      <c r="C630" s="3" t="s">
        <v>634</v>
      </c>
      <c r="D630" s="2" t="s">
        <v>1077</v>
      </c>
      <c r="E630" s="3" t="s">
        <v>1011</v>
      </c>
      <c r="F630" s="3">
        <v>194</v>
      </c>
      <c r="G630" s="3">
        <v>194</v>
      </c>
      <c r="H630" s="8">
        <v>5000</v>
      </c>
      <c r="I630" s="18"/>
    </row>
    <row r="631" spans="2:9" x14ac:dyDescent="0.3">
      <c r="B631" s="7">
        <v>629</v>
      </c>
      <c r="C631" s="3" t="s">
        <v>635</v>
      </c>
      <c r="D631" s="2" t="s">
        <v>1047</v>
      </c>
      <c r="E631" s="3" t="s">
        <v>1010</v>
      </c>
      <c r="F631" s="3">
        <v>65</v>
      </c>
      <c r="G631" s="3">
        <v>65</v>
      </c>
      <c r="H631" s="8">
        <v>500</v>
      </c>
      <c r="I631" s="18"/>
    </row>
    <row r="632" spans="2:9" x14ac:dyDescent="0.3">
      <c r="B632" s="7">
        <v>630</v>
      </c>
      <c r="C632" s="3" t="s">
        <v>636</v>
      </c>
      <c r="D632" s="2" t="s">
        <v>1059</v>
      </c>
      <c r="E632" s="3" t="s">
        <v>1012</v>
      </c>
      <c r="F632" s="3">
        <v>167</v>
      </c>
      <c r="G632" s="3">
        <v>167</v>
      </c>
      <c r="H632" s="8">
        <v>200</v>
      </c>
      <c r="I632" s="18"/>
    </row>
    <row r="633" spans="2:9" x14ac:dyDescent="0.3">
      <c r="B633" s="7">
        <v>631</v>
      </c>
      <c r="C633" s="3" t="s">
        <v>637</v>
      </c>
      <c r="D633" s="2" t="s">
        <v>1071</v>
      </c>
      <c r="E633" s="3" t="s">
        <v>1009</v>
      </c>
      <c r="F633" s="3">
        <v>171</v>
      </c>
      <c r="G633" s="3">
        <v>171</v>
      </c>
      <c r="H633" s="8">
        <v>200</v>
      </c>
      <c r="I633" s="18"/>
    </row>
    <row r="634" spans="2:9" x14ac:dyDescent="0.3">
      <c r="B634" s="7">
        <v>632</v>
      </c>
      <c r="C634" s="3" t="s">
        <v>638</v>
      </c>
      <c r="D634" s="2" t="s">
        <v>1051</v>
      </c>
      <c r="E634" s="3" t="s">
        <v>1010</v>
      </c>
      <c r="F634" s="3">
        <v>153</v>
      </c>
      <c r="G634" s="3">
        <v>153</v>
      </c>
      <c r="H634" s="8">
        <v>50</v>
      </c>
      <c r="I634" s="18"/>
    </row>
    <row r="635" spans="2:9" x14ac:dyDescent="0.3">
      <c r="B635" s="7">
        <v>633</v>
      </c>
      <c r="C635" s="3" t="s">
        <v>639</v>
      </c>
      <c r="D635" s="2" t="s">
        <v>1063</v>
      </c>
      <c r="E635" s="3" t="s">
        <v>1009</v>
      </c>
      <c r="F635" s="3">
        <v>109</v>
      </c>
      <c r="G635" s="3">
        <v>109</v>
      </c>
      <c r="H635" s="8">
        <v>4500</v>
      </c>
      <c r="I635" s="18"/>
    </row>
    <row r="636" spans="2:9" x14ac:dyDescent="0.3">
      <c r="B636" s="7">
        <v>634</v>
      </c>
      <c r="C636" s="3" t="s">
        <v>640</v>
      </c>
      <c r="D636" s="2" t="s">
        <v>1039</v>
      </c>
      <c r="E636" s="3" t="s">
        <v>1007</v>
      </c>
      <c r="F636" s="3">
        <v>161</v>
      </c>
      <c r="G636" s="3">
        <v>161</v>
      </c>
      <c r="H636" s="8">
        <v>12000</v>
      </c>
      <c r="I636" s="18"/>
    </row>
    <row r="637" spans="2:9" x14ac:dyDescent="0.3">
      <c r="B637" s="7">
        <v>635</v>
      </c>
      <c r="C637" s="3" t="s">
        <v>641</v>
      </c>
      <c r="D637" s="2" t="s">
        <v>1056</v>
      </c>
      <c r="E637" s="3" t="s">
        <v>1012</v>
      </c>
      <c r="F637" s="3">
        <v>55</v>
      </c>
      <c r="G637" s="3">
        <v>55</v>
      </c>
      <c r="H637" s="8">
        <v>100</v>
      </c>
      <c r="I637" s="18"/>
    </row>
    <row r="638" spans="2:9" x14ac:dyDescent="0.3">
      <c r="B638" s="7">
        <v>636</v>
      </c>
      <c r="C638" s="3" t="s">
        <v>642</v>
      </c>
      <c r="D638" s="2" t="s">
        <v>1067</v>
      </c>
      <c r="E638" s="3" t="s">
        <v>1009</v>
      </c>
      <c r="F638" s="3">
        <v>181</v>
      </c>
      <c r="G638" s="3">
        <v>181</v>
      </c>
      <c r="H638" s="8">
        <v>100</v>
      </c>
      <c r="I638" s="18"/>
    </row>
    <row r="639" spans="2:9" x14ac:dyDescent="0.3">
      <c r="B639" s="7">
        <v>637</v>
      </c>
      <c r="C639" s="3" t="s">
        <v>643</v>
      </c>
      <c r="D639" s="2" t="s">
        <v>1054</v>
      </c>
      <c r="E639" s="3" t="s">
        <v>1010</v>
      </c>
      <c r="F639" s="3">
        <v>155</v>
      </c>
      <c r="G639" s="3">
        <v>155</v>
      </c>
      <c r="H639" s="8">
        <v>30</v>
      </c>
      <c r="I639" s="18"/>
    </row>
    <row r="640" spans="2:9" x14ac:dyDescent="0.3">
      <c r="B640" s="7">
        <v>638</v>
      </c>
      <c r="C640" s="3" t="s">
        <v>644</v>
      </c>
      <c r="D640" s="2" t="s">
        <v>1082</v>
      </c>
      <c r="E640" s="3" t="s">
        <v>1011</v>
      </c>
      <c r="F640" s="3">
        <v>43</v>
      </c>
      <c r="G640" s="3">
        <v>43</v>
      </c>
      <c r="H640" s="8">
        <v>2000</v>
      </c>
      <c r="I640" s="18"/>
    </row>
    <row r="641" spans="2:9" x14ac:dyDescent="0.3">
      <c r="B641" s="7">
        <v>639</v>
      </c>
      <c r="C641" s="3" t="s">
        <v>645</v>
      </c>
      <c r="D641" s="2" t="s">
        <v>1025</v>
      </c>
      <c r="E641" s="3" t="s">
        <v>1008</v>
      </c>
      <c r="F641" s="3">
        <v>133</v>
      </c>
      <c r="G641" s="3">
        <v>133</v>
      </c>
      <c r="H641" s="8">
        <v>30000</v>
      </c>
      <c r="I641" s="18"/>
    </row>
    <row r="642" spans="2:9" x14ac:dyDescent="0.3">
      <c r="B642" s="7">
        <v>640</v>
      </c>
      <c r="C642" s="3" t="s">
        <v>646</v>
      </c>
      <c r="D642" s="2" t="s">
        <v>1023</v>
      </c>
      <c r="E642" s="3" t="s">
        <v>1008</v>
      </c>
      <c r="F642" s="3">
        <v>122</v>
      </c>
      <c r="G642" s="3">
        <v>122</v>
      </c>
      <c r="H642" s="8">
        <v>20000</v>
      </c>
      <c r="I642" s="18"/>
    </row>
    <row r="643" spans="2:9" x14ac:dyDescent="0.3">
      <c r="B643" s="7">
        <v>641</v>
      </c>
      <c r="C643" s="3" t="s">
        <v>647</v>
      </c>
      <c r="D643" s="2" t="s">
        <v>1049</v>
      </c>
      <c r="E643" s="3" t="s">
        <v>1010</v>
      </c>
      <c r="F643" s="3">
        <v>140</v>
      </c>
      <c r="G643" s="3">
        <v>140</v>
      </c>
      <c r="H643" s="8">
        <v>20</v>
      </c>
      <c r="I643" s="18"/>
    </row>
    <row r="644" spans="2:9" x14ac:dyDescent="0.3">
      <c r="B644" s="7">
        <v>642</v>
      </c>
      <c r="C644" s="3" t="s">
        <v>648</v>
      </c>
      <c r="D644" s="2" t="s">
        <v>1079</v>
      </c>
      <c r="E644" s="3" t="s">
        <v>1011</v>
      </c>
      <c r="F644" s="3">
        <v>164</v>
      </c>
      <c r="G644" s="3">
        <v>164</v>
      </c>
      <c r="H644" s="8">
        <v>5000</v>
      </c>
      <c r="I644" s="18"/>
    </row>
    <row r="645" spans="2:9" x14ac:dyDescent="0.3">
      <c r="B645" s="7">
        <v>643</v>
      </c>
      <c r="C645" s="3" t="s">
        <v>649</v>
      </c>
      <c r="D645" s="2" t="s">
        <v>1075</v>
      </c>
      <c r="E645" s="3" t="s">
        <v>1009</v>
      </c>
      <c r="F645" s="3">
        <v>105</v>
      </c>
      <c r="G645" s="3">
        <v>105</v>
      </c>
      <c r="H645" s="8">
        <v>2000</v>
      </c>
      <c r="I645" s="18"/>
    </row>
    <row r="646" spans="2:9" x14ac:dyDescent="0.3">
      <c r="B646" s="7">
        <v>644</v>
      </c>
      <c r="C646" s="3" t="s">
        <v>650</v>
      </c>
      <c r="D646" s="2" t="s">
        <v>1064</v>
      </c>
      <c r="E646" s="3" t="s">
        <v>1009</v>
      </c>
      <c r="F646" s="3">
        <v>63</v>
      </c>
      <c r="G646" s="3">
        <v>63</v>
      </c>
      <c r="H646" s="8">
        <v>15000</v>
      </c>
      <c r="I646" s="18"/>
    </row>
    <row r="647" spans="2:9" x14ac:dyDescent="0.3">
      <c r="B647" s="7">
        <v>645</v>
      </c>
      <c r="C647" s="3" t="s">
        <v>651</v>
      </c>
      <c r="D647" s="2" t="s">
        <v>1024</v>
      </c>
      <c r="E647" s="3" t="s">
        <v>1008</v>
      </c>
      <c r="F647" s="3">
        <v>156</v>
      </c>
      <c r="G647" s="3">
        <v>156</v>
      </c>
      <c r="H647" s="8">
        <v>150000</v>
      </c>
      <c r="I647" s="18"/>
    </row>
    <row r="648" spans="2:9" x14ac:dyDescent="0.3">
      <c r="B648" s="7">
        <v>646</v>
      </c>
      <c r="C648" s="3" t="s">
        <v>652</v>
      </c>
      <c r="D648" s="2" t="s">
        <v>1071</v>
      </c>
      <c r="E648" s="3" t="s">
        <v>1009</v>
      </c>
      <c r="F648" s="3">
        <v>138</v>
      </c>
      <c r="G648" s="3">
        <v>138</v>
      </c>
      <c r="H648" s="8">
        <v>200</v>
      </c>
      <c r="I648" s="18"/>
    </row>
    <row r="649" spans="2:9" x14ac:dyDescent="0.3">
      <c r="B649" s="7">
        <v>647</v>
      </c>
      <c r="C649" s="3" t="s">
        <v>653</v>
      </c>
      <c r="D649" s="2" t="s">
        <v>1069</v>
      </c>
      <c r="E649" s="3" t="s">
        <v>1009</v>
      </c>
      <c r="F649" s="3">
        <v>108</v>
      </c>
      <c r="G649" s="3">
        <v>108</v>
      </c>
      <c r="H649" s="8">
        <v>200</v>
      </c>
      <c r="I649" s="18"/>
    </row>
    <row r="650" spans="2:9" x14ac:dyDescent="0.3">
      <c r="B650" s="7">
        <v>648</v>
      </c>
      <c r="C650" s="3" t="s">
        <v>654</v>
      </c>
      <c r="D650" s="2" t="s">
        <v>1047</v>
      </c>
      <c r="E650" s="3" t="s">
        <v>1010</v>
      </c>
      <c r="F650" s="3">
        <v>160</v>
      </c>
      <c r="G650" s="3">
        <v>160</v>
      </c>
      <c r="H650" s="8">
        <v>500</v>
      </c>
      <c r="I650" s="18"/>
    </row>
    <row r="651" spans="2:9" x14ac:dyDescent="0.3">
      <c r="B651" s="7">
        <v>649</v>
      </c>
      <c r="C651" s="3" t="s">
        <v>655</v>
      </c>
      <c r="D651" s="2" t="s">
        <v>1057</v>
      </c>
      <c r="E651" s="3" t="s">
        <v>1012</v>
      </c>
      <c r="F651" s="3">
        <v>41</v>
      </c>
      <c r="G651" s="3">
        <v>41</v>
      </c>
      <c r="H651" s="8">
        <v>500</v>
      </c>
      <c r="I651" s="18"/>
    </row>
    <row r="652" spans="2:9" x14ac:dyDescent="0.3">
      <c r="B652" s="7">
        <v>650</v>
      </c>
      <c r="C652" s="3" t="s">
        <v>656</v>
      </c>
      <c r="D652" s="2" t="s">
        <v>1025</v>
      </c>
      <c r="E652" s="3" t="s">
        <v>1008</v>
      </c>
      <c r="F652" s="3">
        <v>200</v>
      </c>
      <c r="G652" s="3">
        <v>200</v>
      </c>
      <c r="H652" s="8">
        <v>30000</v>
      </c>
      <c r="I652" s="18"/>
    </row>
    <row r="653" spans="2:9" x14ac:dyDescent="0.3">
      <c r="B653" s="7">
        <v>651</v>
      </c>
      <c r="C653" s="3" t="s">
        <v>657</v>
      </c>
      <c r="D653" s="2" t="s">
        <v>1052</v>
      </c>
      <c r="E653" s="3" t="s">
        <v>1010</v>
      </c>
      <c r="F653" s="3">
        <v>159</v>
      </c>
      <c r="G653" s="3">
        <v>159</v>
      </c>
      <c r="H653" s="8">
        <v>100</v>
      </c>
      <c r="I653" s="18"/>
    </row>
    <row r="654" spans="2:9" x14ac:dyDescent="0.3">
      <c r="B654" s="7">
        <v>652</v>
      </c>
      <c r="C654" s="3" t="s">
        <v>658</v>
      </c>
      <c r="D654" s="2" t="s">
        <v>1064</v>
      </c>
      <c r="E654" s="3" t="s">
        <v>1009</v>
      </c>
      <c r="F654" s="3">
        <v>80</v>
      </c>
      <c r="G654" s="3">
        <v>80</v>
      </c>
      <c r="H654" s="8">
        <v>15000</v>
      </c>
      <c r="I654" s="18"/>
    </row>
    <row r="655" spans="2:9" x14ac:dyDescent="0.3">
      <c r="B655" s="7">
        <v>653</v>
      </c>
      <c r="C655" s="3" t="s">
        <v>659</v>
      </c>
      <c r="D655" s="2" t="s">
        <v>1083</v>
      </c>
      <c r="E655" s="3" t="s">
        <v>1011</v>
      </c>
      <c r="F655" s="3">
        <v>42</v>
      </c>
      <c r="G655" s="3">
        <v>42</v>
      </c>
      <c r="H655" s="8">
        <v>3000</v>
      </c>
      <c r="I655" s="18"/>
    </row>
    <row r="656" spans="2:9" x14ac:dyDescent="0.3">
      <c r="B656" s="7">
        <v>654</v>
      </c>
      <c r="C656" s="3" t="s">
        <v>660</v>
      </c>
      <c r="D656" s="2" t="s">
        <v>1041</v>
      </c>
      <c r="E656" s="3" t="s">
        <v>1007</v>
      </c>
      <c r="F656" s="3">
        <v>34</v>
      </c>
      <c r="G656" s="3">
        <v>34</v>
      </c>
      <c r="H656" s="8">
        <v>2000</v>
      </c>
      <c r="I656" s="18"/>
    </row>
    <row r="657" spans="2:9" x14ac:dyDescent="0.3">
      <c r="B657" s="7">
        <v>655</v>
      </c>
      <c r="C657" s="3" t="s">
        <v>661</v>
      </c>
      <c r="D657" s="2" t="s">
        <v>1083</v>
      </c>
      <c r="E657" s="3" t="s">
        <v>1011</v>
      </c>
      <c r="F657" s="3">
        <v>73</v>
      </c>
      <c r="G657" s="3">
        <v>73</v>
      </c>
      <c r="H657" s="8">
        <v>3000</v>
      </c>
      <c r="I657" s="18"/>
    </row>
    <row r="658" spans="2:9" x14ac:dyDescent="0.3">
      <c r="B658" s="7">
        <v>656</v>
      </c>
      <c r="C658" s="3" t="s">
        <v>662</v>
      </c>
      <c r="D658" s="2" t="s">
        <v>1069</v>
      </c>
      <c r="E658" s="3" t="s">
        <v>1009</v>
      </c>
      <c r="F658" s="3">
        <v>120</v>
      </c>
      <c r="G658" s="3">
        <v>120</v>
      </c>
      <c r="H658" s="8">
        <v>200</v>
      </c>
      <c r="I658" s="18"/>
    </row>
    <row r="659" spans="2:9" x14ac:dyDescent="0.3">
      <c r="B659" s="7">
        <v>657</v>
      </c>
      <c r="C659" s="3" t="s">
        <v>663</v>
      </c>
      <c r="D659" s="2" t="s">
        <v>1028</v>
      </c>
      <c r="E659" s="3" t="s">
        <v>1008</v>
      </c>
      <c r="F659" s="3">
        <v>71</v>
      </c>
      <c r="G659" s="3">
        <v>71</v>
      </c>
      <c r="H659" s="8">
        <v>15000</v>
      </c>
      <c r="I659" s="18"/>
    </row>
    <row r="660" spans="2:9" x14ac:dyDescent="0.3">
      <c r="B660" s="7">
        <v>658</v>
      </c>
      <c r="C660" s="3" t="s">
        <v>664</v>
      </c>
      <c r="D660" s="2" t="s">
        <v>1031</v>
      </c>
      <c r="E660" s="3" t="s">
        <v>1008</v>
      </c>
      <c r="F660" s="3">
        <v>71</v>
      </c>
      <c r="G660" s="3">
        <v>71</v>
      </c>
      <c r="H660" s="8">
        <v>40000</v>
      </c>
      <c r="I660" s="18"/>
    </row>
    <row r="661" spans="2:9" x14ac:dyDescent="0.3">
      <c r="B661" s="7">
        <v>659</v>
      </c>
      <c r="C661" s="3" t="s">
        <v>665</v>
      </c>
      <c r="D661" s="2" t="s">
        <v>1054</v>
      </c>
      <c r="E661" s="3" t="s">
        <v>1010</v>
      </c>
      <c r="F661" s="3">
        <v>107</v>
      </c>
      <c r="G661" s="3">
        <v>107</v>
      </c>
      <c r="H661" s="8">
        <v>30</v>
      </c>
      <c r="I661" s="18"/>
    </row>
    <row r="662" spans="2:9" x14ac:dyDescent="0.3">
      <c r="B662" s="7">
        <v>660</v>
      </c>
      <c r="C662" s="3" t="s">
        <v>666</v>
      </c>
      <c r="D662" s="2" t="s">
        <v>1071</v>
      </c>
      <c r="E662" s="3" t="s">
        <v>1009</v>
      </c>
      <c r="F662" s="3">
        <v>125</v>
      </c>
      <c r="G662" s="3">
        <v>125</v>
      </c>
      <c r="H662" s="8">
        <v>200</v>
      </c>
      <c r="I662" s="18"/>
    </row>
    <row r="663" spans="2:9" x14ac:dyDescent="0.3">
      <c r="B663" s="7">
        <v>661</v>
      </c>
      <c r="C663" s="3" t="s">
        <v>667</v>
      </c>
      <c r="D663" s="2" t="s">
        <v>1073</v>
      </c>
      <c r="E663" s="3" t="s">
        <v>1009</v>
      </c>
      <c r="F663" s="3">
        <v>65</v>
      </c>
      <c r="G663" s="3">
        <v>65</v>
      </c>
      <c r="H663" s="8">
        <v>100</v>
      </c>
      <c r="I663" s="18"/>
    </row>
    <row r="664" spans="2:9" x14ac:dyDescent="0.3">
      <c r="B664" s="7">
        <v>662</v>
      </c>
      <c r="C664" s="3" t="s">
        <v>668</v>
      </c>
      <c r="D664" s="2" t="s">
        <v>1037</v>
      </c>
      <c r="E664" s="3" t="s">
        <v>1007</v>
      </c>
      <c r="F664" s="3">
        <v>94</v>
      </c>
      <c r="G664" s="3">
        <v>94</v>
      </c>
      <c r="H664" s="8">
        <v>10000</v>
      </c>
      <c r="I664" s="18"/>
    </row>
    <row r="665" spans="2:9" x14ac:dyDescent="0.3">
      <c r="B665" s="7">
        <v>663</v>
      </c>
      <c r="C665" s="3" t="s">
        <v>669</v>
      </c>
      <c r="D665" s="2" t="s">
        <v>1017</v>
      </c>
      <c r="E665" s="3" t="s">
        <v>1012</v>
      </c>
      <c r="F665" s="3">
        <v>179</v>
      </c>
      <c r="G665" s="3">
        <v>179</v>
      </c>
      <c r="H665" s="8">
        <v>200</v>
      </c>
      <c r="I665" s="18"/>
    </row>
    <row r="666" spans="2:9" x14ac:dyDescent="0.3">
      <c r="B666" s="7">
        <v>664</v>
      </c>
      <c r="C666" s="3" t="s">
        <v>670</v>
      </c>
      <c r="D666" s="2" t="s">
        <v>1054</v>
      </c>
      <c r="E666" s="3" t="s">
        <v>1010</v>
      </c>
      <c r="F666" s="3">
        <v>76</v>
      </c>
      <c r="G666" s="3">
        <v>76</v>
      </c>
      <c r="H666" s="8">
        <v>30</v>
      </c>
      <c r="I666" s="18"/>
    </row>
    <row r="667" spans="2:9" x14ac:dyDescent="0.3">
      <c r="B667" s="7">
        <v>665</v>
      </c>
      <c r="C667" s="3" t="s">
        <v>671</v>
      </c>
      <c r="D667" s="2" t="s">
        <v>1084</v>
      </c>
      <c r="E667" s="3" t="s">
        <v>1011</v>
      </c>
      <c r="F667" s="3">
        <v>60</v>
      </c>
      <c r="G667" s="3">
        <v>60</v>
      </c>
      <c r="H667" s="8">
        <v>2000</v>
      </c>
      <c r="I667" s="18"/>
    </row>
    <row r="668" spans="2:9" x14ac:dyDescent="0.3">
      <c r="B668" s="7">
        <v>666</v>
      </c>
      <c r="C668" s="3" t="s">
        <v>672</v>
      </c>
      <c r="D668" s="2" t="s">
        <v>1056</v>
      </c>
      <c r="E668" s="3" t="s">
        <v>1012</v>
      </c>
      <c r="F668" s="3">
        <v>122</v>
      </c>
      <c r="G668" s="3">
        <v>122</v>
      </c>
      <c r="H668" s="8">
        <v>100</v>
      </c>
      <c r="I668" s="18"/>
    </row>
    <row r="669" spans="2:9" x14ac:dyDescent="0.3">
      <c r="B669" s="7">
        <v>667</v>
      </c>
      <c r="C669" s="3" t="s">
        <v>673</v>
      </c>
      <c r="D669" s="2" t="s">
        <v>1057</v>
      </c>
      <c r="E669" s="3" t="s">
        <v>1012</v>
      </c>
      <c r="F669" s="3">
        <v>52</v>
      </c>
      <c r="G669" s="3">
        <v>52</v>
      </c>
      <c r="H669" s="8">
        <v>500</v>
      </c>
      <c r="I669" s="18"/>
    </row>
    <row r="670" spans="2:9" x14ac:dyDescent="0.3">
      <c r="B670" s="7">
        <v>668</v>
      </c>
      <c r="C670" s="3" t="s">
        <v>674</v>
      </c>
      <c r="D670" s="2" t="s">
        <v>1063</v>
      </c>
      <c r="E670" s="3" t="s">
        <v>1009</v>
      </c>
      <c r="F670" s="3">
        <v>44</v>
      </c>
      <c r="G670" s="3">
        <v>44</v>
      </c>
      <c r="H670" s="8">
        <v>4500</v>
      </c>
      <c r="I670" s="18"/>
    </row>
    <row r="671" spans="2:9" x14ac:dyDescent="0.3">
      <c r="B671" s="7">
        <v>669</v>
      </c>
      <c r="C671" s="3" t="s">
        <v>675</v>
      </c>
      <c r="D671" s="2" t="s">
        <v>1085</v>
      </c>
      <c r="E671" s="3" t="s">
        <v>1011</v>
      </c>
      <c r="F671" s="3">
        <v>88</v>
      </c>
      <c r="G671" s="3">
        <v>88</v>
      </c>
      <c r="H671" s="8">
        <v>1500</v>
      </c>
      <c r="I671" s="18"/>
    </row>
    <row r="672" spans="2:9" x14ac:dyDescent="0.3">
      <c r="B672" s="7">
        <v>670</v>
      </c>
      <c r="C672" s="3" t="s">
        <v>676</v>
      </c>
      <c r="D672" s="2" t="s">
        <v>1017</v>
      </c>
      <c r="E672" s="3" t="s">
        <v>1012</v>
      </c>
      <c r="F672" s="3">
        <v>100</v>
      </c>
      <c r="G672" s="3">
        <v>100</v>
      </c>
      <c r="H672" s="8">
        <v>200</v>
      </c>
      <c r="I672" s="18"/>
    </row>
    <row r="673" spans="2:9" x14ac:dyDescent="0.3">
      <c r="B673" s="7">
        <v>671</v>
      </c>
      <c r="C673" s="3" t="s">
        <v>677</v>
      </c>
      <c r="D673" s="2" t="s">
        <v>1056</v>
      </c>
      <c r="E673" s="3" t="s">
        <v>1012</v>
      </c>
      <c r="F673" s="3">
        <v>152</v>
      </c>
      <c r="G673" s="3">
        <v>152</v>
      </c>
      <c r="H673" s="8">
        <v>100</v>
      </c>
      <c r="I673" s="18"/>
    </row>
    <row r="674" spans="2:9" x14ac:dyDescent="0.3">
      <c r="B674" s="7">
        <v>672</v>
      </c>
      <c r="C674" s="3" t="s">
        <v>678</v>
      </c>
      <c r="D674" s="2" t="s">
        <v>1041</v>
      </c>
      <c r="E674" s="3" t="s">
        <v>1007</v>
      </c>
      <c r="F674" s="3">
        <v>91</v>
      </c>
      <c r="G674" s="3">
        <v>91</v>
      </c>
      <c r="H674" s="8">
        <v>2000</v>
      </c>
      <c r="I674" s="18"/>
    </row>
    <row r="675" spans="2:9" x14ac:dyDescent="0.3">
      <c r="B675" s="7">
        <v>673</v>
      </c>
      <c r="C675" s="3" t="s">
        <v>679</v>
      </c>
      <c r="D675" s="2" t="s">
        <v>1030</v>
      </c>
      <c r="E675" s="3" t="s">
        <v>1008</v>
      </c>
      <c r="F675" s="3">
        <v>85</v>
      </c>
      <c r="G675" s="3">
        <v>85</v>
      </c>
      <c r="H675" s="8">
        <v>70000</v>
      </c>
      <c r="I675" s="18"/>
    </row>
    <row r="676" spans="2:9" x14ac:dyDescent="0.3">
      <c r="B676" s="7">
        <v>674</v>
      </c>
      <c r="C676" s="3" t="s">
        <v>680</v>
      </c>
      <c r="D676" s="2" t="s">
        <v>1066</v>
      </c>
      <c r="E676" s="3" t="s">
        <v>1009</v>
      </c>
      <c r="F676" s="3">
        <v>176</v>
      </c>
      <c r="G676" s="3">
        <v>176</v>
      </c>
      <c r="H676" s="8">
        <v>800</v>
      </c>
      <c r="I676" s="18"/>
    </row>
    <row r="677" spans="2:9" x14ac:dyDescent="0.3">
      <c r="B677" s="7">
        <v>675</v>
      </c>
      <c r="C677" s="3" t="s">
        <v>681</v>
      </c>
      <c r="D677" s="2" t="s">
        <v>1031</v>
      </c>
      <c r="E677" s="3" t="s">
        <v>1008</v>
      </c>
      <c r="F677" s="3">
        <v>186</v>
      </c>
      <c r="G677" s="3">
        <v>186</v>
      </c>
      <c r="H677" s="8">
        <v>40000</v>
      </c>
      <c r="I677" s="18"/>
    </row>
    <row r="678" spans="2:9" x14ac:dyDescent="0.3">
      <c r="B678" s="7">
        <v>676</v>
      </c>
      <c r="C678" s="3" t="s">
        <v>682</v>
      </c>
      <c r="D678" s="2" t="s">
        <v>1033</v>
      </c>
      <c r="E678" s="3" t="s">
        <v>1008</v>
      </c>
      <c r="F678" s="3">
        <v>51</v>
      </c>
      <c r="G678" s="3">
        <v>51</v>
      </c>
      <c r="H678" s="8">
        <v>4000</v>
      </c>
      <c r="I678" s="18"/>
    </row>
    <row r="679" spans="2:9" x14ac:dyDescent="0.3">
      <c r="B679" s="7">
        <v>677</v>
      </c>
      <c r="C679" s="3" t="s">
        <v>683</v>
      </c>
      <c r="D679" s="2" t="s">
        <v>1038</v>
      </c>
      <c r="E679" s="3" t="s">
        <v>1007</v>
      </c>
      <c r="F679" s="3">
        <v>58</v>
      </c>
      <c r="G679" s="3">
        <v>58</v>
      </c>
      <c r="H679" s="8">
        <v>5000</v>
      </c>
      <c r="I679" s="18"/>
    </row>
    <row r="680" spans="2:9" x14ac:dyDescent="0.3">
      <c r="B680" s="7">
        <v>678</v>
      </c>
      <c r="C680" s="3" t="s">
        <v>684</v>
      </c>
      <c r="D680" s="2" t="s">
        <v>1026</v>
      </c>
      <c r="E680" s="3" t="s">
        <v>1008</v>
      </c>
      <c r="F680" s="3">
        <v>120</v>
      </c>
      <c r="G680" s="3">
        <v>120</v>
      </c>
      <c r="H680" s="8">
        <v>6000</v>
      </c>
      <c r="I680" s="18"/>
    </row>
    <row r="681" spans="2:9" x14ac:dyDescent="0.3">
      <c r="B681" s="7">
        <v>679</v>
      </c>
      <c r="C681" s="3" t="s">
        <v>685</v>
      </c>
      <c r="D681" s="2" t="s">
        <v>1077</v>
      </c>
      <c r="E681" s="3" t="s">
        <v>1011</v>
      </c>
      <c r="F681" s="3">
        <v>65</v>
      </c>
      <c r="G681" s="3">
        <v>65</v>
      </c>
      <c r="H681" s="8">
        <v>5000</v>
      </c>
      <c r="I681" s="18"/>
    </row>
    <row r="682" spans="2:9" x14ac:dyDescent="0.3">
      <c r="B682" s="7">
        <v>680</v>
      </c>
      <c r="C682" s="3" t="s">
        <v>686</v>
      </c>
      <c r="D682" s="2" t="s">
        <v>1055</v>
      </c>
      <c r="E682" s="3" t="s">
        <v>1010</v>
      </c>
      <c r="F682" s="3">
        <v>61</v>
      </c>
      <c r="G682" s="3">
        <v>61</v>
      </c>
      <c r="H682" s="8">
        <v>50</v>
      </c>
      <c r="I682" s="18"/>
    </row>
    <row r="683" spans="2:9" x14ac:dyDescent="0.3">
      <c r="B683" s="7">
        <v>681</v>
      </c>
      <c r="C683" s="3" t="s">
        <v>687</v>
      </c>
      <c r="D683" s="2" t="s">
        <v>1031</v>
      </c>
      <c r="E683" s="3" t="s">
        <v>1008</v>
      </c>
      <c r="F683" s="3">
        <v>56</v>
      </c>
      <c r="G683" s="3">
        <v>56</v>
      </c>
      <c r="H683" s="8">
        <v>40000</v>
      </c>
      <c r="I683" s="18"/>
    </row>
    <row r="684" spans="2:9" x14ac:dyDescent="0.3">
      <c r="B684" s="7">
        <v>682</v>
      </c>
      <c r="C684" s="3" t="s">
        <v>688</v>
      </c>
      <c r="D684" s="2" t="s">
        <v>1068</v>
      </c>
      <c r="E684" s="3" t="s">
        <v>1009</v>
      </c>
      <c r="F684" s="3">
        <v>119</v>
      </c>
      <c r="G684" s="3">
        <v>119</v>
      </c>
      <c r="H684" s="8">
        <v>100</v>
      </c>
      <c r="I684" s="18"/>
    </row>
    <row r="685" spans="2:9" x14ac:dyDescent="0.3">
      <c r="B685" s="7">
        <v>683</v>
      </c>
      <c r="C685" s="3" t="s">
        <v>689</v>
      </c>
      <c r="D685" s="2" t="s">
        <v>1054</v>
      </c>
      <c r="E685" s="3" t="s">
        <v>1010</v>
      </c>
      <c r="F685" s="3">
        <v>38</v>
      </c>
      <c r="G685" s="3">
        <v>38</v>
      </c>
      <c r="H685" s="8">
        <v>30</v>
      </c>
      <c r="I685" s="18"/>
    </row>
    <row r="686" spans="2:9" x14ac:dyDescent="0.3">
      <c r="B686" s="7">
        <v>684</v>
      </c>
      <c r="C686" s="3" t="s">
        <v>690</v>
      </c>
      <c r="D686" s="2" t="s">
        <v>1042</v>
      </c>
      <c r="E686" s="3" t="s">
        <v>1007</v>
      </c>
      <c r="F686" s="3">
        <v>108</v>
      </c>
      <c r="G686" s="3">
        <v>108</v>
      </c>
      <c r="H686" s="8">
        <v>3000</v>
      </c>
      <c r="I686" s="18"/>
    </row>
    <row r="687" spans="2:9" x14ac:dyDescent="0.3">
      <c r="B687" s="7">
        <v>685</v>
      </c>
      <c r="C687" s="3" t="s">
        <v>691</v>
      </c>
      <c r="D687" s="2" t="s">
        <v>1060</v>
      </c>
      <c r="E687" s="3" t="s">
        <v>1012</v>
      </c>
      <c r="F687" s="3">
        <v>129</v>
      </c>
      <c r="G687" s="3">
        <v>129</v>
      </c>
      <c r="H687" s="8">
        <v>1500</v>
      </c>
      <c r="I687" s="18"/>
    </row>
    <row r="688" spans="2:9" x14ac:dyDescent="0.3">
      <c r="B688" s="7">
        <v>686</v>
      </c>
      <c r="C688" s="3" t="s">
        <v>692</v>
      </c>
      <c r="D688" s="2" t="s">
        <v>1037</v>
      </c>
      <c r="E688" s="3" t="s">
        <v>1007</v>
      </c>
      <c r="F688" s="3">
        <v>56</v>
      </c>
      <c r="G688" s="3">
        <v>56</v>
      </c>
      <c r="H688" s="8">
        <v>10000</v>
      </c>
      <c r="I688" s="18"/>
    </row>
    <row r="689" spans="2:9" x14ac:dyDescent="0.3">
      <c r="B689" s="7">
        <v>687</v>
      </c>
      <c r="C689" s="3" t="s">
        <v>693</v>
      </c>
      <c r="D689" s="2" t="s">
        <v>1023</v>
      </c>
      <c r="E689" s="3" t="s">
        <v>1008</v>
      </c>
      <c r="F689" s="3">
        <v>48</v>
      </c>
      <c r="G689" s="3">
        <v>48</v>
      </c>
      <c r="H689" s="8">
        <v>20000</v>
      </c>
      <c r="I689" s="18"/>
    </row>
    <row r="690" spans="2:9" x14ac:dyDescent="0.3">
      <c r="B690" s="7">
        <v>688</v>
      </c>
      <c r="C690" s="3" t="s">
        <v>694</v>
      </c>
      <c r="D690" s="2" t="s">
        <v>1060</v>
      </c>
      <c r="E690" s="3" t="s">
        <v>1012</v>
      </c>
      <c r="F690" s="3">
        <v>129</v>
      </c>
      <c r="G690" s="3">
        <v>129</v>
      </c>
      <c r="H690" s="8">
        <v>1500</v>
      </c>
      <c r="I690" s="18"/>
    </row>
    <row r="691" spans="2:9" x14ac:dyDescent="0.3">
      <c r="B691" s="7">
        <v>689</v>
      </c>
      <c r="C691" s="3" t="s">
        <v>695</v>
      </c>
      <c r="D691" s="2" t="s">
        <v>1081</v>
      </c>
      <c r="E691" s="3" t="s">
        <v>1011</v>
      </c>
      <c r="F691" s="3">
        <v>38</v>
      </c>
      <c r="G691" s="3">
        <v>38</v>
      </c>
      <c r="H691" s="8">
        <v>1000</v>
      </c>
      <c r="I691" s="18"/>
    </row>
    <row r="692" spans="2:9" x14ac:dyDescent="0.3">
      <c r="B692" s="7">
        <v>690</v>
      </c>
      <c r="C692" s="3" t="s">
        <v>696</v>
      </c>
      <c r="D692" s="2" t="s">
        <v>1025</v>
      </c>
      <c r="E692" s="3" t="s">
        <v>1008</v>
      </c>
      <c r="F692" s="3">
        <v>33</v>
      </c>
      <c r="G692" s="3">
        <v>33</v>
      </c>
      <c r="H692" s="8">
        <v>30000</v>
      </c>
      <c r="I692" s="18"/>
    </row>
    <row r="693" spans="2:9" x14ac:dyDescent="0.3">
      <c r="B693" s="7">
        <v>691</v>
      </c>
      <c r="C693" s="3" t="s">
        <v>697</v>
      </c>
      <c r="D693" s="2" t="s">
        <v>1039</v>
      </c>
      <c r="E693" s="3" t="s">
        <v>1007</v>
      </c>
      <c r="F693" s="3">
        <v>84</v>
      </c>
      <c r="G693" s="3">
        <v>84</v>
      </c>
      <c r="H693" s="8">
        <v>12000</v>
      </c>
      <c r="I693" s="18"/>
    </row>
    <row r="694" spans="2:9" x14ac:dyDescent="0.3">
      <c r="B694" s="7">
        <v>692</v>
      </c>
      <c r="C694" s="3" t="s">
        <v>698</v>
      </c>
      <c r="D694" s="2" t="s">
        <v>1056</v>
      </c>
      <c r="E694" s="3" t="s">
        <v>1012</v>
      </c>
      <c r="F694" s="3">
        <v>98</v>
      </c>
      <c r="G694" s="3">
        <v>98</v>
      </c>
      <c r="H694" s="8">
        <v>100</v>
      </c>
      <c r="I694" s="18"/>
    </row>
    <row r="695" spans="2:9" x14ac:dyDescent="0.3">
      <c r="B695" s="7">
        <v>693</v>
      </c>
      <c r="C695" s="3" t="s">
        <v>699</v>
      </c>
      <c r="D695" s="2" t="s">
        <v>1028</v>
      </c>
      <c r="E695" s="3" t="s">
        <v>1008</v>
      </c>
      <c r="F695" s="3">
        <v>54</v>
      </c>
      <c r="G695" s="3">
        <v>54</v>
      </c>
      <c r="H695" s="8">
        <v>15000</v>
      </c>
      <c r="I695" s="18"/>
    </row>
    <row r="696" spans="2:9" x14ac:dyDescent="0.3">
      <c r="B696" s="7">
        <v>694</v>
      </c>
      <c r="C696" s="3" t="s">
        <v>700</v>
      </c>
      <c r="D696" s="2" t="s">
        <v>1034</v>
      </c>
      <c r="E696" s="3" t="s">
        <v>1008</v>
      </c>
      <c r="F696" s="3">
        <v>140</v>
      </c>
      <c r="G696" s="3">
        <v>140</v>
      </c>
      <c r="H696" s="8">
        <v>50000</v>
      </c>
      <c r="I696" s="18"/>
    </row>
    <row r="697" spans="2:9" x14ac:dyDescent="0.3">
      <c r="B697" s="7">
        <v>695</v>
      </c>
      <c r="C697" s="3" t="s">
        <v>701</v>
      </c>
      <c r="D697" s="2" t="s">
        <v>1039</v>
      </c>
      <c r="E697" s="3" t="s">
        <v>1007</v>
      </c>
      <c r="F697" s="3">
        <v>51</v>
      </c>
      <c r="G697" s="3">
        <v>51</v>
      </c>
      <c r="H697" s="8">
        <v>12000</v>
      </c>
      <c r="I697" s="18"/>
    </row>
    <row r="698" spans="2:9" x14ac:dyDescent="0.3">
      <c r="B698" s="7">
        <v>696</v>
      </c>
      <c r="C698" s="3" t="s">
        <v>702</v>
      </c>
      <c r="D698" s="2" t="s">
        <v>1076</v>
      </c>
      <c r="E698" s="3" t="s">
        <v>1009</v>
      </c>
      <c r="F698" s="3">
        <v>72</v>
      </c>
      <c r="G698" s="3">
        <v>72</v>
      </c>
      <c r="H698" s="8">
        <v>100</v>
      </c>
      <c r="I698" s="18"/>
    </row>
    <row r="699" spans="2:9" x14ac:dyDescent="0.3">
      <c r="B699" s="7">
        <v>697</v>
      </c>
      <c r="C699" s="3" t="s">
        <v>703</v>
      </c>
      <c r="D699" s="2" t="s">
        <v>1071</v>
      </c>
      <c r="E699" s="3" t="s">
        <v>1009</v>
      </c>
      <c r="F699" s="3">
        <v>127</v>
      </c>
      <c r="G699" s="3">
        <v>127</v>
      </c>
      <c r="H699" s="8">
        <v>200</v>
      </c>
      <c r="I699" s="18"/>
    </row>
    <row r="700" spans="2:9" x14ac:dyDescent="0.3">
      <c r="B700" s="7">
        <v>698</v>
      </c>
      <c r="C700" s="3" t="s">
        <v>704</v>
      </c>
      <c r="D700" s="2" t="s">
        <v>1051</v>
      </c>
      <c r="E700" s="3" t="s">
        <v>1010</v>
      </c>
      <c r="F700" s="3">
        <v>60</v>
      </c>
      <c r="G700" s="3">
        <v>60</v>
      </c>
      <c r="H700" s="8">
        <v>50</v>
      </c>
      <c r="I700" s="18"/>
    </row>
    <row r="701" spans="2:9" x14ac:dyDescent="0.3">
      <c r="B701" s="7">
        <v>699</v>
      </c>
      <c r="C701" s="3" t="s">
        <v>705</v>
      </c>
      <c r="D701" s="2" t="s">
        <v>1074</v>
      </c>
      <c r="E701" s="3" t="s">
        <v>1009</v>
      </c>
      <c r="F701" s="3">
        <v>139</v>
      </c>
      <c r="G701" s="3">
        <v>139</v>
      </c>
      <c r="H701" s="8">
        <v>500</v>
      </c>
      <c r="I701" s="18"/>
    </row>
    <row r="702" spans="2:9" x14ac:dyDescent="0.3">
      <c r="B702" s="7">
        <v>700</v>
      </c>
      <c r="C702" s="3" t="s">
        <v>706</v>
      </c>
      <c r="D702" s="2" t="s">
        <v>1021</v>
      </c>
      <c r="E702" s="3" t="s">
        <v>1008</v>
      </c>
      <c r="F702" s="3">
        <v>36</v>
      </c>
      <c r="G702" s="3">
        <v>36</v>
      </c>
      <c r="H702" s="8">
        <v>20000</v>
      </c>
      <c r="I702" s="18"/>
    </row>
    <row r="703" spans="2:9" x14ac:dyDescent="0.3">
      <c r="B703" s="7">
        <v>701</v>
      </c>
      <c r="C703" s="3" t="s">
        <v>707</v>
      </c>
      <c r="D703" s="2" t="s">
        <v>1083</v>
      </c>
      <c r="E703" s="3" t="s">
        <v>1011</v>
      </c>
      <c r="F703" s="3">
        <v>173</v>
      </c>
      <c r="G703" s="3">
        <v>173</v>
      </c>
      <c r="H703" s="8">
        <v>3000</v>
      </c>
      <c r="I703" s="18"/>
    </row>
    <row r="704" spans="2:9" x14ac:dyDescent="0.3">
      <c r="B704" s="7">
        <v>702</v>
      </c>
      <c r="C704" s="3" t="s">
        <v>708</v>
      </c>
      <c r="D704" s="2" t="s">
        <v>1058</v>
      </c>
      <c r="E704" s="3" t="s">
        <v>1012</v>
      </c>
      <c r="F704" s="3">
        <v>66</v>
      </c>
      <c r="G704" s="3">
        <v>66</v>
      </c>
      <c r="H704" s="8">
        <v>500</v>
      </c>
      <c r="I704" s="18"/>
    </row>
    <row r="705" spans="2:9" x14ac:dyDescent="0.3">
      <c r="B705" s="7">
        <v>703</v>
      </c>
      <c r="C705" s="3" t="s">
        <v>709</v>
      </c>
      <c r="D705" s="2" t="s">
        <v>1061</v>
      </c>
      <c r="E705" s="3" t="s">
        <v>1012</v>
      </c>
      <c r="F705" s="3">
        <v>47</v>
      </c>
      <c r="G705" s="3">
        <v>47</v>
      </c>
      <c r="H705" s="8">
        <v>500</v>
      </c>
      <c r="I705" s="18"/>
    </row>
    <row r="706" spans="2:9" x14ac:dyDescent="0.3">
      <c r="B706" s="7">
        <v>704</v>
      </c>
      <c r="C706" s="3" t="s">
        <v>710</v>
      </c>
      <c r="D706" s="2" t="s">
        <v>1061</v>
      </c>
      <c r="E706" s="3" t="s">
        <v>1012</v>
      </c>
      <c r="F706" s="3">
        <v>168</v>
      </c>
      <c r="G706" s="3">
        <v>168</v>
      </c>
      <c r="H706" s="8">
        <v>500</v>
      </c>
      <c r="I706" s="18"/>
    </row>
    <row r="707" spans="2:9" x14ac:dyDescent="0.3">
      <c r="B707" s="7">
        <v>705</v>
      </c>
      <c r="C707" s="3" t="s">
        <v>711</v>
      </c>
      <c r="D707" s="2" t="s">
        <v>1058</v>
      </c>
      <c r="E707" s="3" t="s">
        <v>1012</v>
      </c>
      <c r="F707" s="3">
        <v>113</v>
      </c>
      <c r="G707" s="3">
        <v>113</v>
      </c>
      <c r="H707" s="8">
        <v>500</v>
      </c>
      <c r="I707" s="18"/>
    </row>
    <row r="708" spans="2:9" x14ac:dyDescent="0.3">
      <c r="B708" s="7">
        <v>706</v>
      </c>
      <c r="C708" s="3" t="s">
        <v>712</v>
      </c>
      <c r="D708" s="2" t="s">
        <v>1073</v>
      </c>
      <c r="E708" s="3" t="s">
        <v>1009</v>
      </c>
      <c r="F708" s="3">
        <v>149</v>
      </c>
      <c r="G708" s="3">
        <v>149</v>
      </c>
      <c r="H708" s="8">
        <v>100</v>
      </c>
      <c r="I708" s="18"/>
    </row>
    <row r="709" spans="2:9" x14ac:dyDescent="0.3">
      <c r="B709" s="7">
        <v>707</v>
      </c>
      <c r="C709" s="3" t="s">
        <v>713</v>
      </c>
      <c r="D709" s="2" t="s">
        <v>1063</v>
      </c>
      <c r="E709" s="3" t="s">
        <v>1009</v>
      </c>
      <c r="F709" s="3">
        <v>117</v>
      </c>
      <c r="G709" s="3">
        <v>117</v>
      </c>
      <c r="H709" s="8">
        <v>4500</v>
      </c>
      <c r="I709" s="18"/>
    </row>
    <row r="710" spans="2:9" x14ac:dyDescent="0.3">
      <c r="B710" s="7">
        <v>708</v>
      </c>
      <c r="C710" s="3" t="s">
        <v>714</v>
      </c>
      <c r="D710" s="2" t="s">
        <v>1082</v>
      </c>
      <c r="E710" s="3" t="s">
        <v>1011</v>
      </c>
      <c r="F710" s="3">
        <v>158</v>
      </c>
      <c r="G710" s="3">
        <v>158</v>
      </c>
      <c r="H710" s="8">
        <v>2000</v>
      </c>
      <c r="I710" s="18"/>
    </row>
    <row r="711" spans="2:9" x14ac:dyDescent="0.3">
      <c r="B711" s="7">
        <v>709</v>
      </c>
      <c r="C711" s="3" t="s">
        <v>715</v>
      </c>
      <c r="D711" s="2" t="s">
        <v>1073</v>
      </c>
      <c r="E711" s="3" t="s">
        <v>1009</v>
      </c>
      <c r="F711" s="3">
        <v>104</v>
      </c>
      <c r="G711" s="3">
        <v>104</v>
      </c>
      <c r="H711" s="8">
        <v>100</v>
      </c>
      <c r="I711" s="18"/>
    </row>
    <row r="712" spans="2:9" x14ac:dyDescent="0.3">
      <c r="B712" s="7">
        <v>710</v>
      </c>
      <c r="C712" s="3" t="s">
        <v>716</v>
      </c>
      <c r="D712" s="2" t="s">
        <v>1057</v>
      </c>
      <c r="E712" s="3" t="s">
        <v>1012</v>
      </c>
      <c r="F712" s="3">
        <v>200</v>
      </c>
      <c r="G712" s="3">
        <v>200</v>
      </c>
      <c r="H712" s="8">
        <v>500</v>
      </c>
      <c r="I712" s="18"/>
    </row>
    <row r="713" spans="2:9" x14ac:dyDescent="0.3">
      <c r="B713" s="7">
        <v>711</v>
      </c>
      <c r="C713" s="3" t="s">
        <v>717</v>
      </c>
      <c r="D713" s="2" t="s">
        <v>1084</v>
      </c>
      <c r="E713" s="3" t="s">
        <v>1011</v>
      </c>
      <c r="F713" s="3">
        <v>67</v>
      </c>
      <c r="G713" s="3">
        <v>67</v>
      </c>
      <c r="H713" s="8">
        <v>2000</v>
      </c>
      <c r="I713" s="18"/>
    </row>
    <row r="714" spans="2:9" x14ac:dyDescent="0.3">
      <c r="B714" s="7">
        <v>712</v>
      </c>
      <c r="C714" s="3" t="s">
        <v>718</v>
      </c>
      <c r="D714" s="2" t="s">
        <v>1037</v>
      </c>
      <c r="E714" s="3" t="s">
        <v>1007</v>
      </c>
      <c r="F714" s="3">
        <v>188</v>
      </c>
      <c r="G714" s="3">
        <v>188</v>
      </c>
      <c r="H714" s="8">
        <v>10000</v>
      </c>
      <c r="I714" s="18"/>
    </row>
    <row r="715" spans="2:9" x14ac:dyDescent="0.3">
      <c r="B715" s="7">
        <v>713</v>
      </c>
      <c r="C715" s="3" t="s">
        <v>719</v>
      </c>
      <c r="D715" s="2" t="s">
        <v>1049</v>
      </c>
      <c r="E715" s="3" t="s">
        <v>1010</v>
      </c>
      <c r="F715" s="3">
        <v>55</v>
      </c>
      <c r="G715" s="3">
        <v>55</v>
      </c>
      <c r="H715" s="8">
        <v>20</v>
      </c>
      <c r="I715" s="18"/>
    </row>
    <row r="716" spans="2:9" x14ac:dyDescent="0.3">
      <c r="B716" s="7">
        <v>714</v>
      </c>
      <c r="C716" s="3" t="s">
        <v>720</v>
      </c>
      <c r="D716" s="2" t="s">
        <v>1085</v>
      </c>
      <c r="E716" s="3" t="s">
        <v>1011</v>
      </c>
      <c r="F716" s="3">
        <v>86</v>
      </c>
      <c r="G716" s="3">
        <v>86</v>
      </c>
      <c r="H716" s="8">
        <v>1500</v>
      </c>
      <c r="I716" s="18"/>
    </row>
    <row r="717" spans="2:9" x14ac:dyDescent="0.3">
      <c r="B717" s="7">
        <v>715</v>
      </c>
      <c r="C717" s="3" t="s">
        <v>721</v>
      </c>
      <c r="D717" s="2" t="s">
        <v>1045</v>
      </c>
      <c r="E717" s="3" t="s">
        <v>1010</v>
      </c>
      <c r="F717" s="3">
        <v>109</v>
      </c>
      <c r="G717" s="3">
        <v>109</v>
      </c>
      <c r="H717" s="8">
        <v>100</v>
      </c>
      <c r="I717" s="18"/>
    </row>
    <row r="718" spans="2:9" x14ac:dyDescent="0.3">
      <c r="B718" s="7">
        <v>716</v>
      </c>
      <c r="C718" s="3" t="s">
        <v>722</v>
      </c>
      <c r="D718" s="2" t="s">
        <v>1060</v>
      </c>
      <c r="E718" s="3" t="s">
        <v>1012</v>
      </c>
      <c r="F718" s="3">
        <v>53</v>
      </c>
      <c r="G718" s="3">
        <v>53</v>
      </c>
      <c r="H718" s="8">
        <v>1500</v>
      </c>
      <c r="I718" s="18"/>
    </row>
    <row r="719" spans="2:9" x14ac:dyDescent="0.3">
      <c r="B719" s="7">
        <v>717</v>
      </c>
      <c r="C719" s="3" t="s">
        <v>723</v>
      </c>
      <c r="D719" s="2" t="s">
        <v>1024</v>
      </c>
      <c r="E719" s="3" t="s">
        <v>1008</v>
      </c>
      <c r="F719" s="3">
        <v>128</v>
      </c>
      <c r="G719" s="3">
        <v>128</v>
      </c>
      <c r="H719" s="8">
        <v>150000</v>
      </c>
      <c r="I719" s="18"/>
    </row>
    <row r="720" spans="2:9" x14ac:dyDescent="0.3">
      <c r="B720" s="7">
        <v>718</v>
      </c>
      <c r="C720" s="3" t="s">
        <v>724</v>
      </c>
      <c r="D720" s="2" t="s">
        <v>1026</v>
      </c>
      <c r="E720" s="3" t="s">
        <v>1008</v>
      </c>
      <c r="F720" s="3">
        <v>37</v>
      </c>
      <c r="G720" s="3">
        <v>37</v>
      </c>
      <c r="H720" s="8">
        <v>6000</v>
      </c>
      <c r="I720" s="18"/>
    </row>
    <row r="721" spans="2:9" x14ac:dyDescent="0.3">
      <c r="B721" s="7">
        <v>719</v>
      </c>
      <c r="C721" s="3" t="s">
        <v>725</v>
      </c>
      <c r="D721" s="2" t="s">
        <v>1022</v>
      </c>
      <c r="E721" s="3" t="s">
        <v>1008</v>
      </c>
      <c r="F721" s="3">
        <v>162</v>
      </c>
      <c r="G721" s="3">
        <v>178</v>
      </c>
      <c r="H721" s="8">
        <v>0</v>
      </c>
      <c r="I721" s="18"/>
    </row>
    <row r="722" spans="2:9" x14ac:dyDescent="0.3">
      <c r="B722" s="7">
        <v>720</v>
      </c>
      <c r="C722" s="3" t="s">
        <v>726</v>
      </c>
      <c r="D722" s="2" t="s">
        <v>1070</v>
      </c>
      <c r="E722" s="3" t="s">
        <v>1009</v>
      </c>
      <c r="F722" s="3">
        <v>34</v>
      </c>
      <c r="G722" s="3">
        <v>126</v>
      </c>
      <c r="H722" s="8">
        <v>1500</v>
      </c>
      <c r="I722" s="18"/>
    </row>
    <row r="723" spans="2:9" x14ac:dyDescent="0.3">
      <c r="B723" s="7">
        <v>721</v>
      </c>
      <c r="C723" s="3" t="s">
        <v>727</v>
      </c>
      <c r="D723" s="2" t="s">
        <v>1025</v>
      </c>
      <c r="E723" s="3" t="s">
        <v>1008</v>
      </c>
      <c r="F723" s="3">
        <v>162</v>
      </c>
      <c r="G723" s="3">
        <v>61</v>
      </c>
      <c r="H723" s="8">
        <v>30000</v>
      </c>
      <c r="I723" s="18"/>
    </row>
    <row r="724" spans="2:9" x14ac:dyDescent="0.3">
      <c r="B724" s="7">
        <v>722</v>
      </c>
      <c r="C724" s="3" t="s">
        <v>728</v>
      </c>
      <c r="D724" s="2" t="s">
        <v>1058</v>
      </c>
      <c r="E724" s="3" t="s">
        <v>1012</v>
      </c>
      <c r="F724" s="3">
        <v>107</v>
      </c>
      <c r="G724" s="3">
        <v>30</v>
      </c>
      <c r="H724" s="8">
        <v>500</v>
      </c>
      <c r="I724" s="18"/>
    </row>
    <row r="725" spans="2:9" x14ac:dyDescent="0.3">
      <c r="B725" s="7">
        <v>723</v>
      </c>
      <c r="C725" s="3" t="s">
        <v>729</v>
      </c>
      <c r="D725" s="2" t="s">
        <v>1022</v>
      </c>
      <c r="E725" s="3" t="s">
        <v>1008</v>
      </c>
      <c r="F725" s="3">
        <v>52</v>
      </c>
      <c r="G725" s="3">
        <v>84</v>
      </c>
      <c r="H725" s="8">
        <v>0</v>
      </c>
      <c r="I725" s="18"/>
    </row>
    <row r="726" spans="2:9" x14ac:dyDescent="0.3">
      <c r="B726" s="7">
        <v>724</v>
      </c>
      <c r="C726" s="3" t="s">
        <v>730</v>
      </c>
      <c r="D726" s="2" t="s">
        <v>1033</v>
      </c>
      <c r="E726" s="3" t="s">
        <v>1008</v>
      </c>
      <c r="F726" s="3">
        <v>111</v>
      </c>
      <c r="G726" s="3">
        <v>181</v>
      </c>
      <c r="H726" s="8">
        <v>4000</v>
      </c>
      <c r="I726" s="18"/>
    </row>
    <row r="727" spans="2:9" x14ac:dyDescent="0.3">
      <c r="B727" s="7">
        <v>725</v>
      </c>
      <c r="C727" s="3" t="s">
        <v>731</v>
      </c>
      <c r="D727" s="2" t="s">
        <v>1066</v>
      </c>
      <c r="E727" s="3" t="s">
        <v>1009</v>
      </c>
      <c r="F727" s="3">
        <v>158</v>
      </c>
      <c r="G727" s="3">
        <v>82</v>
      </c>
      <c r="H727" s="8">
        <v>800</v>
      </c>
      <c r="I727" s="18"/>
    </row>
    <row r="728" spans="2:9" x14ac:dyDescent="0.3">
      <c r="B728" s="7">
        <v>726</v>
      </c>
      <c r="C728" s="3" t="s">
        <v>732</v>
      </c>
      <c r="D728" s="2" t="s">
        <v>1065</v>
      </c>
      <c r="E728" s="3" t="s">
        <v>1009</v>
      </c>
      <c r="F728" s="3">
        <v>30</v>
      </c>
      <c r="G728" s="3">
        <v>194</v>
      </c>
      <c r="H728" s="8">
        <v>200</v>
      </c>
      <c r="I728" s="18"/>
    </row>
    <row r="729" spans="2:9" x14ac:dyDescent="0.3">
      <c r="B729" s="7">
        <v>727</v>
      </c>
      <c r="C729" s="3" t="s">
        <v>733</v>
      </c>
      <c r="D729" s="2" t="s">
        <v>1048</v>
      </c>
      <c r="E729" s="3" t="s">
        <v>1010</v>
      </c>
      <c r="F729" s="3">
        <v>181</v>
      </c>
      <c r="G729" s="3">
        <v>173</v>
      </c>
      <c r="H729" s="8">
        <v>50</v>
      </c>
      <c r="I729" s="18"/>
    </row>
    <row r="730" spans="2:9" x14ac:dyDescent="0.3">
      <c r="B730" s="7">
        <v>728</v>
      </c>
      <c r="C730" s="3" t="s">
        <v>734</v>
      </c>
      <c r="D730" s="2" t="s">
        <v>1081</v>
      </c>
      <c r="E730" s="3" t="s">
        <v>1011</v>
      </c>
      <c r="F730" s="3">
        <v>108</v>
      </c>
      <c r="G730" s="3">
        <v>177</v>
      </c>
      <c r="H730" s="8">
        <v>1000</v>
      </c>
      <c r="I730" s="18"/>
    </row>
    <row r="731" spans="2:9" x14ac:dyDescent="0.3">
      <c r="B731" s="7">
        <v>729</v>
      </c>
      <c r="C731" s="3" t="s">
        <v>735</v>
      </c>
      <c r="D731" s="2" t="s">
        <v>1066</v>
      </c>
      <c r="E731" s="3" t="s">
        <v>1009</v>
      </c>
      <c r="F731" s="3">
        <v>94</v>
      </c>
      <c r="G731" s="3">
        <v>75</v>
      </c>
      <c r="H731" s="8">
        <v>800</v>
      </c>
      <c r="I731" s="18"/>
    </row>
    <row r="732" spans="2:9" x14ac:dyDescent="0.3">
      <c r="B732" s="7">
        <v>730</v>
      </c>
      <c r="C732" s="3" t="s">
        <v>736</v>
      </c>
      <c r="D732" s="2" t="s">
        <v>1060</v>
      </c>
      <c r="E732" s="3" t="s">
        <v>1012</v>
      </c>
      <c r="F732" s="3">
        <v>120</v>
      </c>
      <c r="G732" s="3">
        <v>130</v>
      </c>
      <c r="H732" s="8">
        <v>1500</v>
      </c>
      <c r="I732" s="18"/>
    </row>
    <row r="733" spans="2:9" x14ac:dyDescent="0.3">
      <c r="B733" s="7">
        <v>731</v>
      </c>
      <c r="C733" s="3" t="s">
        <v>737</v>
      </c>
      <c r="D733" s="2" t="s">
        <v>1048</v>
      </c>
      <c r="E733" s="3" t="s">
        <v>1010</v>
      </c>
      <c r="F733" s="3">
        <v>53</v>
      </c>
      <c r="G733" s="3">
        <v>95</v>
      </c>
      <c r="H733" s="8">
        <v>50</v>
      </c>
      <c r="I733" s="18"/>
    </row>
    <row r="734" spans="2:9" x14ac:dyDescent="0.3">
      <c r="B734" s="7">
        <v>732</v>
      </c>
      <c r="C734" s="3" t="s">
        <v>738</v>
      </c>
      <c r="D734" s="2" t="s">
        <v>1058</v>
      </c>
      <c r="E734" s="3" t="s">
        <v>1012</v>
      </c>
      <c r="F734" s="3">
        <v>172</v>
      </c>
      <c r="G734" s="3">
        <v>90</v>
      </c>
      <c r="H734" s="8">
        <v>500</v>
      </c>
      <c r="I734" s="18"/>
    </row>
    <row r="735" spans="2:9" x14ac:dyDescent="0.3">
      <c r="B735" s="7">
        <v>733</v>
      </c>
      <c r="C735" s="3" t="s">
        <v>739</v>
      </c>
      <c r="D735" s="2" t="s">
        <v>1025</v>
      </c>
      <c r="E735" s="3" t="s">
        <v>1008</v>
      </c>
      <c r="F735" s="3">
        <v>160</v>
      </c>
      <c r="G735" s="3">
        <v>200</v>
      </c>
      <c r="H735" s="8">
        <v>30000</v>
      </c>
      <c r="I735" s="18"/>
    </row>
    <row r="736" spans="2:9" x14ac:dyDescent="0.3">
      <c r="B736" s="7">
        <v>734</v>
      </c>
      <c r="C736" s="3" t="s">
        <v>740</v>
      </c>
      <c r="D736" s="2" t="s">
        <v>1041</v>
      </c>
      <c r="E736" s="3" t="s">
        <v>1007</v>
      </c>
      <c r="F736" s="3">
        <v>141</v>
      </c>
      <c r="G736" s="3">
        <v>166</v>
      </c>
      <c r="H736" s="8">
        <v>2000</v>
      </c>
      <c r="I736" s="18"/>
    </row>
    <row r="737" spans="2:9" x14ac:dyDescent="0.3">
      <c r="B737" s="7">
        <v>735</v>
      </c>
      <c r="C737" s="3" t="s">
        <v>741</v>
      </c>
      <c r="D737" s="2" t="s">
        <v>1049</v>
      </c>
      <c r="E737" s="3" t="s">
        <v>1010</v>
      </c>
      <c r="F737" s="3">
        <v>177</v>
      </c>
      <c r="G737" s="3">
        <v>112</v>
      </c>
      <c r="H737" s="8">
        <v>20</v>
      </c>
      <c r="I737" s="18"/>
    </row>
    <row r="738" spans="2:9" x14ac:dyDescent="0.3">
      <c r="B738" s="7">
        <v>736</v>
      </c>
      <c r="C738" s="3" t="s">
        <v>742</v>
      </c>
      <c r="D738" s="2" t="s">
        <v>1037</v>
      </c>
      <c r="E738" s="3" t="s">
        <v>1007</v>
      </c>
      <c r="F738" s="3">
        <v>162</v>
      </c>
      <c r="G738" s="3">
        <v>117</v>
      </c>
      <c r="H738" s="8">
        <v>10000</v>
      </c>
      <c r="I738" s="18"/>
    </row>
    <row r="739" spans="2:9" x14ac:dyDescent="0.3">
      <c r="B739" s="7">
        <v>737</v>
      </c>
      <c r="C739" s="3" t="s">
        <v>743</v>
      </c>
      <c r="D739" s="2" t="s">
        <v>1070</v>
      </c>
      <c r="E739" s="3" t="s">
        <v>1009</v>
      </c>
      <c r="F739" s="3">
        <v>38</v>
      </c>
      <c r="G739" s="3">
        <v>30</v>
      </c>
      <c r="H739" s="8">
        <v>1500</v>
      </c>
      <c r="I739" s="18"/>
    </row>
    <row r="740" spans="2:9" x14ac:dyDescent="0.3">
      <c r="B740" s="7">
        <v>738</v>
      </c>
      <c r="C740" s="3" t="s">
        <v>744</v>
      </c>
      <c r="D740" s="2" t="s">
        <v>1085</v>
      </c>
      <c r="E740" s="3" t="s">
        <v>1011</v>
      </c>
      <c r="F740" s="3">
        <v>198</v>
      </c>
      <c r="G740" s="3">
        <v>196</v>
      </c>
      <c r="H740" s="8">
        <v>1500</v>
      </c>
      <c r="I740" s="18"/>
    </row>
    <row r="741" spans="2:9" x14ac:dyDescent="0.3">
      <c r="B741" s="7">
        <v>739</v>
      </c>
      <c r="C741" s="3" t="s">
        <v>745</v>
      </c>
      <c r="D741" s="2" t="s">
        <v>1051</v>
      </c>
      <c r="E741" s="3" t="s">
        <v>1010</v>
      </c>
      <c r="F741" s="3">
        <v>184</v>
      </c>
      <c r="G741" s="3">
        <v>184</v>
      </c>
      <c r="H741" s="8">
        <v>50</v>
      </c>
      <c r="I741" s="18"/>
    </row>
    <row r="742" spans="2:9" x14ac:dyDescent="0.3">
      <c r="B742" s="7">
        <v>740</v>
      </c>
      <c r="C742" s="3" t="s">
        <v>746</v>
      </c>
      <c r="D742" s="2" t="s">
        <v>1075</v>
      </c>
      <c r="E742" s="3" t="s">
        <v>1009</v>
      </c>
      <c r="F742" s="3">
        <v>122</v>
      </c>
      <c r="G742" s="3">
        <v>52</v>
      </c>
      <c r="H742" s="8">
        <v>2000</v>
      </c>
      <c r="I742" s="18"/>
    </row>
    <row r="743" spans="2:9" x14ac:dyDescent="0.3">
      <c r="B743" s="7">
        <v>741</v>
      </c>
      <c r="C743" s="3" t="s">
        <v>747</v>
      </c>
      <c r="D743" s="2" t="s">
        <v>1057</v>
      </c>
      <c r="E743" s="3" t="s">
        <v>1012</v>
      </c>
      <c r="F743" s="3">
        <v>125</v>
      </c>
      <c r="G743" s="3">
        <v>131</v>
      </c>
      <c r="H743" s="8">
        <v>500</v>
      </c>
      <c r="I743" s="18"/>
    </row>
    <row r="744" spans="2:9" x14ac:dyDescent="0.3">
      <c r="B744" s="7">
        <v>742</v>
      </c>
      <c r="C744" s="3" t="s">
        <v>748</v>
      </c>
      <c r="D744" s="2" t="s">
        <v>1054</v>
      </c>
      <c r="E744" s="3" t="s">
        <v>1010</v>
      </c>
      <c r="F744" s="3">
        <v>101</v>
      </c>
      <c r="G744" s="3">
        <v>116</v>
      </c>
      <c r="H744" s="8">
        <v>30</v>
      </c>
      <c r="I744" s="18"/>
    </row>
    <row r="745" spans="2:9" x14ac:dyDescent="0.3">
      <c r="B745" s="7">
        <v>743</v>
      </c>
      <c r="C745" s="3" t="s">
        <v>749</v>
      </c>
      <c r="D745" s="2" t="s">
        <v>1076</v>
      </c>
      <c r="E745" s="3" t="s">
        <v>1009</v>
      </c>
      <c r="F745" s="3">
        <v>67</v>
      </c>
      <c r="G745" s="3">
        <v>55</v>
      </c>
      <c r="H745" s="8">
        <v>100</v>
      </c>
      <c r="I745" s="18"/>
    </row>
    <row r="746" spans="2:9" x14ac:dyDescent="0.3">
      <c r="B746" s="7">
        <v>744</v>
      </c>
      <c r="C746" s="3" t="s">
        <v>750</v>
      </c>
      <c r="D746" s="2" t="s">
        <v>1024</v>
      </c>
      <c r="E746" s="3" t="s">
        <v>1008</v>
      </c>
      <c r="F746" s="3">
        <v>155</v>
      </c>
      <c r="G746" s="3">
        <v>48</v>
      </c>
      <c r="H746" s="8">
        <v>150000</v>
      </c>
      <c r="I746" s="18"/>
    </row>
    <row r="747" spans="2:9" x14ac:dyDescent="0.3">
      <c r="B747" s="7">
        <v>745</v>
      </c>
      <c r="C747" s="3" t="s">
        <v>751</v>
      </c>
      <c r="D747" s="2" t="s">
        <v>1056</v>
      </c>
      <c r="E747" s="3" t="s">
        <v>1012</v>
      </c>
      <c r="F747" s="3">
        <v>31</v>
      </c>
      <c r="G747" s="3">
        <v>119</v>
      </c>
      <c r="H747" s="8">
        <v>100</v>
      </c>
      <c r="I747" s="18"/>
    </row>
    <row r="748" spans="2:9" x14ac:dyDescent="0.3">
      <c r="B748" s="7">
        <v>746</v>
      </c>
      <c r="C748" s="3" t="s">
        <v>752</v>
      </c>
      <c r="D748" s="2" t="s">
        <v>1080</v>
      </c>
      <c r="E748" s="3" t="s">
        <v>1011</v>
      </c>
      <c r="F748" s="3">
        <v>175</v>
      </c>
      <c r="G748" s="3">
        <v>44</v>
      </c>
      <c r="H748" s="8">
        <v>2500</v>
      </c>
      <c r="I748" s="18"/>
    </row>
    <row r="749" spans="2:9" x14ac:dyDescent="0.3">
      <c r="B749" s="7">
        <v>747</v>
      </c>
      <c r="C749" s="3" t="s">
        <v>753</v>
      </c>
      <c r="D749" s="2" t="s">
        <v>1077</v>
      </c>
      <c r="E749" s="3" t="s">
        <v>1011</v>
      </c>
      <c r="F749" s="3">
        <v>172</v>
      </c>
      <c r="G749" s="3">
        <v>53</v>
      </c>
      <c r="H749" s="8">
        <v>5000</v>
      </c>
      <c r="I749" s="18"/>
    </row>
    <row r="750" spans="2:9" x14ac:dyDescent="0.3">
      <c r="B750" s="7">
        <v>748</v>
      </c>
      <c r="C750" s="3" t="s">
        <v>754</v>
      </c>
      <c r="D750" s="2" t="s">
        <v>1048</v>
      </c>
      <c r="E750" s="3" t="s">
        <v>1010</v>
      </c>
      <c r="F750" s="3">
        <v>81</v>
      </c>
      <c r="G750" s="3">
        <v>175</v>
      </c>
      <c r="H750" s="8">
        <v>50</v>
      </c>
      <c r="I750" s="18"/>
    </row>
    <row r="751" spans="2:9" x14ac:dyDescent="0.3">
      <c r="B751" s="7">
        <v>749</v>
      </c>
      <c r="C751" s="3" t="s">
        <v>755</v>
      </c>
      <c r="D751" s="2" t="s">
        <v>1069</v>
      </c>
      <c r="E751" s="3" t="s">
        <v>1009</v>
      </c>
      <c r="F751" s="3">
        <v>114</v>
      </c>
      <c r="G751" s="3">
        <v>150</v>
      </c>
      <c r="H751" s="8">
        <v>200</v>
      </c>
      <c r="I751" s="18"/>
    </row>
    <row r="752" spans="2:9" x14ac:dyDescent="0.3">
      <c r="B752" s="7">
        <v>750</v>
      </c>
      <c r="C752" s="3" t="s">
        <v>756</v>
      </c>
      <c r="D752" s="2" t="s">
        <v>1035</v>
      </c>
      <c r="E752" s="3" t="s">
        <v>1007</v>
      </c>
      <c r="F752" s="3">
        <v>172</v>
      </c>
      <c r="G752" s="3">
        <v>138</v>
      </c>
      <c r="H752" s="8">
        <v>15000</v>
      </c>
      <c r="I752" s="18"/>
    </row>
    <row r="753" spans="2:9" x14ac:dyDescent="0.3">
      <c r="B753" s="7">
        <v>751</v>
      </c>
      <c r="C753" s="3" t="s">
        <v>757</v>
      </c>
      <c r="D753" s="2" t="s">
        <v>1061</v>
      </c>
      <c r="E753" s="3" t="s">
        <v>1012</v>
      </c>
      <c r="F753" s="3">
        <v>58</v>
      </c>
      <c r="G753" s="3">
        <v>33</v>
      </c>
      <c r="H753" s="8">
        <v>500</v>
      </c>
      <c r="I753" s="18"/>
    </row>
    <row r="754" spans="2:9" x14ac:dyDescent="0.3">
      <c r="B754" s="7">
        <v>752</v>
      </c>
      <c r="C754" s="3" t="s">
        <v>758</v>
      </c>
      <c r="D754" s="2" t="s">
        <v>1069</v>
      </c>
      <c r="E754" s="3" t="s">
        <v>1009</v>
      </c>
      <c r="F754" s="3">
        <v>195</v>
      </c>
      <c r="G754" s="3">
        <v>45</v>
      </c>
      <c r="H754" s="8">
        <v>200</v>
      </c>
      <c r="I754" s="18"/>
    </row>
    <row r="755" spans="2:9" x14ac:dyDescent="0.3">
      <c r="B755" s="7">
        <v>753</v>
      </c>
      <c r="C755" s="3" t="s">
        <v>759</v>
      </c>
      <c r="D755" s="2" t="s">
        <v>1051</v>
      </c>
      <c r="E755" s="3" t="s">
        <v>1010</v>
      </c>
      <c r="F755" s="3">
        <v>47</v>
      </c>
      <c r="G755" s="3">
        <v>143</v>
      </c>
      <c r="H755" s="8">
        <v>50</v>
      </c>
      <c r="I755" s="18"/>
    </row>
    <row r="756" spans="2:9" x14ac:dyDescent="0.3">
      <c r="B756" s="7">
        <v>754</v>
      </c>
      <c r="C756" s="3" t="s">
        <v>760</v>
      </c>
      <c r="D756" s="2" t="s">
        <v>1060</v>
      </c>
      <c r="E756" s="3" t="s">
        <v>1012</v>
      </c>
      <c r="F756" s="3">
        <v>131</v>
      </c>
      <c r="G756" s="3">
        <v>148</v>
      </c>
      <c r="H756" s="8">
        <v>1500</v>
      </c>
      <c r="I756" s="18"/>
    </row>
    <row r="757" spans="2:9" x14ac:dyDescent="0.3">
      <c r="B757" s="7">
        <v>755</v>
      </c>
      <c r="C757" s="3" t="s">
        <v>761</v>
      </c>
      <c r="D757" s="2" t="s">
        <v>1082</v>
      </c>
      <c r="E757" s="3" t="s">
        <v>1011</v>
      </c>
      <c r="F757" s="3">
        <v>59</v>
      </c>
      <c r="G757" s="3">
        <v>140</v>
      </c>
      <c r="H757" s="8">
        <v>2000</v>
      </c>
      <c r="I757" s="18"/>
    </row>
    <row r="758" spans="2:9" x14ac:dyDescent="0.3">
      <c r="B758" s="7">
        <v>756</v>
      </c>
      <c r="C758" s="3" t="s">
        <v>762</v>
      </c>
      <c r="D758" s="2" t="s">
        <v>1068</v>
      </c>
      <c r="E758" s="3" t="s">
        <v>1009</v>
      </c>
      <c r="F758" s="3">
        <v>83</v>
      </c>
      <c r="G758" s="3">
        <v>122</v>
      </c>
      <c r="H758" s="8">
        <v>100</v>
      </c>
      <c r="I758" s="18"/>
    </row>
    <row r="759" spans="2:9" x14ac:dyDescent="0.3">
      <c r="B759" s="7">
        <v>757</v>
      </c>
      <c r="C759" s="3" t="s">
        <v>763</v>
      </c>
      <c r="D759" s="2" t="s">
        <v>1033</v>
      </c>
      <c r="E759" s="3" t="s">
        <v>1008</v>
      </c>
      <c r="F759" s="3">
        <v>134</v>
      </c>
      <c r="G759" s="3">
        <v>109</v>
      </c>
      <c r="H759" s="8">
        <v>4000</v>
      </c>
      <c r="I759" s="18"/>
    </row>
    <row r="760" spans="2:9" x14ac:dyDescent="0.3">
      <c r="B760" s="7">
        <v>758</v>
      </c>
      <c r="C760" s="3" t="s">
        <v>764</v>
      </c>
      <c r="D760" s="2" t="s">
        <v>1032</v>
      </c>
      <c r="E760" s="3" t="s">
        <v>1008</v>
      </c>
      <c r="F760" s="3">
        <v>35</v>
      </c>
      <c r="G760" s="3">
        <v>140</v>
      </c>
      <c r="H760" s="8">
        <v>2000</v>
      </c>
      <c r="I760" s="18"/>
    </row>
    <row r="761" spans="2:9" x14ac:dyDescent="0.3">
      <c r="B761" s="7">
        <v>759</v>
      </c>
      <c r="C761" s="3" t="s">
        <v>765</v>
      </c>
      <c r="D761" s="2" t="s">
        <v>1081</v>
      </c>
      <c r="E761" s="3" t="s">
        <v>1011</v>
      </c>
      <c r="F761" s="3">
        <v>160</v>
      </c>
      <c r="G761" s="3">
        <v>195</v>
      </c>
      <c r="H761" s="8">
        <v>1000</v>
      </c>
      <c r="I761" s="18"/>
    </row>
    <row r="762" spans="2:9" x14ac:dyDescent="0.3">
      <c r="B762" s="7">
        <v>760</v>
      </c>
      <c r="C762" s="3" t="s">
        <v>766</v>
      </c>
      <c r="D762" s="2" t="s">
        <v>1071</v>
      </c>
      <c r="E762" s="3" t="s">
        <v>1009</v>
      </c>
      <c r="F762" s="3">
        <v>89</v>
      </c>
      <c r="G762" s="3">
        <v>58</v>
      </c>
      <c r="H762" s="8">
        <v>200</v>
      </c>
      <c r="I762" s="18"/>
    </row>
    <row r="763" spans="2:9" x14ac:dyDescent="0.3">
      <c r="B763" s="7">
        <v>761</v>
      </c>
      <c r="C763" s="3" t="s">
        <v>767</v>
      </c>
      <c r="D763" s="2" t="s">
        <v>1074</v>
      </c>
      <c r="E763" s="3" t="s">
        <v>1009</v>
      </c>
      <c r="F763" s="3">
        <v>127</v>
      </c>
      <c r="G763" s="3">
        <v>185</v>
      </c>
      <c r="H763" s="8">
        <v>500</v>
      </c>
      <c r="I763" s="18"/>
    </row>
    <row r="764" spans="2:9" x14ac:dyDescent="0.3">
      <c r="B764" s="7">
        <v>762</v>
      </c>
      <c r="C764" s="3" t="s">
        <v>768</v>
      </c>
      <c r="D764" s="2" t="s">
        <v>1028</v>
      </c>
      <c r="E764" s="3" t="s">
        <v>1008</v>
      </c>
      <c r="F764" s="3">
        <v>43</v>
      </c>
      <c r="G764" s="3">
        <v>55</v>
      </c>
      <c r="H764" s="8">
        <v>15000</v>
      </c>
      <c r="I764" s="18"/>
    </row>
    <row r="765" spans="2:9" x14ac:dyDescent="0.3">
      <c r="B765" s="7">
        <v>763</v>
      </c>
      <c r="C765" s="3" t="s">
        <v>769</v>
      </c>
      <c r="D765" s="2" t="s">
        <v>1059</v>
      </c>
      <c r="E765" s="3" t="s">
        <v>1012</v>
      </c>
      <c r="F765" s="3">
        <v>123</v>
      </c>
      <c r="G765" s="3">
        <v>192</v>
      </c>
      <c r="H765" s="8">
        <v>200</v>
      </c>
      <c r="I765" s="18"/>
    </row>
    <row r="766" spans="2:9" x14ac:dyDescent="0.3">
      <c r="B766" s="7">
        <v>764</v>
      </c>
      <c r="C766" s="3" t="s">
        <v>770</v>
      </c>
      <c r="D766" s="2" t="s">
        <v>1026</v>
      </c>
      <c r="E766" s="3" t="s">
        <v>1008</v>
      </c>
      <c r="F766" s="3">
        <v>56</v>
      </c>
      <c r="G766" s="3">
        <v>105</v>
      </c>
      <c r="H766" s="8">
        <v>6000</v>
      </c>
      <c r="I766" s="18"/>
    </row>
    <row r="767" spans="2:9" x14ac:dyDescent="0.3">
      <c r="B767" s="7">
        <v>765</v>
      </c>
      <c r="C767" s="3" t="s">
        <v>771</v>
      </c>
      <c r="D767" s="2" t="s">
        <v>1033</v>
      </c>
      <c r="E767" s="3" t="s">
        <v>1008</v>
      </c>
      <c r="F767" s="3">
        <v>168</v>
      </c>
      <c r="G767" s="3">
        <v>168</v>
      </c>
      <c r="H767" s="8">
        <v>4000</v>
      </c>
      <c r="I767" s="18"/>
    </row>
    <row r="768" spans="2:9" x14ac:dyDescent="0.3">
      <c r="B768" s="7">
        <v>766</v>
      </c>
      <c r="C768" s="3" t="s">
        <v>772</v>
      </c>
      <c r="D768" s="2" t="s">
        <v>1048</v>
      </c>
      <c r="E768" s="3" t="s">
        <v>1010</v>
      </c>
      <c r="F768" s="3">
        <v>151</v>
      </c>
      <c r="G768" s="3">
        <v>151</v>
      </c>
      <c r="H768" s="8">
        <v>50</v>
      </c>
      <c r="I768" s="18"/>
    </row>
    <row r="769" spans="2:9" x14ac:dyDescent="0.3">
      <c r="B769" s="7">
        <v>767</v>
      </c>
      <c r="C769" s="3" t="s">
        <v>773</v>
      </c>
      <c r="D769" s="2" t="s">
        <v>1058</v>
      </c>
      <c r="E769" s="3" t="s">
        <v>1012</v>
      </c>
      <c r="F769" s="3">
        <v>90</v>
      </c>
      <c r="G769" s="3">
        <v>90</v>
      </c>
      <c r="H769" s="8">
        <v>500</v>
      </c>
      <c r="I769" s="18"/>
    </row>
    <row r="770" spans="2:9" x14ac:dyDescent="0.3">
      <c r="B770" s="7">
        <v>768</v>
      </c>
      <c r="C770" s="3" t="s">
        <v>774</v>
      </c>
      <c r="D770" s="2" t="s">
        <v>1084</v>
      </c>
      <c r="E770" s="3" t="s">
        <v>1011</v>
      </c>
      <c r="F770" s="3">
        <v>176</v>
      </c>
      <c r="G770" s="3">
        <v>176</v>
      </c>
      <c r="H770" s="8">
        <v>2000</v>
      </c>
      <c r="I770" s="18"/>
    </row>
    <row r="771" spans="2:9" x14ac:dyDescent="0.3">
      <c r="B771" s="7">
        <v>769</v>
      </c>
      <c r="C771" s="3" t="s">
        <v>775</v>
      </c>
      <c r="D771" s="2" t="s">
        <v>1075</v>
      </c>
      <c r="E771" s="3" t="s">
        <v>1009</v>
      </c>
      <c r="F771" s="3">
        <v>97</v>
      </c>
      <c r="G771" s="3">
        <v>97</v>
      </c>
      <c r="H771" s="8">
        <v>2000</v>
      </c>
      <c r="I771" s="18"/>
    </row>
    <row r="772" spans="2:9" x14ac:dyDescent="0.3">
      <c r="B772" s="7">
        <v>770</v>
      </c>
      <c r="C772" s="3" t="s">
        <v>776</v>
      </c>
      <c r="D772" s="2" t="s">
        <v>1035</v>
      </c>
      <c r="E772" s="3" t="s">
        <v>1007</v>
      </c>
      <c r="F772" s="3">
        <v>103</v>
      </c>
      <c r="G772" s="3">
        <v>103</v>
      </c>
      <c r="H772" s="8">
        <v>15000</v>
      </c>
      <c r="I772" s="18"/>
    </row>
    <row r="773" spans="2:9" x14ac:dyDescent="0.3">
      <c r="B773" s="7">
        <v>771</v>
      </c>
      <c r="C773" s="3" t="s">
        <v>777</v>
      </c>
      <c r="D773" s="2" t="s">
        <v>1036</v>
      </c>
      <c r="E773" s="3" t="s">
        <v>1007</v>
      </c>
      <c r="F773" s="3">
        <v>124</v>
      </c>
      <c r="G773" s="3">
        <v>124</v>
      </c>
      <c r="H773" s="8">
        <v>8000</v>
      </c>
      <c r="I773" s="18"/>
    </row>
    <row r="774" spans="2:9" x14ac:dyDescent="0.3">
      <c r="B774" s="7">
        <v>772</v>
      </c>
      <c r="C774" s="3" t="s">
        <v>778</v>
      </c>
      <c r="D774" s="2" t="s">
        <v>1036</v>
      </c>
      <c r="E774" s="3" t="s">
        <v>1007</v>
      </c>
      <c r="F774" s="3">
        <v>59</v>
      </c>
      <c r="G774" s="3">
        <v>59</v>
      </c>
      <c r="H774" s="8">
        <v>8000</v>
      </c>
      <c r="I774" s="18"/>
    </row>
    <row r="775" spans="2:9" x14ac:dyDescent="0.3">
      <c r="B775" s="7">
        <v>773</v>
      </c>
      <c r="C775" s="3" t="s">
        <v>779</v>
      </c>
      <c r="D775" s="2" t="s">
        <v>1061</v>
      </c>
      <c r="E775" s="3" t="s">
        <v>1012</v>
      </c>
      <c r="F775" s="3">
        <v>89</v>
      </c>
      <c r="G775" s="3">
        <v>89</v>
      </c>
      <c r="H775" s="8">
        <v>500</v>
      </c>
      <c r="I775" s="18"/>
    </row>
    <row r="776" spans="2:9" x14ac:dyDescent="0.3">
      <c r="B776" s="7">
        <v>774</v>
      </c>
      <c r="C776" s="3" t="s">
        <v>780</v>
      </c>
      <c r="D776" s="2" t="s">
        <v>1062</v>
      </c>
      <c r="E776" s="3" t="s">
        <v>1009</v>
      </c>
      <c r="F776" s="3">
        <v>165</v>
      </c>
      <c r="G776" s="3">
        <v>165</v>
      </c>
      <c r="H776" s="8">
        <v>100</v>
      </c>
      <c r="I776" s="18"/>
    </row>
    <row r="777" spans="2:9" x14ac:dyDescent="0.3">
      <c r="B777" s="7">
        <v>775</v>
      </c>
      <c r="C777" s="3" t="s">
        <v>781</v>
      </c>
      <c r="D777" s="2" t="s">
        <v>1039</v>
      </c>
      <c r="E777" s="3" t="s">
        <v>1007</v>
      </c>
      <c r="F777" s="3">
        <v>178</v>
      </c>
      <c r="G777" s="3">
        <v>178</v>
      </c>
      <c r="H777" s="8">
        <v>12000</v>
      </c>
      <c r="I777" s="18"/>
    </row>
    <row r="778" spans="2:9" x14ac:dyDescent="0.3">
      <c r="B778" s="7">
        <v>776</v>
      </c>
      <c r="C778" s="3" t="s">
        <v>782</v>
      </c>
      <c r="D778" s="2" t="s">
        <v>1067</v>
      </c>
      <c r="E778" s="3" t="s">
        <v>1009</v>
      </c>
      <c r="F778" s="3">
        <v>140</v>
      </c>
      <c r="G778" s="3">
        <v>140</v>
      </c>
      <c r="H778" s="8">
        <v>100</v>
      </c>
      <c r="I778" s="18"/>
    </row>
    <row r="779" spans="2:9" x14ac:dyDescent="0.3">
      <c r="B779" s="7">
        <v>777</v>
      </c>
      <c r="C779" s="3" t="s">
        <v>783</v>
      </c>
      <c r="D779" s="2" t="s">
        <v>1045</v>
      </c>
      <c r="E779" s="3" t="s">
        <v>1010</v>
      </c>
      <c r="F779" s="3">
        <v>165</v>
      </c>
      <c r="G779" s="3">
        <v>165</v>
      </c>
      <c r="H779" s="8">
        <v>100</v>
      </c>
      <c r="I779" s="18"/>
    </row>
    <row r="780" spans="2:9" x14ac:dyDescent="0.3">
      <c r="B780" s="7">
        <v>778</v>
      </c>
      <c r="C780" s="3" t="s">
        <v>784</v>
      </c>
      <c r="D780" s="2" t="s">
        <v>1070</v>
      </c>
      <c r="E780" s="3" t="s">
        <v>1009</v>
      </c>
      <c r="F780" s="3">
        <v>65</v>
      </c>
      <c r="G780" s="3">
        <v>65</v>
      </c>
      <c r="H780" s="8">
        <v>1500</v>
      </c>
      <c r="I780" s="18"/>
    </row>
    <row r="781" spans="2:9" x14ac:dyDescent="0.3">
      <c r="B781" s="7">
        <v>779</v>
      </c>
      <c r="C781" s="3" t="s">
        <v>785</v>
      </c>
      <c r="D781" s="2" t="s">
        <v>1041</v>
      </c>
      <c r="E781" s="3" t="s">
        <v>1007</v>
      </c>
      <c r="F781" s="3">
        <v>44</v>
      </c>
      <c r="G781" s="3">
        <v>44</v>
      </c>
      <c r="H781" s="8">
        <v>2000</v>
      </c>
      <c r="I781" s="18"/>
    </row>
    <row r="782" spans="2:9" x14ac:dyDescent="0.3">
      <c r="B782" s="7">
        <v>780</v>
      </c>
      <c r="C782" s="3" t="s">
        <v>786</v>
      </c>
      <c r="D782" s="2" t="s">
        <v>1061</v>
      </c>
      <c r="E782" s="3" t="s">
        <v>1012</v>
      </c>
      <c r="F782" s="3">
        <v>170</v>
      </c>
      <c r="G782" s="3">
        <v>170</v>
      </c>
      <c r="H782" s="8">
        <v>500</v>
      </c>
      <c r="I782" s="18"/>
    </row>
    <row r="783" spans="2:9" x14ac:dyDescent="0.3">
      <c r="B783" s="7">
        <v>781</v>
      </c>
      <c r="C783" s="3" t="s">
        <v>787</v>
      </c>
      <c r="D783" s="2" t="s">
        <v>1067</v>
      </c>
      <c r="E783" s="3" t="s">
        <v>1009</v>
      </c>
      <c r="F783" s="3">
        <v>107</v>
      </c>
      <c r="G783" s="3">
        <v>107</v>
      </c>
      <c r="H783" s="8">
        <v>100</v>
      </c>
      <c r="I783" s="18"/>
    </row>
    <row r="784" spans="2:9" x14ac:dyDescent="0.3">
      <c r="B784" s="7">
        <v>782</v>
      </c>
      <c r="C784" s="3" t="s">
        <v>788</v>
      </c>
      <c r="D784" s="2" t="s">
        <v>1036</v>
      </c>
      <c r="E784" s="3" t="s">
        <v>1007</v>
      </c>
      <c r="F784" s="3">
        <v>76</v>
      </c>
      <c r="G784" s="3">
        <v>76</v>
      </c>
      <c r="H784" s="8">
        <v>8000</v>
      </c>
      <c r="I784" s="18"/>
    </row>
    <row r="785" spans="2:9" x14ac:dyDescent="0.3">
      <c r="B785" s="7">
        <v>783</v>
      </c>
      <c r="C785" s="3" t="s">
        <v>789</v>
      </c>
      <c r="D785" s="2" t="s">
        <v>1060</v>
      </c>
      <c r="E785" s="3" t="s">
        <v>1012</v>
      </c>
      <c r="F785" s="3">
        <v>110</v>
      </c>
      <c r="G785" s="3">
        <v>110</v>
      </c>
      <c r="H785" s="8">
        <v>1500</v>
      </c>
      <c r="I785" s="18"/>
    </row>
    <row r="786" spans="2:9" x14ac:dyDescent="0.3">
      <c r="B786" s="7">
        <v>784</v>
      </c>
      <c r="C786" s="3" t="s">
        <v>790</v>
      </c>
      <c r="D786" s="2" t="s">
        <v>1021</v>
      </c>
      <c r="E786" s="3" t="s">
        <v>1008</v>
      </c>
      <c r="F786" s="3">
        <v>128</v>
      </c>
      <c r="G786" s="3">
        <v>128</v>
      </c>
      <c r="H786" s="8">
        <v>20000</v>
      </c>
      <c r="I786" s="18"/>
    </row>
    <row r="787" spans="2:9" x14ac:dyDescent="0.3">
      <c r="B787" s="7">
        <v>785</v>
      </c>
      <c r="C787" s="3" t="s">
        <v>791</v>
      </c>
      <c r="D787" s="2" t="s">
        <v>1059</v>
      </c>
      <c r="E787" s="3" t="s">
        <v>1012</v>
      </c>
      <c r="F787" s="3">
        <v>37</v>
      </c>
      <c r="G787" s="3">
        <v>37</v>
      </c>
      <c r="H787" s="8">
        <v>200</v>
      </c>
      <c r="I787" s="18"/>
    </row>
    <row r="788" spans="2:9" x14ac:dyDescent="0.3">
      <c r="B788" s="7">
        <v>786</v>
      </c>
      <c r="C788" s="3" t="s">
        <v>792</v>
      </c>
      <c r="D788" s="2" t="s">
        <v>1060</v>
      </c>
      <c r="E788" s="3" t="s">
        <v>1012</v>
      </c>
      <c r="F788" s="3">
        <v>152</v>
      </c>
      <c r="G788" s="3">
        <v>152</v>
      </c>
      <c r="H788" s="8">
        <v>1500</v>
      </c>
      <c r="I788" s="18"/>
    </row>
    <row r="789" spans="2:9" x14ac:dyDescent="0.3">
      <c r="B789" s="7">
        <v>787</v>
      </c>
      <c r="C789" s="3" t="s">
        <v>793</v>
      </c>
      <c r="D789" s="2" t="s">
        <v>1081</v>
      </c>
      <c r="E789" s="3" t="s">
        <v>1011</v>
      </c>
      <c r="F789" s="3">
        <v>70</v>
      </c>
      <c r="G789" s="3">
        <v>70</v>
      </c>
      <c r="H789" s="8">
        <v>1000</v>
      </c>
      <c r="I789" s="18"/>
    </row>
    <row r="790" spans="2:9" x14ac:dyDescent="0.3">
      <c r="B790" s="7">
        <v>788</v>
      </c>
      <c r="C790" s="3" t="s">
        <v>794</v>
      </c>
      <c r="D790" s="2" t="s">
        <v>1036</v>
      </c>
      <c r="E790" s="3" t="s">
        <v>1007</v>
      </c>
      <c r="F790" s="3">
        <v>112</v>
      </c>
      <c r="G790" s="3">
        <v>112</v>
      </c>
      <c r="H790" s="8">
        <v>8000</v>
      </c>
      <c r="I790" s="18"/>
    </row>
    <row r="791" spans="2:9" x14ac:dyDescent="0.3">
      <c r="B791" s="7">
        <v>789</v>
      </c>
      <c r="C791" s="3" t="s">
        <v>795</v>
      </c>
      <c r="D791" s="2" t="s">
        <v>1037</v>
      </c>
      <c r="E791" s="3" t="s">
        <v>1007</v>
      </c>
      <c r="F791" s="3">
        <v>158</v>
      </c>
      <c r="G791" s="3">
        <v>158</v>
      </c>
      <c r="H791" s="8">
        <v>10000</v>
      </c>
      <c r="I791" s="18"/>
    </row>
    <row r="792" spans="2:9" x14ac:dyDescent="0.3">
      <c r="B792" s="7">
        <v>790</v>
      </c>
      <c r="C792" s="3" t="s">
        <v>796</v>
      </c>
      <c r="D792" s="2" t="s">
        <v>1031</v>
      </c>
      <c r="E792" s="3" t="s">
        <v>1008</v>
      </c>
      <c r="F792" s="3">
        <v>164</v>
      </c>
      <c r="G792" s="3">
        <v>164</v>
      </c>
      <c r="H792" s="8">
        <v>40000</v>
      </c>
      <c r="I792" s="18"/>
    </row>
    <row r="793" spans="2:9" x14ac:dyDescent="0.3">
      <c r="B793" s="7">
        <v>791</v>
      </c>
      <c r="C793" s="3" t="s">
        <v>797</v>
      </c>
      <c r="D793" s="2" t="s">
        <v>1062</v>
      </c>
      <c r="E793" s="3" t="s">
        <v>1009</v>
      </c>
      <c r="F793" s="3">
        <v>34</v>
      </c>
      <c r="G793" s="3">
        <v>34</v>
      </c>
      <c r="H793" s="8">
        <v>100</v>
      </c>
      <c r="I793" s="18"/>
    </row>
    <row r="794" spans="2:9" x14ac:dyDescent="0.3">
      <c r="B794" s="7">
        <v>792</v>
      </c>
      <c r="C794" s="3" t="s">
        <v>798</v>
      </c>
      <c r="D794" s="2" t="s">
        <v>1084</v>
      </c>
      <c r="E794" s="3" t="s">
        <v>1011</v>
      </c>
      <c r="F794" s="3">
        <v>120</v>
      </c>
      <c r="G794" s="3">
        <v>120</v>
      </c>
      <c r="H794" s="8">
        <v>2000</v>
      </c>
      <c r="I794" s="18"/>
    </row>
    <row r="795" spans="2:9" x14ac:dyDescent="0.3">
      <c r="B795" s="7">
        <v>793</v>
      </c>
      <c r="C795" s="3" t="s">
        <v>799</v>
      </c>
      <c r="D795" s="2" t="s">
        <v>1028</v>
      </c>
      <c r="E795" s="3" t="s">
        <v>1008</v>
      </c>
      <c r="F795" s="3">
        <v>131</v>
      </c>
      <c r="G795" s="3">
        <v>131</v>
      </c>
      <c r="H795" s="8">
        <v>15000</v>
      </c>
      <c r="I795" s="18"/>
    </row>
    <row r="796" spans="2:9" x14ac:dyDescent="0.3">
      <c r="B796" s="7">
        <v>794</v>
      </c>
      <c r="C796" s="3" t="s">
        <v>800</v>
      </c>
      <c r="D796" s="2" t="s">
        <v>1021</v>
      </c>
      <c r="E796" s="3" t="s">
        <v>1008</v>
      </c>
      <c r="F796" s="3">
        <v>107</v>
      </c>
      <c r="G796" s="3">
        <v>107</v>
      </c>
      <c r="H796" s="8">
        <v>20000</v>
      </c>
      <c r="I796" s="18"/>
    </row>
    <row r="797" spans="2:9" x14ac:dyDescent="0.3">
      <c r="B797" s="7">
        <v>795</v>
      </c>
      <c r="C797" s="3" t="s">
        <v>801</v>
      </c>
      <c r="D797" s="2" t="s">
        <v>1039</v>
      </c>
      <c r="E797" s="3" t="s">
        <v>1007</v>
      </c>
      <c r="F797" s="3">
        <v>171</v>
      </c>
      <c r="G797" s="3">
        <v>171</v>
      </c>
      <c r="H797" s="8">
        <v>12000</v>
      </c>
      <c r="I797" s="18"/>
    </row>
    <row r="798" spans="2:9" x14ac:dyDescent="0.3">
      <c r="B798" s="7">
        <v>796</v>
      </c>
      <c r="C798" s="3" t="s">
        <v>802</v>
      </c>
      <c r="D798" s="2" t="s">
        <v>1072</v>
      </c>
      <c r="E798" s="3" t="s">
        <v>1009</v>
      </c>
      <c r="F798" s="3">
        <v>102</v>
      </c>
      <c r="G798" s="3">
        <v>102</v>
      </c>
      <c r="H798" s="8">
        <v>50</v>
      </c>
      <c r="I798" s="18"/>
    </row>
    <row r="799" spans="2:9" x14ac:dyDescent="0.3">
      <c r="B799" s="7">
        <v>797</v>
      </c>
      <c r="C799" s="3" t="s">
        <v>803</v>
      </c>
      <c r="D799" s="2" t="s">
        <v>1035</v>
      </c>
      <c r="E799" s="3" t="s">
        <v>1007</v>
      </c>
      <c r="F799" s="3">
        <v>116</v>
      </c>
      <c r="G799" s="3">
        <v>116</v>
      </c>
      <c r="H799" s="8">
        <v>15000</v>
      </c>
      <c r="I799" s="18"/>
    </row>
    <row r="800" spans="2:9" x14ac:dyDescent="0.3">
      <c r="B800" s="7">
        <v>798</v>
      </c>
      <c r="C800" s="3" t="s">
        <v>804</v>
      </c>
      <c r="D800" s="2" t="s">
        <v>1046</v>
      </c>
      <c r="E800" s="3" t="s">
        <v>1010</v>
      </c>
      <c r="F800" s="3">
        <v>199</v>
      </c>
      <c r="G800" s="3">
        <v>199</v>
      </c>
      <c r="H800" s="8">
        <v>100</v>
      </c>
      <c r="I800" s="18"/>
    </row>
    <row r="801" spans="2:9" x14ac:dyDescent="0.3">
      <c r="B801" s="7">
        <v>799</v>
      </c>
      <c r="C801" s="3" t="s">
        <v>805</v>
      </c>
      <c r="D801" s="2" t="s">
        <v>1073</v>
      </c>
      <c r="E801" s="3" t="s">
        <v>1009</v>
      </c>
      <c r="F801" s="3">
        <v>180</v>
      </c>
      <c r="G801" s="3">
        <v>180</v>
      </c>
      <c r="H801" s="8">
        <v>100</v>
      </c>
      <c r="I801" s="18"/>
    </row>
    <row r="802" spans="2:9" x14ac:dyDescent="0.3">
      <c r="B802" s="7">
        <v>800</v>
      </c>
      <c r="C802" s="3" t="s">
        <v>806</v>
      </c>
      <c r="D802" s="2" t="s">
        <v>1045</v>
      </c>
      <c r="E802" s="3" t="s">
        <v>1010</v>
      </c>
      <c r="F802" s="3">
        <v>144</v>
      </c>
      <c r="G802" s="3">
        <v>144</v>
      </c>
      <c r="H802" s="8">
        <v>100</v>
      </c>
      <c r="I802" s="18"/>
    </row>
    <row r="803" spans="2:9" x14ac:dyDescent="0.3">
      <c r="B803" s="7">
        <v>801</v>
      </c>
      <c r="C803" s="3" t="s">
        <v>807</v>
      </c>
      <c r="D803" s="2" t="s">
        <v>1042</v>
      </c>
      <c r="E803" s="3" t="s">
        <v>1007</v>
      </c>
      <c r="F803" s="3">
        <v>45</v>
      </c>
      <c r="G803" s="3">
        <v>45</v>
      </c>
      <c r="H803" s="8">
        <v>3000</v>
      </c>
      <c r="I803" s="18"/>
    </row>
    <row r="804" spans="2:9" x14ac:dyDescent="0.3">
      <c r="B804" s="7">
        <v>802</v>
      </c>
      <c r="C804" s="3" t="s">
        <v>808</v>
      </c>
      <c r="D804" s="2" t="s">
        <v>1051</v>
      </c>
      <c r="E804" s="3" t="s">
        <v>1010</v>
      </c>
      <c r="F804" s="3">
        <v>196</v>
      </c>
      <c r="G804" s="3">
        <v>196</v>
      </c>
      <c r="H804" s="8">
        <v>50</v>
      </c>
      <c r="I804" s="18"/>
    </row>
    <row r="805" spans="2:9" x14ac:dyDescent="0.3">
      <c r="B805" s="7">
        <v>803</v>
      </c>
      <c r="C805" s="3" t="s">
        <v>809</v>
      </c>
      <c r="D805" s="2" t="s">
        <v>1051</v>
      </c>
      <c r="E805" s="3" t="s">
        <v>1010</v>
      </c>
      <c r="F805" s="3">
        <v>197</v>
      </c>
      <c r="G805" s="3">
        <v>197</v>
      </c>
      <c r="H805" s="8">
        <v>50</v>
      </c>
      <c r="I805" s="18"/>
    </row>
    <row r="806" spans="2:9" x14ac:dyDescent="0.3">
      <c r="B806" s="7">
        <v>804</v>
      </c>
      <c r="C806" s="3" t="s">
        <v>810</v>
      </c>
      <c r="D806" s="2" t="s">
        <v>1023</v>
      </c>
      <c r="E806" s="3" t="s">
        <v>1008</v>
      </c>
      <c r="F806" s="3">
        <v>186</v>
      </c>
      <c r="G806" s="3">
        <v>186</v>
      </c>
      <c r="H806" s="8">
        <v>20000</v>
      </c>
      <c r="I806" s="18"/>
    </row>
    <row r="807" spans="2:9" x14ac:dyDescent="0.3">
      <c r="B807" s="7">
        <v>805</v>
      </c>
      <c r="C807" s="3" t="s">
        <v>811</v>
      </c>
      <c r="D807" s="2" t="s">
        <v>1080</v>
      </c>
      <c r="E807" s="3" t="s">
        <v>1011</v>
      </c>
      <c r="F807" s="3">
        <v>186</v>
      </c>
      <c r="G807" s="3">
        <v>186</v>
      </c>
      <c r="H807" s="8">
        <v>2500</v>
      </c>
      <c r="I807" s="18"/>
    </row>
    <row r="808" spans="2:9" x14ac:dyDescent="0.3">
      <c r="B808" s="7">
        <v>806</v>
      </c>
      <c r="C808" s="3" t="s">
        <v>812</v>
      </c>
      <c r="D808" s="2" t="s">
        <v>1061</v>
      </c>
      <c r="E808" s="3" t="s">
        <v>1012</v>
      </c>
      <c r="F808" s="3">
        <v>120</v>
      </c>
      <c r="G808" s="3">
        <v>120</v>
      </c>
      <c r="H808" s="8">
        <v>500</v>
      </c>
      <c r="I808" s="18"/>
    </row>
    <row r="809" spans="2:9" x14ac:dyDescent="0.3">
      <c r="B809" s="7">
        <v>807</v>
      </c>
      <c r="C809" s="3" t="s">
        <v>813</v>
      </c>
      <c r="D809" s="2" t="s">
        <v>1076</v>
      </c>
      <c r="E809" s="3" t="s">
        <v>1009</v>
      </c>
      <c r="F809" s="3">
        <v>91</v>
      </c>
      <c r="G809" s="3">
        <v>91</v>
      </c>
      <c r="H809" s="8">
        <v>100</v>
      </c>
      <c r="I809" s="18"/>
    </row>
    <row r="810" spans="2:9" x14ac:dyDescent="0.3">
      <c r="B810" s="7">
        <v>808</v>
      </c>
      <c r="C810" s="3" t="s">
        <v>814</v>
      </c>
      <c r="D810" s="2" t="s">
        <v>1028</v>
      </c>
      <c r="E810" s="3" t="s">
        <v>1008</v>
      </c>
      <c r="F810" s="3">
        <v>61</v>
      </c>
      <c r="G810" s="3">
        <v>61</v>
      </c>
      <c r="H810" s="8">
        <v>15000</v>
      </c>
      <c r="I810" s="18"/>
    </row>
    <row r="811" spans="2:9" x14ac:dyDescent="0.3">
      <c r="B811" s="7">
        <v>809</v>
      </c>
      <c r="C811" s="3" t="s">
        <v>815</v>
      </c>
      <c r="D811" s="2" t="s">
        <v>1085</v>
      </c>
      <c r="E811" s="3" t="s">
        <v>1011</v>
      </c>
      <c r="F811" s="3">
        <v>85</v>
      </c>
      <c r="G811" s="3">
        <v>85</v>
      </c>
      <c r="H811" s="8">
        <v>1500</v>
      </c>
      <c r="I811" s="18"/>
    </row>
    <row r="812" spans="2:9" x14ac:dyDescent="0.3">
      <c r="B812" s="7">
        <v>810</v>
      </c>
      <c r="C812" s="3" t="s">
        <v>816</v>
      </c>
      <c r="D812" s="2" t="s">
        <v>1027</v>
      </c>
      <c r="E812" s="3" t="s">
        <v>1008</v>
      </c>
      <c r="F812" s="3">
        <v>168</v>
      </c>
      <c r="G812" s="3">
        <v>168</v>
      </c>
      <c r="H812" s="8">
        <v>30000</v>
      </c>
      <c r="I812" s="18"/>
    </row>
    <row r="813" spans="2:9" x14ac:dyDescent="0.3">
      <c r="B813" s="7">
        <v>811</v>
      </c>
      <c r="C813" s="3" t="s">
        <v>817</v>
      </c>
      <c r="D813" s="2" t="s">
        <v>1041</v>
      </c>
      <c r="E813" s="3" t="s">
        <v>1007</v>
      </c>
      <c r="F813" s="3">
        <v>34</v>
      </c>
      <c r="G813" s="3">
        <v>34</v>
      </c>
      <c r="H813" s="8">
        <v>2000</v>
      </c>
      <c r="I813" s="18"/>
    </row>
    <row r="814" spans="2:9" x14ac:dyDescent="0.3">
      <c r="B814" s="7">
        <v>812</v>
      </c>
      <c r="C814" s="3" t="s">
        <v>818</v>
      </c>
      <c r="D814" s="2" t="s">
        <v>1055</v>
      </c>
      <c r="E814" s="3" t="s">
        <v>1010</v>
      </c>
      <c r="F814" s="3">
        <v>172</v>
      </c>
      <c r="G814" s="3">
        <v>172</v>
      </c>
      <c r="H814" s="8">
        <v>50</v>
      </c>
      <c r="I814" s="18"/>
    </row>
    <row r="815" spans="2:9" x14ac:dyDescent="0.3">
      <c r="B815" s="7">
        <v>813</v>
      </c>
      <c r="C815" s="3" t="s">
        <v>819</v>
      </c>
      <c r="D815" s="2" t="s">
        <v>1040</v>
      </c>
      <c r="E815" s="3" t="s">
        <v>1007</v>
      </c>
      <c r="F815" s="3">
        <v>181</v>
      </c>
      <c r="G815" s="3">
        <v>181</v>
      </c>
      <c r="H815" s="8">
        <v>5000</v>
      </c>
      <c r="I815" s="18"/>
    </row>
    <row r="816" spans="2:9" x14ac:dyDescent="0.3">
      <c r="B816" s="7">
        <v>814</v>
      </c>
      <c r="C816" s="3" t="s">
        <v>820</v>
      </c>
      <c r="D816" s="2" t="s">
        <v>1018</v>
      </c>
      <c r="E816" s="3" t="s">
        <v>1012</v>
      </c>
      <c r="F816" s="3">
        <v>151</v>
      </c>
      <c r="G816" s="3">
        <v>151</v>
      </c>
      <c r="H816" s="8">
        <v>3000</v>
      </c>
      <c r="I816" s="18"/>
    </row>
    <row r="817" spans="2:9" x14ac:dyDescent="0.3">
      <c r="B817" s="7">
        <v>815</v>
      </c>
      <c r="C817" s="3" t="s">
        <v>821</v>
      </c>
      <c r="D817" s="2" t="s">
        <v>1034</v>
      </c>
      <c r="E817" s="3" t="s">
        <v>1008</v>
      </c>
      <c r="F817" s="3">
        <v>181</v>
      </c>
      <c r="G817" s="3">
        <v>181</v>
      </c>
      <c r="H817" s="8">
        <v>50000</v>
      </c>
      <c r="I817" s="18"/>
    </row>
    <row r="818" spans="2:9" x14ac:dyDescent="0.3">
      <c r="B818" s="7">
        <v>816</v>
      </c>
      <c r="C818" s="3" t="s">
        <v>822</v>
      </c>
      <c r="D818" s="2" t="s">
        <v>1082</v>
      </c>
      <c r="E818" s="3" t="s">
        <v>1011</v>
      </c>
      <c r="F818" s="3">
        <v>181</v>
      </c>
      <c r="G818" s="3">
        <v>181</v>
      </c>
      <c r="H818" s="8">
        <v>2000</v>
      </c>
      <c r="I818" s="18"/>
    </row>
    <row r="819" spans="2:9" x14ac:dyDescent="0.3">
      <c r="B819" s="7">
        <v>817</v>
      </c>
      <c r="C819" s="3" t="s">
        <v>823</v>
      </c>
      <c r="D819" s="2" t="s">
        <v>1071</v>
      </c>
      <c r="E819" s="3" t="s">
        <v>1009</v>
      </c>
      <c r="F819" s="3">
        <v>178</v>
      </c>
      <c r="G819" s="3">
        <v>178</v>
      </c>
      <c r="H819" s="8">
        <v>200</v>
      </c>
      <c r="I819" s="18"/>
    </row>
    <row r="820" spans="2:9" x14ac:dyDescent="0.3">
      <c r="B820" s="7">
        <v>818</v>
      </c>
      <c r="C820" s="3" t="s">
        <v>824</v>
      </c>
      <c r="D820" s="2" t="s">
        <v>1043</v>
      </c>
      <c r="E820" s="3" t="s">
        <v>1010</v>
      </c>
      <c r="F820" s="3">
        <v>95</v>
      </c>
      <c r="G820" s="3">
        <v>95</v>
      </c>
      <c r="H820" s="8">
        <v>50</v>
      </c>
      <c r="I820" s="18"/>
    </row>
    <row r="821" spans="2:9" x14ac:dyDescent="0.3">
      <c r="B821" s="7">
        <v>819</v>
      </c>
      <c r="C821" s="3" t="s">
        <v>825</v>
      </c>
      <c r="D821" s="2" t="s">
        <v>1072</v>
      </c>
      <c r="E821" s="3" t="s">
        <v>1009</v>
      </c>
      <c r="F821" s="3">
        <v>112</v>
      </c>
      <c r="G821" s="3">
        <v>112</v>
      </c>
      <c r="H821" s="8">
        <v>50</v>
      </c>
      <c r="I821" s="18"/>
    </row>
    <row r="822" spans="2:9" x14ac:dyDescent="0.3">
      <c r="B822" s="7">
        <v>820</v>
      </c>
      <c r="C822" s="3" t="s">
        <v>826</v>
      </c>
      <c r="D822" s="2" t="s">
        <v>1061</v>
      </c>
      <c r="E822" s="3" t="s">
        <v>1012</v>
      </c>
      <c r="F822" s="3">
        <v>198</v>
      </c>
      <c r="G822" s="3">
        <v>198</v>
      </c>
      <c r="H822" s="8">
        <v>500</v>
      </c>
      <c r="I822" s="18"/>
    </row>
    <row r="823" spans="2:9" x14ac:dyDescent="0.3">
      <c r="B823" s="7">
        <v>821</v>
      </c>
      <c r="C823" s="3" t="s">
        <v>827</v>
      </c>
      <c r="D823" s="2" t="s">
        <v>1036</v>
      </c>
      <c r="E823" s="3" t="s">
        <v>1007</v>
      </c>
      <c r="F823" s="3">
        <v>77</v>
      </c>
      <c r="G823" s="3">
        <v>77</v>
      </c>
      <c r="H823" s="8">
        <v>8000</v>
      </c>
      <c r="I823" s="18"/>
    </row>
    <row r="824" spans="2:9" x14ac:dyDescent="0.3">
      <c r="B824" s="7">
        <v>822</v>
      </c>
      <c r="C824" s="3" t="s">
        <v>828</v>
      </c>
      <c r="D824" s="2" t="s">
        <v>1059</v>
      </c>
      <c r="E824" s="3" t="s">
        <v>1012</v>
      </c>
      <c r="F824" s="3">
        <v>121</v>
      </c>
      <c r="G824" s="3">
        <v>121</v>
      </c>
      <c r="H824" s="8">
        <v>200</v>
      </c>
      <c r="I824" s="18"/>
    </row>
    <row r="825" spans="2:9" x14ac:dyDescent="0.3">
      <c r="B825" s="7">
        <v>823</v>
      </c>
      <c r="C825" s="3" t="s">
        <v>829</v>
      </c>
      <c r="D825" s="2" t="s">
        <v>1023</v>
      </c>
      <c r="E825" s="3" t="s">
        <v>1008</v>
      </c>
      <c r="F825" s="3">
        <v>36</v>
      </c>
      <c r="G825" s="3">
        <v>36</v>
      </c>
      <c r="H825" s="8">
        <v>20000</v>
      </c>
      <c r="I825" s="18"/>
    </row>
    <row r="826" spans="2:9" x14ac:dyDescent="0.3">
      <c r="B826" s="7">
        <v>824</v>
      </c>
      <c r="C826" s="3" t="s">
        <v>830</v>
      </c>
      <c r="D826" s="2" t="s">
        <v>1033</v>
      </c>
      <c r="E826" s="3" t="s">
        <v>1008</v>
      </c>
      <c r="F826" s="3">
        <v>69</v>
      </c>
      <c r="G826" s="3">
        <v>69</v>
      </c>
      <c r="H826" s="8">
        <v>4000</v>
      </c>
      <c r="I826" s="18"/>
    </row>
    <row r="827" spans="2:9" x14ac:dyDescent="0.3">
      <c r="B827" s="7">
        <v>825</v>
      </c>
      <c r="C827" s="3" t="s">
        <v>831</v>
      </c>
      <c r="D827" s="2" t="s">
        <v>1023</v>
      </c>
      <c r="E827" s="3" t="s">
        <v>1008</v>
      </c>
      <c r="F827" s="3">
        <v>160</v>
      </c>
      <c r="G827" s="3">
        <v>160</v>
      </c>
      <c r="H827" s="8">
        <v>20000</v>
      </c>
      <c r="I827" s="18"/>
    </row>
    <row r="828" spans="2:9" x14ac:dyDescent="0.3">
      <c r="B828" s="7">
        <v>826</v>
      </c>
      <c r="C828" s="3" t="s">
        <v>832</v>
      </c>
      <c r="D828" s="2" t="s">
        <v>1038</v>
      </c>
      <c r="E828" s="3" t="s">
        <v>1007</v>
      </c>
      <c r="F828" s="3">
        <v>51</v>
      </c>
      <c r="G828" s="3">
        <v>51</v>
      </c>
      <c r="H828" s="8">
        <v>5000</v>
      </c>
      <c r="I828" s="18"/>
    </row>
    <row r="829" spans="2:9" x14ac:dyDescent="0.3">
      <c r="B829" s="7">
        <v>827</v>
      </c>
      <c r="C829" s="3" t="s">
        <v>833</v>
      </c>
      <c r="D829" s="2" t="s">
        <v>1023</v>
      </c>
      <c r="E829" s="3" t="s">
        <v>1008</v>
      </c>
      <c r="F829" s="3">
        <v>102</v>
      </c>
      <c r="G829" s="3">
        <v>102</v>
      </c>
      <c r="H829" s="8">
        <v>20000</v>
      </c>
      <c r="I829" s="18"/>
    </row>
    <row r="830" spans="2:9" x14ac:dyDescent="0.3">
      <c r="B830" s="7">
        <v>828</v>
      </c>
      <c r="C830" s="3" t="s">
        <v>834</v>
      </c>
      <c r="D830" s="2" t="s">
        <v>1026</v>
      </c>
      <c r="E830" s="3" t="s">
        <v>1008</v>
      </c>
      <c r="F830" s="3">
        <v>191</v>
      </c>
      <c r="G830" s="3">
        <v>191</v>
      </c>
      <c r="H830" s="8">
        <v>6000</v>
      </c>
      <c r="I830" s="18"/>
    </row>
    <row r="831" spans="2:9" x14ac:dyDescent="0.3">
      <c r="B831" s="7">
        <v>829</v>
      </c>
      <c r="C831" s="3" t="s">
        <v>835</v>
      </c>
      <c r="D831" s="2" t="s">
        <v>1056</v>
      </c>
      <c r="E831" s="3" t="s">
        <v>1012</v>
      </c>
      <c r="F831" s="3">
        <v>100</v>
      </c>
      <c r="G831" s="3">
        <v>100</v>
      </c>
      <c r="H831" s="8">
        <v>100</v>
      </c>
      <c r="I831" s="18"/>
    </row>
    <row r="832" spans="2:9" x14ac:dyDescent="0.3">
      <c r="B832" s="7">
        <v>830</v>
      </c>
      <c r="C832" s="3" t="s">
        <v>836</v>
      </c>
      <c r="D832" s="2" t="s">
        <v>1024</v>
      </c>
      <c r="E832" s="3" t="s">
        <v>1008</v>
      </c>
      <c r="F832" s="3">
        <v>175</v>
      </c>
      <c r="G832" s="3">
        <v>175</v>
      </c>
      <c r="H832" s="8">
        <v>150000</v>
      </c>
      <c r="I832" s="18"/>
    </row>
    <row r="833" spans="2:9" x14ac:dyDescent="0.3">
      <c r="B833" s="7">
        <v>831</v>
      </c>
      <c r="C833" s="3" t="s">
        <v>837</v>
      </c>
      <c r="D833" s="2" t="s">
        <v>1047</v>
      </c>
      <c r="E833" s="3" t="s">
        <v>1010</v>
      </c>
      <c r="F833" s="3">
        <v>132</v>
      </c>
      <c r="G833" s="3">
        <v>132</v>
      </c>
      <c r="H833" s="8">
        <v>500</v>
      </c>
      <c r="I833" s="18"/>
    </row>
    <row r="834" spans="2:9" x14ac:dyDescent="0.3">
      <c r="B834" s="7">
        <v>832</v>
      </c>
      <c r="C834" s="3" t="s">
        <v>838</v>
      </c>
      <c r="D834" s="2" t="s">
        <v>1030</v>
      </c>
      <c r="E834" s="3" t="s">
        <v>1008</v>
      </c>
      <c r="F834" s="3">
        <v>135</v>
      </c>
      <c r="G834" s="3">
        <v>135</v>
      </c>
      <c r="H834" s="8">
        <v>70000</v>
      </c>
      <c r="I834" s="18"/>
    </row>
    <row r="835" spans="2:9" x14ac:dyDescent="0.3">
      <c r="B835" s="7">
        <v>833</v>
      </c>
      <c r="C835" s="3" t="s">
        <v>839</v>
      </c>
      <c r="D835" s="2" t="s">
        <v>1042</v>
      </c>
      <c r="E835" s="3" t="s">
        <v>1007</v>
      </c>
      <c r="F835" s="3">
        <v>191</v>
      </c>
      <c r="G835" s="3">
        <v>191</v>
      </c>
      <c r="H835" s="8">
        <v>3000</v>
      </c>
      <c r="I835" s="18"/>
    </row>
    <row r="836" spans="2:9" x14ac:dyDescent="0.3">
      <c r="B836" s="7">
        <v>834</v>
      </c>
      <c r="C836" s="3" t="s">
        <v>840</v>
      </c>
      <c r="D836" s="2" t="s">
        <v>1038</v>
      </c>
      <c r="E836" s="3" t="s">
        <v>1007</v>
      </c>
      <c r="F836" s="3">
        <v>97</v>
      </c>
      <c r="G836" s="3">
        <v>97</v>
      </c>
      <c r="H836" s="8">
        <v>5000</v>
      </c>
      <c r="I836" s="18"/>
    </row>
    <row r="837" spans="2:9" x14ac:dyDescent="0.3">
      <c r="B837" s="7">
        <v>835</v>
      </c>
      <c r="C837" s="3" t="s">
        <v>841</v>
      </c>
      <c r="D837" s="2" t="s">
        <v>1041</v>
      </c>
      <c r="E837" s="3" t="s">
        <v>1007</v>
      </c>
      <c r="F837" s="3">
        <v>137</v>
      </c>
      <c r="G837" s="3">
        <v>137</v>
      </c>
      <c r="H837" s="8">
        <v>2000</v>
      </c>
      <c r="I837" s="18"/>
    </row>
    <row r="838" spans="2:9" x14ac:dyDescent="0.3">
      <c r="B838" s="7">
        <v>836</v>
      </c>
      <c r="C838" s="3" t="s">
        <v>842</v>
      </c>
      <c r="D838" s="2" t="s">
        <v>1071</v>
      </c>
      <c r="E838" s="3" t="s">
        <v>1009</v>
      </c>
      <c r="F838" s="3">
        <v>61</v>
      </c>
      <c r="G838" s="3">
        <v>61</v>
      </c>
      <c r="H838" s="8">
        <v>200</v>
      </c>
      <c r="I838" s="18"/>
    </row>
    <row r="839" spans="2:9" x14ac:dyDescent="0.3">
      <c r="B839" s="7">
        <v>837</v>
      </c>
      <c r="C839" s="3" t="s">
        <v>843</v>
      </c>
      <c r="D839" s="2" t="s">
        <v>1041</v>
      </c>
      <c r="E839" s="3" t="s">
        <v>1007</v>
      </c>
      <c r="F839" s="3">
        <v>63</v>
      </c>
      <c r="G839" s="3">
        <v>63</v>
      </c>
      <c r="H839" s="8">
        <v>2000</v>
      </c>
      <c r="I839" s="18"/>
    </row>
    <row r="840" spans="2:9" x14ac:dyDescent="0.3">
      <c r="B840" s="7">
        <v>838</v>
      </c>
      <c r="C840" s="3" t="s">
        <v>844</v>
      </c>
      <c r="D840" s="2" t="s">
        <v>1050</v>
      </c>
      <c r="E840" s="3" t="s">
        <v>1010</v>
      </c>
      <c r="F840" s="3">
        <v>159</v>
      </c>
      <c r="G840" s="3">
        <v>159</v>
      </c>
      <c r="H840" s="8">
        <v>30</v>
      </c>
      <c r="I840" s="18"/>
    </row>
    <row r="841" spans="2:9" x14ac:dyDescent="0.3">
      <c r="B841" s="7">
        <v>839</v>
      </c>
      <c r="C841" s="3" t="s">
        <v>845</v>
      </c>
      <c r="D841" s="2" t="s">
        <v>1041</v>
      </c>
      <c r="E841" s="3" t="s">
        <v>1007</v>
      </c>
      <c r="F841" s="3">
        <v>66</v>
      </c>
      <c r="G841" s="3">
        <v>66</v>
      </c>
      <c r="H841" s="8">
        <v>2000</v>
      </c>
      <c r="I841" s="18"/>
    </row>
    <row r="842" spans="2:9" x14ac:dyDescent="0.3">
      <c r="B842" s="7">
        <v>840</v>
      </c>
      <c r="C842" s="3" t="s">
        <v>846</v>
      </c>
      <c r="D842" s="2" t="s">
        <v>1041</v>
      </c>
      <c r="E842" s="3" t="s">
        <v>1007</v>
      </c>
      <c r="F842" s="3">
        <v>192</v>
      </c>
      <c r="G842" s="3">
        <v>192</v>
      </c>
      <c r="H842" s="8">
        <v>2000</v>
      </c>
      <c r="I842" s="18"/>
    </row>
    <row r="843" spans="2:9" x14ac:dyDescent="0.3">
      <c r="B843" s="7">
        <v>841</v>
      </c>
      <c r="C843" s="3" t="s">
        <v>847</v>
      </c>
      <c r="D843" s="2" t="s">
        <v>1079</v>
      </c>
      <c r="E843" s="3" t="s">
        <v>1011</v>
      </c>
      <c r="F843" s="3">
        <v>46</v>
      </c>
      <c r="G843" s="3">
        <v>46</v>
      </c>
      <c r="H843" s="8">
        <v>5000</v>
      </c>
      <c r="I843" s="18"/>
    </row>
    <row r="844" spans="2:9" x14ac:dyDescent="0.3">
      <c r="B844" s="7">
        <v>842</v>
      </c>
      <c r="C844" s="3" t="s">
        <v>848</v>
      </c>
      <c r="D844" s="2" t="s">
        <v>1079</v>
      </c>
      <c r="E844" s="3" t="s">
        <v>1011</v>
      </c>
      <c r="F844" s="3">
        <v>49</v>
      </c>
      <c r="G844" s="3">
        <v>49</v>
      </c>
      <c r="H844" s="8">
        <v>5000</v>
      </c>
      <c r="I844" s="18"/>
    </row>
    <row r="845" spans="2:9" x14ac:dyDescent="0.3">
      <c r="B845" s="7">
        <v>843</v>
      </c>
      <c r="C845" s="3" t="s">
        <v>849</v>
      </c>
      <c r="D845" s="2" t="s">
        <v>1075</v>
      </c>
      <c r="E845" s="3" t="s">
        <v>1009</v>
      </c>
      <c r="F845" s="3">
        <v>42</v>
      </c>
      <c r="G845" s="3">
        <v>42</v>
      </c>
      <c r="H845" s="8">
        <v>2000</v>
      </c>
      <c r="I845" s="18"/>
    </row>
    <row r="846" spans="2:9" x14ac:dyDescent="0.3">
      <c r="B846" s="7">
        <v>844</v>
      </c>
      <c r="C846" s="3" t="s">
        <v>850</v>
      </c>
      <c r="D846" s="2" t="s">
        <v>1065</v>
      </c>
      <c r="E846" s="3" t="s">
        <v>1009</v>
      </c>
      <c r="F846" s="3">
        <v>108</v>
      </c>
      <c r="G846" s="3">
        <v>108</v>
      </c>
      <c r="H846" s="8">
        <v>200</v>
      </c>
      <c r="I846" s="18"/>
    </row>
    <row r="847" spans="2:9" x14ac:dyDescent="0.3">
      <c r="B847" s="7">
        <v>845</v>
      </c>
      <c r="C847" s="3" t="s">
        <v>851</v>
      </c>
      <c r="D847" s="2" t="s">
        <v>1027</v>
      </c>
      <c r="E847" s="3" t="s">
        <v>1008</v>
      </c>
      <c r="F847" s="3">
        <v>78</v>
      </c>
      <c r="G847" s="3">
        <v>78</v>
      </c>
      <c r="H847" s="8">
        <v>30000</v>
      </c>
      <c r="I847" s="18"/>
    </row>
    <row r="848" spans="2:9" x14ac:dyDescent="0.3">
      <c r="B848" s="7">
        <v>846</v>
      </c>
      <c r="C848" s="3" t="s">
        <v>852</v>
      </c>
      <c r="D848" s="2" t="s">
        <v>1023</v>
      </c>
      <c r="E848" s="3" t="s">
        <v>1008</v>
      </c>
      <c r="F848" s="3">
        <v>57</v>
      </c>
      <c r="G848" s="3">
        <v>57</v>
      </c>
      <c r="H848" s="8">
        <v>20000</v>
      </c>
      <c r="I848" s="18"/>
    </row>
    <row r="849" spans="2:9" x14ac:dyDescent="0.3">
      <c r="B849" s="7">
        <v>847</v>
      </c>
      <c r="C849" s="3" t="s">
        <v>853</v>
      </c>
      <c r="D849" s="2" t="s">
        <v>1040</v>
      </c>
      <c r="E849" s="3" t="s">
        <v>1007</v>
      </c>
      <c r="F849" s="3">
        <v>189</v>
      </c>
      <c r="G849" s="3">
        <v>189</v>
      </c>
      <c r="H849" s="8">
        <v>5000</v>
      </c>
      <c r="I849" s="18"/>
    </row>
    <row r="850" spans="2:9" x14ac:dyDescent="0.3">
      <c r="B850" s="7">
        <v>848</v>
      </c>
      <c r="C850" s="3" t="s">
        <v>854</v>
      </c>
      <c r="D850" s="2" t="s">
        <v>1074</v>
      </c>
      <c r="E850" s="3" t="s">
        <v>1009</v>
      </c>
      <c r="F850" s="3">
        <v>98</v>
      </c>
      <c r="G850" s="3">
        <v>98</v>
      </c>
      <c r="H850" s="8">
        <v>500</v>
      </c>
      <c r="I850" s="18"/>
    </row>
    <row r="851" spans="2:9" x14ac:dyDescent="0.3">
      <c r="B851" s="7">
        <v>849</v>
      </c>
      <c r="C851" s="3" t="s">
        <v>855</v>
      </c>
      <c r="D851" s="2" t="s">
        <v>1058</v>
      </c>
      <c r="E851" s="3" t="s">
        <v>1012</v>
      </c>
      <c r="F851" s="3">
        <v>145</v>
      </c>
      <c r="G851" s="3">
        <v>145</v>
      </c>
      <c r="H851" s="8">
        <v>500</v>
      </c>
      <c r="I851" s="18"/>
    </row>
    <row r="852" spans="2:9" x14ac:dyDescent="0.3">
      <c r="B852" s="7">
        <v>850</v>
      </c>
      <c r="C852" s="3" t="s">
        <v>856</v>
      </c>
      <c r="D852" s="2" t="s">
        <v>1032</v>
      </c>
      <c r="E852" s="3" t="s">
        <v>1008</v>
      </c>
      <c r="F852" s="3">
        <v>143</v>
      </c>
      <c r="G852" s="3">
        <v>143</v>
      </c>
      <c r="H852" s="8">
        <v>2000</v>
      </c>
      <c r="I852" s="18"/>
    </row>
    <row r="853" spans="2:9" x14ac:dyDescent="0.3">
      <c r="B853" s="7">
        <v>851</v>
      </c>
      <c r="C853" s="3" t="s">
        <v>857</v>
      </c>
      <c r="D853" s="2" t="s">
        <v>1052</v>
      </c>
      <c r="E853" s="3" t="s">
        <v>1010</v>
      </c>
      <c r="F853" s="3">
        <v>91</v>
      </c>
      <c r="G853" s="3">
        <v>91</v>
      </c>
      <c r="H853" s="8">
        <v>100</v>
      </c>
      <c r="I853" s="18"/>
    </row>
    <row r="854" spans="2:9" x14ac:dyDescent="0.3">
      <c r="B854" s="7">
        <v>852</v>
      </c>
      <c r="C854" s="3" t="s">
        <v>858</v>
      </c>
      <c r="D854" s="2" t="s">
        <v>1034</v>
      </c>
      <c r="E854" s="3" t="s">
        <v>1008</v>
      </c>
      <c r="F854" s="3">
        <v>184</v>
      </c>
      <c r="G854" s="3">
        <v>184</v>
      </c>
      <c r="H854" s="8">
        <v>50000</v>
      </c>
      <c r="I854" s="18"/>
    </row>
    <row r="855" spans="2:9" x14ac:dyDescent="0.3">
      <c r="B855" s="7">
        <v>853</v>
      </c>
      <c r="C855" s="3" t="s">
        <v>859</v>
      </c>
      <c r="D855" s="2" t="s">
        <v>1051</v>
      </c>
      <c r="E855" s="3" t="s">
        <v>1010</v>
      </c>
      <c r="F855" s="3">
        <v>196</v>
      </c>
      <c r="G855" s="3">
        <v>196</v>
      </c>
      <c r="H855" s="8">
        <v>50</v>
      </c>
      <c r="I855" s="18"/>
    </row>
    <row r="856" spans="2:9" x14ac:dyDescent="0.3">
      <c r="B856" s="7">
        <v>854</v>
      </c>
      <c r="C856" s="3" t="s">
        <v>860</v>
      </c>
      <c r="D856" s="2" t="s">
        <v>1047</v>
      </c>
      <c r="E856" s="3" t="s">
        <v>1010</v>
      </c>
      <c r="F856" s="3">
        <v>179</v>
      </c>
      <c r="G856" s="3">
        <v>179</v>
      </c>
      <c r="H856" s="8">
        <v>500</v>
      </c>
      <c r="I856" s="18"/>
    </row>
    <row r="857" spans="2:9" x14ac:dyDescent="0.3">
      <c r="B857" s="7">
        <v>855</v>
      </c>
      <c r="C857" s="3" t="s">
        <v>861</v>
      </c>
      <c r="D857" s="2" t="s">
        <v>1042</v>
      </c>
      <c r="E857" s="3" t="s">
        <v>1007</v>
      </c>
      <c r="F857" s="3">
        <v>135</v>
      </c>
      <c r="G857" s="3">
        <v>135</v>
      </c>
      <c r="H857" s="8">
        <v>3000</v>
      </c>
      <c r="I857" s="18"/>
    </row>
    <row r="858" spans="2:9" x14ac:dyDescent="0.3">
      <c r="B858" s="7">
        <v>856</v>
      </c>
      <c r="C858" s="3" t="s">
        <v>862</v>
      </c>
      <c r="D858" s="2" t="s">
        <v>1072</v>
      </c>
      <c r="E858" s="3" t="s">
        <v>1009</v>
      </c>
      <c r="F858" s="3">
        <v>138</v>
      </c>
      <c r="G858" s="3">
        <v>138</v>
      </c>
      <c r="H858" s="8">
        <v>50</v>
      </c>
      <c r="I858" s="18"/>
    </row>
    <row r="859" spans="2:9" x14ac:dyDescent="0.3">
      <c r="B859" s="7">
        <v>857</v>
      </c>
      <c r="C859" s="3" t="s">
        <v>863</v>
      </c>
      <c r="D859" s="2" t="s">
        <v>1018</v>
      </c>
      <c r="E859" s="3" t="s">
        <v>1012</v>
      </c>
      <c r="F859" s="3">
        <v>60</v>
      </c>
      <c r="G859" s="3">
        <v>60</v>
      </c>
      <c r="H859" s="8">
        <v>3000</v>
      </c>
      <c r="I859" s="18"/>
    </row>
    <row r="860" spans="2:9" x14ac:dyDescent="0.3">
      <c r="B860" s="7">
        <v>858</v>
      </c>
      <c r="C860" s="3" t="s">
        <v>864</v>
      </c>
      <c r="D860" s="2" t="s">
        <v>1073</v>
      </c>
      <c r="E860" s="3" t="s">
        <v>1009</v>
      </c>
      <c r="F860" s="3">
        <v>187</v>
      </c>
      <c r="G860" s="3">
        <v>187</v>
      </c>
      <c r="H860" s="8">
        <v>100</v>
      </c>
      <c r="I860" s="18"/>
    </row>
    <row r="861" spans="2:9" x14ac:dyDescent="0.3">
      <c r="B861" s="7">
        <v>859</v>
      </c>
      <c r="C861" s="3" t="s">
        <v>865</v>
      </c>
      <c r="D861" s="2" t="s">
        <v>1075</v>
      </c>
      <c r="E861" s="3" t="s">
        <v>1009</v>
      </c>
      <c r="F861" s="3">
        <v>109</v>
      </c>
      <c r="G861" s="3">
        <v>109</v>
      </c>
      <c r="H861" s="8">
        <v>2000</v>
      </c>
      <c r="I861" s="18"/>
    </row>
    <row r="862" spans="2:9" x14ac:dyDescent="0.3">
      <c r="B862" s="7">
        <v>860</v>
      </c>
      <c r="C862" s="3" t="s">
        <v>866</v>
      </c>
      <c r="D862" s="2" t="s">
        <v>1039</v>
      </c>
      <c r="E862" s="3" t="s">
        <v>1007</v>
      </c>
      <c r="F862" s="3">
        <v>158</v>
      </c>
      <c r="G862" s="3">
        <v>158</v>
      </c>
      <c r="H862" s="8">
        <v>12000</v>
      </c>
      <c r="I862" s="18"/>
    </row>
    <row r="863" spans="2:9" x14ac:dyDescent="0.3">
      <c r="B863" s="7">
        <v>861</v>
      </c>
      <c r="C863" s="3" t="s">
        <v>867</v>
      </c>
      <c r="D863" s="2" t="s">
        <v>1078</v>
      </c>
      <c r="E863" s="3" t="s">
        <v>1011</v>
      </c>
      <c r="F863" s="3">
        <v>126</v>
      </c>
      <c r="G863" s="3">
        <v>126</v>
      </c>
      <c r="H863" s="8">
        <v>200</v>
      </c>
      <c r="I863" s="18"/>
    </row>
    <row r="864" spans="2:9" x14ac:dyDescent="0.3">
      <c r="B864" s="7">
        <v>862</v>
      </c>
      <c r="C864" s="3" t="s">
        <v>868</v>
      </c>
      <c r="D864" s="2" t="s">
        <v>1030</v>
      </c>
      <c r="E864" s="3" t="s">
        <v>1008</v>
      </c>
      <c r="F864" s="3">
        <v>167</v>
      </c>
      <c r="G864" s="3">
        <v>167</v>
      </c>
      <c r="H864" s="8">
        <v>70000</v>
      </c>
      <c r="I864" s="18"/>
    </row>
    <row r="865" spans="2:9" x14ac:dyDescent="0.3">
      <c r="B865" s="7">
        <v>863</v>
      </c>
      <c r="C865" s="3" t="s">
        <v>869</v>
      </c>
      <c r="D865" s="2" t="s">
        <v>1063</v>
      </c>
      <c r="E865" s="3" t="s">
        <v>1009</v>
      </c>
      <c r="F865" s="3">
        <v>61</v>
      </c>
      <c r="G865" s="3">
        <v>61</v>
      </c>
      <c r="H865" s="8">
        <v>4500</v>
      </c>
      <c r="I865" s="18"/>
    </row>
    <row r="866" spans="2:9" x14ac:dyDescent="0.3">
      <c r="B866" s="7">
        <v>864</v>
      </c>
      <c r="C866" s="3" t="s">
        <v>870</v>
      </c>
      <c r="D866" s="2" t="s">
        <v>1028</v>
      </c>
      <c r="E866" s="3" t="s">
        <v>1008</v>
      </c>
      <c r="F866" s="3">
        <v>72</v>
      </c>
      <c r="G866" s="3">
        <v>72</v>
      </c>
      <c r="H866" s="8">
        <v>15000</v>
      </c>
      <c r="I866" s="18"/>
    </row>
    <row r="867" spans="2:9" x14ac:dyDescent="0.3">
      <c r="B867" s="7">
        <v>865</v>
      </c>
      <c r="C867" s="3" t="s">
        <v>871</v>
      </c>
      <c r="D867" s="2" t="s">
        <v>1041</v>
      </c>
      <c r="E867" s="3" t="s">
        <v>1007</v>
      </c>
      <c r="F867" s="3">
        <v>107</v>
      </c>
      <c r="G867" s="3">
        <v>107</v>
      </c>
      <c r="H867" s="8">
        <v>2000</v>
      </c>
      <c r="I867" s="18"/>
    </row>
    <row r="868" spans="2:9" x14ac:dyDescent="0.3">
      <c r="B868" s="7">
        <v>866</v>
      </c>
      <c r="C868" s="3" t="s">
        <v>872</v>
      </c>
      <c r="D868" s="2" t="s">
        <v>1018</v>
      </c>
      <c r="E868" s="3" t="s">
        <v>1012</v>
      </c>
      <c r="F868" s="3">
        <v>175</v>
      </c>
      <c r="G868" s="3">
        <v>175</v>
      </c>
      <c r="H868" s="8">
        <v>3000</v>
      </c>
      <c r="I868" s="18"/>
    </row>
    <row r="869" spans="2:9" x14ac:dyDescent="0.3">
      <c r="B869" s="7">
        <v>867</v>
      </c>
      <c r="C869" s="3" t="s">
        <v>873</v>
      </c>
      <c r="D869" s="2" t="s">
        <v>1061</v>
      </c>
      <c r="E869" s="3" t="s">
        <v>1012</v>
      </c>
      <c r="F869" s="3">
        <v>88</v>
      </c>
      <c r="G869" s="3">
        <v>88</v>
      </c>
      <c r="H869" s="8">
        <v>500</v>
      </c>
      <c r="I869" s="18"/>
    </row>
    <row r="870" spans="2:9" x14ac:dyDescent="0.3">
      <c r="B870" s="7">
        <v>868</v>
      </c>
      <c r="C870" s="3" t="s">
        <v>874</v>
      </c>
      <c r="D870" s="2" t="s">
        <v>1056</v>
      </c>
      <c r="E870" s="3" t="s">
        <v>1012</v>
      </c>
      <c r="F870" s="3">
        <v>97</v>
      </c>
      <c r="G870" s="3">
        <v>97</v>
      </c>
      <c r="H870" s="8">
        <v>100</v>
      </c>
      <c r="I870" s="18"/>
    </row>
    <row r="871" spans="2:9" x14ac:dyDescent="0.3">
      <c r="B871" s="7">
        <v>869</v>
      </c>
      <c r="C871" s="3" t="s">
        <v>875</v>
      </c>
      <c r="D871" s="2" t="s">
        <v>1061</v>
      </c>
      <c r="E871" s="3" t="s">
        <v>1012</v>
      </c>
      <c r="F871" s="3">
        <v>138</v>
      </c>
      <c r="G871" s="3">
        <v>138</v>
      </c>
      <c r="H871" s="8">
        <v>500</v>
      </c>
      <c r="I871" s="18"/>
    </row>
    <row r="872" spans="2:9" x14ac:dyDescent="0.3">
      <c r="B872" s="7">
        <v>870</v>
      </c>
      <c r="C872" s="3" t="s">
        <v>876</v>
      </c>
      <c r="D872" s="2" t="s">
        <v>1061</v>
      </c>
      <c r="E872" s="3" t="s">
        <v>1012</v>
      </c>
      <c r="F872" s="3">
        <v>107</v>
      </c>
      <c r="G872" s="3">
        <v>107</v>
      </c>
      <c r="H872" s="8">
        <v>500</v>
      </c>
      <c r="I872" s="18"/>
    </row>
    <row r="873" spans="2:9" x14ac:dyDescent="0.3">
      <c r="B873" s="7">
        <v>871</v>
      </c>
      <c r="C873" s="3" t="s">
        <v>877</v>
      </c>
      <c r="D873" s="2" t="s">
        <v>1041</v>
      </c>
      <c r="E873" s="3" t="s">
        <v>1007</v>
      </c>
      <c r="F873" s="3">
        <v>102</v>
      </c>
      <c r="G873" s="3">
        <v>102</v>
      </c>
      <c r="H873" s="8">
        <v>2000</v>
      </c>
      <c r="I873" s="18"/>
    </row>
    <row r="874" spans="2:9" x14ac:dyDescent="0.3">
      <c r="B874" s="7">
        <v>872</v>
      </c>
      <c r="C874" s="3" t="s">
        <v>878</v>
      </c>
      <c r="D874" s="2" t="s">
        <v>1065</v>
      </c>
      <c r="E874" s="3" t="s">
        <v>1009</v>
      </c>
      <c r="F874" s="3">
        <v>142</v>
      </c>
      <c r="G874" s="3">
        <v>142</v>
      </c>
      <c r="H874" s="8">
        <v>200</v>
      </c>
      <c r="I874" s="18"/>
    </row>
    <row r="875" spans="2:9" x14ac:dyDescent="0.3">
      <c r="B875" s="7">
        <v>873</v>
      </c>
      <c r="C875" s="3" t="s">
        <v>879</v>
      </c>
      <c r="D875" s="2" t="s">
        <v>1053</v>
      </c>
      <c r="E875" s="3" t="s">
        <v>1010</v>
      </c>
      <c r="F875" s="3">
        <v>159</v>
      </c>
      <c r="G875" s="3">
        <v>159</v>
      </c>
      <c r="H875" s="8">
        <v>10</v>
      </c>
      <c r="I875" s="18"/>
    </row>
    <row r="876" spans="2:9" x14ac:dyDescent="0.3">
      <c r="B876" s="7">
        <v>874</v>
      </c>
      <c r="C876" s="3" t="s">
        <v>880</v>
      </c>
      <c r="D876" s="2" t="s">
        <v>1028</v>
      </c>
      <c r="E876" s="3" t="s">
        <v>1008</v>
      </c>
      <c r="F876" s="3">
        <v>104</v>
      </c>
      <c r="G876" s="3">
        <v>104</v>
      </c>
      <c r="H876" s="8">
        <v>15000</v>
      </c>
      <c r="I876" s="18"/>
    </row>
    <row r="877" spans="2:9" x14ac:dyDescent="0.3">
      <c r="B877" s="7">
        <v>875</v>
      </c>
      <c r="C877" s="3" t="s">
        <v>881</v>
      </c>
      <c r="D877" s="2" t="s">
        <v>1048</v>
      </c>
      <c r="E877" s="3" t="s">
        <v>1010</v>
      </c>
      <c r="F877" s="3">
        <v>100</v>
      </c>
      <c r="G877" s="3">
        <v>100</v>
      </c>
      <c r="H877" s="8">
        <v>50</v>
      </c>
      <c r="I877" s="18"/>
    </row>
    <row r="878" spans="2:9" x14ac:dyDescent="0.3">
      <c r="B878" s="7">
        <v>876</v>
      </c>
      <c r="C878" s="3" t="s">
        <v>882</v>
      </c>
      <c r="D878" s="2" t="s">
        <v>1044</v>
      </c>
      <c r="E878" s="3" t="s">
        <v>1010</v>
      </c>
      <c r="F878" s="3">
        <v>157</v>
      </c>
      <c r="G878" s="3">
        <v>157</v>
      </c>
      <c r="H878" s="8">
        <v>100</v>
      </c>
      <c r="I878" s="18"/>
    </row>
    <row r="879" spans="2:9" x14ac:dyDescent="0.3">
      <c r="B879" s="7">
        <v>877</v>
      </c>
      <c r="C879" s="3" t="s">
        <v>883</v>
      </c>
      <c r="D879" s="2" t="s">
        <v>1079</v>
      </c>
      <c r="E879" s="3" t="s">
        <v>1011</v>
      </c>
      <c r="F879" s="3">
        <v>54</v>
      </c>
      <c r="G879" s="3">
        <v>54</v>
      </c>
      <c r="H879" s="8">
        <v>5000</v>
      </c>
      <c r="I879" s="18"/>
    </row>
    <row r="880" spans="2:9" x14ac:dyDescent="0.3">
      <c r="B880" s="7">
        <v>878</v>
      </c>
      <c r="C880" s="3" t="s">
        <v>884</v>
      </c>
      <c r="D880" s="2" t="s">
        <v>1021</v>
      </c>
      <c r="E880" s="3" t="s">
        <v>1008</v>
      </c>
      <c r="F880" s="3">
        <v>36</v>
      </c>
      <c r="G880" s="3">
        <v>36</v>
      </c>
      <c r="H880" s="8">
        <v>20000</v>
      </c>
      <c r="I880" s="18"/>
    </row>
    <row r="881" spans="2:9" x14ac:dyDescent="0.3">
      <c r="B881" s="7">
        <v>879</v>
      </c>
      <c r="C881" s="3" t="s">
        <v>885</v>
      </c>
      <c r="D881" s="2" t="s">
        <v>1074</v>
      </c>
      <c r="E881" s="3" t="s">
        <v>1009</v>
      </c>
      <c r="F881" s="3">
        <v>93</v>
      </c>
      <c r="G881" s="3">
        <v>93</v>
      </c>
      <c r="H881" s="8">
        <v>500</v>
      </c>
      <c r="I881" s="18"/>
    </row>
    <row r="882" spans="2:9" x14ac:dyDescent="0.3">
      <c r="B882" s="7">
        <v>880</v>
      </c>
      <c r="C882" s="3" t="s">
        <v>886</v>
      </c>
      <c r="D882" s="2" t="s">
        <v>1058</v>
      </c>
      <c r="E882" s="3" t="s">
        <v>1012</v>
      </c>
      <c r="F882" s="3">
        <v>56</v>
      </c>
      <c r="G882" s="3">
        <v>56</v>
      </c>
      <c r="H882" s="8">
        <v>500</v>
      </c>
      <c r="I882" s="18"/>
    </row>
    <row r="883" spans="2:9" x14ac:dyDescent="0.3">
      <c r="B883" s="7">
        <v>881</v>
      </c>
      <c r="C883" s="3" t="s">
        <v>887</v>
      </c>
      <c r="D883" s="2" t="s">
        <v>1018</v>
      </c>
      <c r="E883" s="3" t="s">
        <v>1012</v>
      </c>
      <c r="F883" s="3">
        <v>100</v>
      </c>
      <c r="G883" s="3">
        <v>100</v>
      </c>
      <c r="H883" s="8">
        <v>3000</v>
      </c>
      <c r="I883" s="18"/>
    </row>
    <row r="884" spans="2:9" x14ac:dyDescent="0.3">
      <c r="B884" s="7">
        <v>882</v>
      </c>
      <c r="C884" s="3" t="s">
        <v>888</v>
      </c>
      <c r="D884" s="2" t="s">
        <v>1024</v>
      </c>
      <c r="E884" s="3" t="s">
        <v>1008</v>
      </c>
      <c r="F884" s="3">
        <v>184</v>
      </c>
      <c r="G884" s="3">
        <v>184</v>
      </c>
      <c r="H884" s="8">
        <v>150000</v>
      </c>
      <c r="I884" s="18"/>
    </row>
    <row r="885" spans="2:9" x14ac:dyDescent="0.3">
      <c r="B885" s="7">
        <v>883</v>
      </c>
      <c r="C885" s="3" t="s">
        <v>889</v>
      </c>
      <c r="D885" s="2" t="s">
        <v>1075</v>
      </c>
      <c r="E885" s="3" t="s">
        <v>1009</v>
      </c>
      <c r="F885" s="3">
        <v>136</v>
      </c>
      <c r="G885" s="3">
        <v>136</v>
      </c>
      <c r="H885" s="8">
        <v>2000</v>
      </c>
      <c r="I885" s="18"/>
    </row>
    <row r="886" spans="2:9" x14ac:dyDescent="0.3">
      <c r="B886" s="7">
        <v>884</v>
      </c>
      <c r="C886" s="3" t="s">
        <v>890</v>
      </c>
      <c r="D886" s="2" t="s">
        <v>1060</v>
      </c>
      <c r="E886" s="3" t="s">
        <v>1012</v>
      </c>
      <c r="F886" s="3">
        <v>98</v>
      </c>
      <c r="G886" s="3">
        <v>98</v>
      </c>
      <c r="H886" s="8">
        <v>1500</v>
      </c>
      <c r="I886" s="18"/>
    </row>
    <row r="887" spans="2:9" x14ac:dyDescent="0.3">
      <c r="B887" s="7">
        <v>885</v>
      </c>
      <c r="C887" s="3" t="s">
        <v>891</v>
      </c>
      <c r="D887" s="2" t="s">
        <v>1048</v>
      </c>
      <c r="E887" s="3" t="s">
        <v>1010</v>
      </c>
      <c r="F887" s="3">
        <v>77</v>
      </c>
      <c r="G887" s="3">
        <v>77</v>
      </c>
      <c r="H887" s="8">
        <v>50</v>
      </c>
      <c r="I887" s="18"/>
    </row>
    <row r="888" spans="2:9" x14ac:dyDescent="0.3">
      <c r="B888" s="7">
        <v>886</v>
      </c>
      <c r="C888" s="3" t="s">
        <v>892</v>
      </c>
      <c r="D888" s="2" t="s">
        <v>1083</v>
      </c>
      <c r="E888" s="3" t="s">
        <v>1011</v>
      </c>
      <c r="F888" s="3">
        <v>136</v>
      </c>
      <c r="G888" s="3">
        <v>136</v>
      </c>
      <c r="H888" s="8">
        <v>3000</v>
      </c>
      <c r="I888" s="18"/>
    </row>
    <row r="889" spans="2:9" x14ac:dyDescent="0.3">
      <c r="B889" s="7">
        <v>887</v>
      </c>
      <c r="C889" s="3" t="s">
        <v>893</v>
      </c>
      <c r="D889" s="2" t="s">
        <v>1049</v>
      </c>
      <c r="E889" s="3" t="s">
        <v>1010</v>
      </c>
      <c r="F889" s="3">
        <v>89</v>
      </c>
      <c r="G889" s="3">
        <v>89</v>
      </c>
      <c r="H889" s="8">
        <v>20</v>
      </c>
      <c r="I889" s="18"/>
    </row>
    <row r="890" spans="2:9" x14ac:dyDescent="0.3">
      <c r="B890" s="7">
        <v>888</v>
      </c>
      <c r="C890" s="3" t="s">
        <v>894</v>
      </c>
      <c r="D890" s="2" t="s">
        <v>1051</v>
      </c>
      <c r="E890" s="3" t="s">
        <v>1010</v>
      </c>
      <c r="F890" s="3">
        <v>105</v>
      </c>
      <c r="G890" s="3">
        <v>105</v>
      </c>
      <c r="H890" s="8">
        <v>50</v>
      </c>
      <c r="I890" s="18"/>
    </row>
    <row r="891" spans="2:9" x14ac:dyDescent="0.3">
      <c r="B891" s="7">
        <v>889</v>
      </c>
      <c r="C891" s="3" t="s">
        <v>895</v>
      </c>
      <c r="D891" s="2" t="s">
        <v>1051</v>
      </c>
      <c r="E891" s="3" t="s">
        <v>1010</v>
      </c>
      <c r="F891" s="3">
        <v>183</v>
      </c>
      <c r="G891" s="3">
        <v>183</v>
      </c>
      <c r="H891" s="8">
        <v>50</v>
      </c>
      <c r="I891" s="18"/>
    </row>
    <row r="892" spans="2:9" x14ac:dyDescent="0.3">
      <c r="B892" s="7">
        <v>890</v>
      </c>
      <c r="C892" s="3" t="s">
        <v>896</v>
      </c>
      <c r="D892" s="2" t="s">
        <v>1057</v>
      </c>
      <c r="E892" s="3" t="s">
        <v>1012</v>
      </c>
      <c r="F892" s="3">
        <v>156</v>
      </c>
      <c r="G892" s="3">
        <v>156</v>
      </c>
      <c r="H892" s="8">
        <v>500</v>
      </c>
      <c r="I892" s="18"/>
    </row>
    <row r="893" spans="2:9" x14ac:dyDescent="0.3">
      <c r="B893" s="7">
        <v>891</v>
      </c>
      <c r="C893" s="3" t="s">
        <v>897</v>
      </c>
      <c r="D893" s="2" t="s">
        <v>1043</v>
      </c>
      <c r="E893" s="3" t="s">
        <v>1010</v>
      </c>
      <c r="F893" s="3">
        <v>50</v>
      </c>
      <c r="G893" s="3">
        <v>50</v>
      </c>
      <c r="H893" s="8">
        <v>50</v>
      </c>
      <c r="I893" s="18"/>
    </row>
    <row r="894" spans="2:9" x14ac:dyDescent="0.3">
      <c r="B894" s="7">
        <v>892</v>
      </c>
      <c r="C894" s="3" t="s">
        <v>898</v>
      </c>
      <c r="D894" s="2" t="s">
        <v>1046</v>
      </c>
      <c r="E894" s="3" t="s">
        <v>1010</v>
      </c>
      <c r="F894" s="3">
        <v>159</v>
      </c>
      <c r="G894" s="3">
        <v>159</v>
      </c>
      <c r="H894" s="8">
        <v>100</v>
      </c>
      <c r="I894" s="18"/>
    </row>
    <row r="895" spans="2:9" x14ac:dyDescent="0.3">
      <c r="B895" s="7">
        <v>893</v>
      </c>
      <c r="C895" s="3" t="s">
        <v>899</v>
      </c>
      <c r="D895" s="2" t="s">
        <v>1047</v>
      </c>
      <c r="E895" s="3" t="s">
        <v>1010</v>
      </c>
      <c r="F895" s="3">
        <v>116</v>
      </c>
      <c r="G895" s="3">
        <v>116</v>
      </c>
      <c r="H895" s="8">
        <v>500</v>
      </c>
      <c r="I895" s="18"/>
    </row>
    <row r="896" spans="2:9" x14ac:dyDescent="0.3">
      <c r="B896" s="7">
        <v>894</v>
      </c>
      <c r="C896" s="3" t="s">
        <v>900</v>
      </c>
      <c r="D896" s="2" t="s">
        <v>1074</v>
      </c>
      <c r="E896" s="3" t="s">
        <v>1009</v>
      </c>
      <c r="F896" s="3">
        <v>54</v>
      </c>
      <c r="G896" s="3">
        <v>54</v>
      </c>
      <c r="H896" s="8">
        <v>500</v>
      </c>
      <c r="I896" s="18"/>
    </row>
    <row r="897" spans="2:9" x14ac:dyDescent="0.3">
      <c r="B897" s="7">
        <v>895</v>
      </c>
      <c r="C897" s="3" t="s">
        <v>901</v>
      </c>
      <c r="D897" s="2" t="s">
        <v>1018</v>
      </c>
      <c r="E897" s="3" t="s">
        <v>1012</v>
      </c>
      <c r="F897" s="3">
        <v>58</v>
      </c>
      <c r="G897" s="3">
        <v>58</v>
      </c>
      <c r="H897" s="8">
        <v>3000</v>
      </c>
      <c r="I897" s="18"/>
    </row>
    <row r="898" spans="2:9" x14ac:dyDescent="0.3">
      <c r="B898" s="7">
        <v>896</v>
      </c>
      <c r="C898" s="3" t="s">
        <v>902</v>
      </c>
      <c r="D898" s="2" t="s">
        <v>1042</v>
      </c>
      <c r="E898" s="3" t="s">
        <v>1007</v>
      </c>
      <c r="F898" s="3">
        <v>198</v>
      </c>
      <c r="G898" s="3">
        <v>198</v>
      </c>
      <c r="H898" s="8">
        <v>3000</v>
      </c>
      <c r="I898" s="18"/>
    </row>
    <row r="899" spans="2:9" x14ac:dyDescent="0.3">
      <c r="B899" s="7">
        <v>897</v>
      </c>
      <c r="C899" s="3" t="s">
        <v>903</v>
      </c>
      <c r="D899" s="2" t="s">
        <v>1062</v>
      </c>
      <c r="E899" s="3" t="s">
        <v>1009</v>
      </c>
      <c r="F899" s="3">
        <v>167</v>
      </c>
      <c r="G899" s="3">
        <v>167</v>
      </c>
      <c r="H899" s="8">
        <v>100</v>
      </c>
      <c r="I899" s="18"/>
    </row>
    <row r="900" spans="2:9" x14ac:dyDescent="0.3">
      <c r="B900" s="7">
        <v>898</v>
      </c>
      <c r="C900" s="3" t="s">
        <v>904</v>
      </c>
      <c r="D900" s="2" t="s">
        <v>1038</v>
      </c>
      <c r="E900" s="3" t="s">
        <v>1007</v>
      </c>
      <c r="F900" s="3">
        <v>48</v>
      </c>
      <c r="G900" s="3">
        <v>48</v>
      </c>
      <c r="H900" s="8">
        <v>5000</v>
      </c>
      <c r="I900" s="18"/>
    </row>
    <row r="901" spans="2:9" x14ac:dyDescent="0.3">
      <c r="B901" s="7">
        <v>899</v>
      </c>
      <c r="C901" s="3" t="s">
        <v>905</v>
      </c>
      <c r="D901" s="2" t="s">
        <v>1076</v>
      </c>
      <c r="E901" s="3" t="s">
        <v>1009</v>
      </c>
      <c r="F901" s="3">
        <v>36</v>
      </c>
      <c r="G901" s="3">
        <v>36</v>
      </c>
      <c r="H901" s="8">
        <v>100</v>
      </c>
      <c r="I901" s="18"/>
    </row>
    <row r="902" spans="2:9" x14ac:dyDescent="0.3">
      <c r="B902" s="7">
        <v>900</v>
      </c>
      <c r="C902" s="3" t="s">
        <v>906</v>
      </c>
      <c r="D902" s="2" t="s">
        <v>1030</v>
      </c>
      <c r="E902" s="3" t="s">
        <v>1008</v>
      </c>
      <c r="F902" s="3">
        <v>43</v>
      </c>
      <c r="G902" s="3">
        <v>43</v>
      </c>
      <c r="H902" s="8">
        <v>70000</v>
      </c>
      <c r="I902" s="18"/>
    </row>
    <row r="903" spans="2:9" x14ac:dyDescent="0.3">
      <c r="B903" s="7">
        <v>901</v>
      </c>
      <c r="C903" s="3" t="s">
        <v>907</v>
      </c>
      <c r="D903" s="2" t="s">
        <v>1065</v>
      </c>
      <c r="E903" s="3" t="s">
        <v>1009</v>
      </c>
      <c r="F903" s="3">
        <v>35</v>
      </c>
      <c r="G903" s="3">
        <v>35</v>
      </c>
      <c r="H903" s="8">
        <v>200</v>
      </c>
      <c r="I903" s="18"/>
    </row>
    <row r="904" spans="2:9" x14ac:dyDescent="0.3">
      <c r="B904" s="7">
        <v>902</v>
      </c>
      <c r="C904" s="3" t="s">
        <v>908</v>
      </c>
      <c r="D904" s="2" t="s">
        <v>1071</v>
      </c>
      <c r="E904" s="3" t="s">
        <v>1009</v>
      </c>
      <c r="F904" s="3">
        <v>80</v>
      </c>
      <c r="G904" s="3">
        <v>80</v>
      </c>
      <c r="H904" s="8">
        <v>200</v>
      </c>
      <c r="I904" s="18"/>
    </row>
    <row r="905" spans="2:9" x14ac:dyDescent="0.3">
      <c r="B905" s="7">
        <v>903</v>
      </c>
      <c r="C905" s="3" t="s">
        <v>909</v>
      </c>
      <c r="D905" s="2" t="s">
        <v>1078</v>
      </c>
      <c r="E905" s="3" t="s">
        <v>1011</v>
      </c>
      <c r="F905" s="3">
        <v>72</v>
      </c>
      <c r="G905" s="3">
        <v>72</v>
      </c>
      <c r="H905" s="8">
        <v>200</v>
      </c>
      <c r="I905" s="18"/>
    </row>
    <row r="906" spans="2:9" x14ac:dyDescent="0.3">
      <c r="B906" s="7">
        <v>904</v>
      </c>
      <c r="C906" s="3" t="s">
        <v>910</v>
      </c>
      <c r="D906" s="2" t="s">
        <v>1052</v>
      </c>
      <c r="E906" s="3" t="s">
        <v>1010</v>
      </c>
      <c r="F906" s="3">
        <v>100</v>
      </c>
      <c r="G906" s="3">
        <v>100</v>
      </c>
      <c r="H906" s="8">
        <v>100</v>
      </c>
      <c r="I906" s="18"/>
    </row>
    <row r="907" spans="2:9" x14ac:dyDescent="0.3">
      <c r="B907" s="7">
        <v>905</v>
      </c>
      <c r="C907" s="3" t="s">
        <v>911</v>
      </c>
      <c r="D907" s="2" t="s">
        <v>1054</v>
      </c>
      <c r="E907" s="3" t="s">
        <v>1010</v>
      </c>
      <c r="F907" s="3">
        <v>74</v>
      </c>
      <c r="G907" s="3">
        <v>74</v>
      </c>
      <c r="H907" s="8">
        <v>30</v>
      </c>
      <c r="I907" s="18"/>
    </row>
    <row r="908" spans="2:9" x14ac:dyDescent="0.3">
      <c r="B908" s="7">
        <v>906</v>
      </c>
      <c r="C908" s="3" t="s">
        <v>912</v>
      </c>
      <c r="D908" s="2" t="s">
        <v>1037</v>
      </c>
      <c r="E908" s="3" t="s">
        <v>1007</v>
      </c>
      <c r="F908" s="3">
        <v>64</v>
      </c>
      <c r="G908" s="3">
        <v>64</v>
      </c>
      <c r="H908" s="8">
        <v>10000</v>
      </c>
      <c r="I908" s="18"/>
    </row>
    <row r="909" spans="2:9" x14ac:dyDescent="0.3">
      <c r="B909" s="7">
        <v>907</v>
      </c>
      <c r="C909" s="3" t="s">
        <v>913</v>
      </c>
      <c r="D909" s="2" t="s">
        <v>1061</v>
      </c>
      <c r="E909" s="3" t="s">
        <v>1012</v>
      </c>
      <c r="F909" s="3">
        <v>43</v>
      </c>
      <c r="G909" s="3">
        <v>43</v>
      </c>
      <c r="H909" s="8">
        <v>500</v>
      </c>
      <c r="I909" s="18"/>
    </row>
    <row r="910" spans="2:9" x14ac:dyDescent="0.3">
      <c r="B910" s="7">
        <v>908</v>
      </c>
      <c r="C910" s="3" t="s">
        <v>914</v>
      </c>
      <c r="D910" s="2" t="s">
        <v>1043</v>
      </c>
      <c r="E910" s="3" t="s">
        <v>1010</v>
      </c>
      <c r="F910" s="3">
        <v>119</v>
      </c>
      <c r="G910" s="3">
        <v>119</v>
      </c>
      <c r="H910" s="8">
        <v>50</v>
      </c>
      <c r="I910" s="18"/>
    </row>
    <row r="911" spans="2:9" x14ac:dyDescent="0.3">
      <c r="B911" s="7">
        <v>909</v>
      </c>
      <c r="C911" s="3" t="s">
        <v>915</v>
      </c>
      <c r="D911" s="2" t="s">
        <v>1051</v>
      </c>
      <c r="E911" s="3" t="s">
        <v>1010</v>
      </c>
      <c r="F911" s="3">
        <v>41</v>
      </c>
      <c r="G911" s="3">
        <v>41</v>
      </c>
      <c r="H911" s="8">
        <v>50</v>
      </c>
      <c r="I911" s="18"/>
    </row>
    <row r="912" spans="2:9" x14ac:dyDescent="0.3">
      <c r="B912" s="7">
        <v>910</v>
      </c>
      <c r="C912" s="3" t="s">
        <v>916</v>
      </c>
      <c r="D912" s="2" t="s">
        <v>1027</v>
      </c>
      <c r="E912" s="3" t="s">
        <v>1008</v>
      </c>
      <c r="F912" s="3">
        <v>52</v>
      </c>
      <c r="G912" s="3">
        <v>52</v>
      </c>
      <c r="H912" s="8">
        <v>30000</v>
      </c>
      <c r="I912" s="18"/>
    </row>
    <row r="913" spans="2:9" x14ac:dyDescent="0.3">
      <c r="B913" s="7">
        <v>911</v>
      </c>
      <c r="C913" s="3" t="s">
        <v>917</v>
      </c>
      <c r="D913" s="2" t="s">
        <v>1081</v>
      </c>
      <c r="E913" s="3" t="s">
        <v>1011</v>
      </c>
      <c r="F913" s="3">
        <v>79</v>
      </c>
      <c r="G913" s="3">
        <v>79</v>
      </c>
      <c r="H913" s="8">
        <v>1000</v>
      </c>
      <c r="I913" s="18"/>
    </row>
    <row r="914" spans="2:9" x14ac:dyDescent="0.3">
      <c r="B914" s="7">
        <v>912</v>
      </c>
      <c r="C914" s="3" t="s">
        <v>918</v>
      </c>
      <c r="D914" s="2" t="s">
        <v>1046</v>
      </c>
      <c r="E914" s="3" t="s">
        <v>1010</v>
      </c>
      <c r="F914" s="3">
        <v>137</v>
      </c>
      <c r="G914" s="3">
        <v>137</v>
      </c>
      <c r="H914" s="8">
        <v>100</v>
      </c>
      <c r="I914" s="18"/>
    </row>
    <row r="915" spans="2:9" x14ac:dyDescent="0.3">
      <c r="B915" s="7">
        <v>913</v>
      </c>
      <c r="C915" s="3" t="s">
        <v>919</v>
      </c>
      <c r="D915" s="2" t="s">
        <v>1061</v>
      </c>
      <c r="E915" s="3" t="s">
        <v>1012</v>
      </c>
      <c r="F915" s="3">
        <v>174</v>
      </c>
      <c r="G915" s="3">
        <v>174</v>
      </c>
      <c r="H915" s="8">
        <v>500</v>
      </c>
      <c r="I915" s="18"/>
    </row>
    <row r="916" spans="2:9" x14ac:dyDescent="0.3">
      <c r="B916" s="7">
        <v>914</v>
      </c>
      <c r="C916" s="3" t="s">
        <v>920</v>
      </c>
      <c r="D916" s="2" t="s">
        <v>1076</v>
      </c>
      <c r="E916" s="3" t="s">
        <v>1009</v>
      </c>
      <c r="F916" s="3">
        <v>166</v>
      </c>
      <c r="G916" s="3">
        <v>166</v>
      </c>
      <c r="H916" s="8">
        <v>100</v>
      </c>
      <c r="I916" s="18"/>
    </row>
    <row r="917" spans="2:9" x14ac:dyDescent="0.3">
      <c r="B917" s="7">
        <v>915</v>
      </c>
      <c r="C917" s="3" t="s">
        <v>921</v>
      </c>
      <c r="D917" s="2" t="s">
        <v>1072</v>
      </c>
      <c r="E917" s="3" t="s">
        <v>1009</v>
      </c>
      <c r="F917" s="3">
        <v>178</v>
      </c>
      <c r="G917" s="3">
        <v>178</v>
      </c>
      <c r="H917" s="8">
        <v>50</v>
      </c>
      <c r="I917" s="18"/>
    </row>
    <row r="918" spans="2:9" x14ac:dyDescent="0.3">
      <c r="B918" s="7">
        <v>916</v>
      </c>
      <c r="C918" s="3" t="s">
        <v>922</v>
      </c>
      <c r="D918" s="2" t="s">
        <v>1052</v>
      </c>
      <c r="E918" s="3" t="s">
        <v>1010</v>
      </c>
      <c r="F918" s="3">
        <v>121</v>
      </c>
      <c r="G918" s="3">
        <v>121</v>
      </c>
      <c r="H918" s="8">
        <v>100</v>
      </c>
      <c r="I918" s="18"/>
    </row>
    <row r="919" spans="2:9" x14ac:dyDescent="0.3">
      <c r="B919" s="7">
        <v>917</v>
      </c>
      <c r="C919" s="3" t="s">
        <v>923</v>
      </c>
      <c r="D919" s="2" t="s">
        <v>1039</v>
      </c>
      <c r="E919" s="3" t="s">
        <v>1007</v>
      </c>
      <c r="F919" s="3">
        <v>71</v>
      </c>
      <c r="G919" s="3">
        <v>71</v>
      </c>
      <c r="H919" s="8">
        <v>12000</v>
      </c>
      <c r="I919" s="18"/>
    </row>
    <row r="920" spans="2:9" x14ac:dyDescent="0.3">
      <c r="B920" s="7">
        <v>918</v>
      </c>
      <c r="C920" s="3" t="s">
        <v>924</v>
      </c>
      <c r="D920" s="2" t="s">
        <v>1030</v>
      </c>
      <c r="E920" s="3" t="s">
        <v>1008</v>
      </c>
      <c r="F920" s="3">
        <v>102</v>
      </c>
      <c r="G920" s="3">
        <v>102</v>
      </c>
      <c r="H920" s="8">
        <v>70000</v>
      </c>
      <c r="I920" s="18"/>
    </row>
    <row r="921" spans="2:9" x14ac:dyDescent="0.3">
      <c r="B921" s="7">
        <v>919</v>
      </c>
      <c r="C921" s="3" t="s">
        <v>925</v>
      </c>
      <c r="D921" s="2" t="s">
        <v>1038</v>
      </c>
      <c r="E921" s="3" t="s">
        <v>1007</v>
      </c>
      <c r="F921" s="3">
        <v>95</v>
      </c>
      <c r="G921" s="3">
        <v>95</v>
      </c>
      <c r="H921" s="8">
        <v>5000</v>
      </c>
      <c r="I921" s="18"/>
    </row>
    <row r="922" spans="2:9" x14ac:dyDescent="0.3">
      <c r="B922" s="7">
        <v>920</v>
      </c>
      <c r="C922" s="3" t="s">
        <v>926</v>
      </c>
      <c r="D922" s="2" t="s">
        <v>1059</v>
      </c>
      <c r="E922" s="3" t="s">
        <v>1012</v>
      </c>
      <c r="F922" s="3">
        <v>186</v>
      </c>
      <c r="G922" s="3">
        <v>186</v>
      </c>
      <c r="H922" s="8">
        <v>200</v>
      </c>
      <c r="I922" s="18"/>
    </row>
    <row r="923" spans="2:9" x14ac:dyDescent="0.3">
      <c r="B923" s="7">
        <v>921</v>
      </c>
      <c r="C923" s="3" t="s">
        <v>927</v>
      </c>
      <c r="D923" s="2" t="s">
        <v>1057</v>
      </c>
      <c r="E923" s="3" t="s">
        <v>1012</v>
      </c>
      <c r="F923" s="3">
        <v>125</v>
      </c>
      <c r="G923" s="3">
        <v>125</v>
      </c>
      <c r="H923" s="8">
        <v>500</v>
      </c>
      <c r="I923" s="18"/>
    </row>
    <row r="924" spans="2:9" x14ac:dyDescent="0.3">
      <c r="B924" s="7">
        <v>922</v>
      </c>
      <c r="C924" s="3" t="s">
        <v>928</v>
      </c>
      <c r="D924" s="2" t="s">
        <v>1047</v>
      </c>
      <c r="E924" s="3" t="s">
        <v>1010</v>
      </c>
      <c r="F924" s="3">
        <v>55</v>
      </c>
      <c r="G924" s="3">
        <v>55</v>
      </c>
      <c r="H924" s="8">
        <v>500</v>
      </c>
      <c r="I924" s="18"/>
    </row>
    <row r="925" spans="2:9" x14ac:dyDescent="0.3">
      <c r="B925" s="7">
        <v>923</v>
      </c>
      <c r="C925" s="3" t="s">
        <v>929</v>
      </c>
      <c r="D925" s="2" t="s">
        <v>1058</v>
      </c>
      <c r="E925" s="3" t="s">
        <v>1012</v>
      </c>
      <c r="F925" s="3">
        <v>186</v>
      </c>
      <c r="G925" s="3">
        <v>186</v>
      </c>
      <c r="H925" s="8">
        <v>500</v>
      </c>
      <c r="I925" s="18"/>
    </row>
    <row r="926" spans="2:9" x14ac:dyDescent="0.3">
      <c r="B926" s="7">
        <v>924</v>
      </c>
      <c r="C926" s="3" t="s">
        <v>930</v>
      </c>
      <c r="D926" s="2" t="s">
        <v>1077</v>
      </c>
      <c r="E926" s="3" t="s">
        <v>1011</v>
      </c>
      <c r="F926" s="3">
        <v>180</v>
      </c>
      <c r="G926" s="3">
        <v>180</v>
      </c>
      <c r="H926" s="8">
        <v>5000</v>
      </c>
      <c r="I926" s="18"/>
    </row>
    <row r="927" spans="2:9" x14ac:dyDescent="0.3">
      <c r="B927" s="7">
        <v>925</v>
      </c>
      <c r="C927" s="3" t="s">
        <v>931</v>
      </c>
      <c r="D927" s="2" t="s">
        <v>1041</v>
      </c>
      <c r="E927" s="3" t="s">
        <v>1007</v>
      </c>
      <c r="F927" s="3">
        <v>48</v>
      </c>
      <c r="G927" s="3">
        <v>48</v>
      </c>
      <c r="H927" s="8">
        <v>2000</v>
      </c>
      <c r="I927" s="18"/>
    </row>
    <row r="928" spans="2:9" x14ac:dyDescent="0.3">
      <c r="B928" s="7">
        <v>926</v>
      </c>
      <c r="C928" s="3" t="s">
        <v>932</v>
      </c>
      <c r="D928" s="2" t="s">
        <v>1017</v>
      </c>
      <c r="E928" s="3" t="s">
        <v>1012</v>
      </c>
      <c r="F928" s="3">
        <v>193</v>
      </c>
      <c r="G928" s="3">
        <v>193</v>
      </c>
      <c r="H928" s="8">
        <v>200</v>
      </c>
      <c r="I928" s="18"/>
    </row>
    <row r="929" spans="2:9" x14ac:dyDescent="0.3">
      <c r="B929" s="7">
        <v>927</v>
      </c>
      <c r="C929" s="3" t="s">
        <v>933</v>
      </c>
      <c r="D929" s="2" t="s">
        <v>1054</v>
      </c>
      <c r="E929" s="3" t="s">
        <v>1010</v>
      </c>
      <c r="F929" s="3">
        <v>119</v>
      </c>
      <c r="G929" s="3">
        <v>119</v>
      </c>
      <c r="H929" s="8">
        <v>30</v>
      </c>
      <c r="I929" s="18"/>
    </row>
    <row r="930" spans="2:9" x14ac:dyDescent="0.3">
      <c r="B930" s="7">
        <v>928</v>
      </c>
      <c r="C930" s="3" t="s">
        <v>934</v>
      </c>
      <c r="D930" s="2" t="s">
        <v>1018</v>
      </c>
      <c r="E930" s="3" t="s">
        <v>1012</v>
      </c>
      <c r="F930" s="3">
        <v>90</v>
      </c>
      <c r="G930" s="3">
        <v>90</v>
      </c>
      <c r="H930" s="8">
        <v>3000</v>
      </c>
      <c r="I930" s="18"/>
    </row>
    <row r="931" spans="2:9" x14ac:dyDescent="0.3">
      <c r="B931" s="7">
        <v>929</v>
      </c>
      <c r="C931" s="3" t="s">
        <v>935</v>
      </c>
      <c r="D931" s="2" t="s">
        <v>1024</v>
      </c>
      <c r="E931" s="3" t="s">
        <v>1008</v>
      </c>
      <c r="F931" s="3">
        <v>32</v>
      </c>
      <c r="G931" s="3">
        <v>32</v>
      </c>
      <c r="H931" s="8">
        <v>150000</v>
      </c>
      <c r="I931" s="18"/>
    </row>
    <row r="932" spans="2:9" x14ac:dyDescent="0.3">
      <c r="B932" s="7">
        <v>930</v>
      </c>
      <c r="C932" s="3" t="s">
        <v>936</v>
      </c>
      <c r="D932" s="2" t="s">
        <v>1025</v>
      </c>
      <c r="E932" s="3" t="s">
        <v>1008</v>
      </c>
      <c r="F932" s="3">
        <v>48</v>
      </c>
      <c r="G932" s="3">
        <v>48</v>
      </c>
      <c r="H932" s="8">
        <v>30000</v>
      </c>
      <c r="I932" s="18"/>
    </row>
    <row r="933" spans="2:9" x14ac:dyDescent="0.3">
      <c r="B933" s="7">
        <v>931</v>
      </c>
      <c r="C933" s="3" t="s">
        <v>937</v>
      </c>
      <c r="D933" s="2" t="s">
        <v>1028</v>
      </c>
      <c r="E933" s="3" t="s">
        <v>1008</v>
      </c>
      <c r="F933" s="3">
        <v>108</v>
      </c>
      <c r="G933" s="3">
        <v>108</v>
      </c>
      <c r="H933" s="8">
        <v>15000</v>
      </c>
      <c r="I933" s="18"/>
    </row>
    <row r="934" spans="2:9" x14ac:dyDescent="0.3">
      <c r="B934" s="7">
        <v>932</v>
      </c>
      <c r="C934" s="3" t="s">
        <v>938</v>
      </c>
      <c r="D934" s="2" t="s">
        <v>1058</v>
      </c>
      <c r="E934" s="3" t="s">
        <v>1012</v>
      </c>
      <c r="F934" s="3">
        <v>166</v>
      </c>
      <c r="G934" s="3">
        <v>166</v>
      </c>
      <c r="H934" s="8">
        <v>500</v>
      </c>
      <c r="I934" s="18"/>
    </row>
    <row r="935" spans="2:9" x14ac:dyDescent="0.3">
      <c r="B935" s="7">
        <v>933</v>
      </c>
      <c r="C935" s="3" t="s">
        <v>939</v>
      </c>
      <c r="D935" s="2" t="s">
        <v>1062</v>
      </c>
      <c r="E935" s="3" t="s">
        <v>1009</v>
      </c>
      <c r="F935" s="3">
        <v>117</v>
      </c>
      <c r="G935" s="3">
        <v>117</v>
      </c>
      <c r="H935" s="8">
        <v>100</v>
      </c>
      <c r="I935" s="18"/>
    </row>
    <row r="936" spans="2:9" x14ac:dyDescent="0.3">
      <c r="B936" s="7">
        <v>934</v>
      </c>
      <c r="C936" s="3" t="s">
        <v>940</v>
      </c>
      <c r="D936" s="2" t="s">
        <v>1073</v>
      </c>
      <c r="E936" s="3" t="s">
        <v>1009</v>
      </c>
      <c r="F936" s="3">
        <v>187</v>
      </c>
      <c r="G936" s="3">
        <v>187</v>
      </c>
      <c r="H936" s="8">
        <v>100</v>
      </c>
      <c r="I936" s="18"/>
    </row>
    <row r="937" spans="2:9" x14ac:dyDescent="0.3">
      <c r="B937" s="7">
        <v>935</v>
      </c>
      <c r="C937" s="3" t="s">
        <v>941</v>
      </c>
      <c r="D937" s="2" t="s">
        <v>1082</v>
      </c>
      <c r="E937" s="3" t="s">
        <v>1011</v>
      </c>
      <c r="F937" s="3">
        <v>112</v>
      </c>
      <c r="G937" s="3">
        <v>112</v>
      </c>
      <c r="H937" s="8">
        <v>2000</v>
      </c>
      <c r="I937" s="18"/>
    </row>
    <row r="938" spans="2:9" x14ac:dyDescent="0.3">
      <c r="B938" s="7">
        <v>936</v>
      </c>
      <c r="C938" s="3" t="s">
        <v>942</v>
      </c>
      <c r="D938" s="2" t="s">
        <v>1061</v>
      </c>
      <c r="E938" s="3" t="s">
        <v>1012</v>
      </c>
      <c r="F938" s="3">
        <v>70</v>
      </c>
      <c r="G938" s="3">
        <v>70</v>
      </c>
      <c r="H938" s="8">
        <v>500</v>
      </c>
      <c r="I938" s="18"/>
    </row>
    <row r="939" spans="2:9" x14ac:dyDescent="0.3">
      <c r="B939" s="7">
        <v>937</v>
      </c>
      <c r="C939" s="3" t="s">
        <v>943</v>
      </c>
      <c r="D939" s="2" t="s">
        <v>1042</v>
      </c>
      <c r="E939" s="3" t="s">
        <v>1007</v>
      </c>
      <c r="F939" s="3">
        <v>159</v>
      </c>
      <c r="G939" s="3">
        <v>159</v>
      </c>
      <c r="H939" s="8">
        <v>3000</v>
      </c>
      <c r="I939" s="18"/>
    </row>
    <row r="940" spans="2:9" x14ac:dyDescent="0.3">
      <c r="B940" s="7">
        <v>938</v>
      </c>
      <c r="C940" s="3" t="s">
        <v>944</v>
      </c>
      <c r="D940" s="2" t="s">
        <v>1083</v>
      </c>
      <c r="E940" s="3" t="s">
        <v>1011</v>
      </c>
      <c r="F940" s="3">
        <v>56</v>
      </c>
      <c r="G940" s="3">
        <v>56</v>
      </c>
      <c r="H940" s="8">
        <v>3000</v>
      </c>
      <c r="I940" s="18"/>
    </row>
    <row r="941" spans="2:9" x14ac:dyDescent="0.3">
      <c r="B941" s="7">
        <v>939</v>
      </c>
      <c r="C941" s="3" t="s">
        <v>945</v>
      </c>
      <c r="D941" s="2" t="s">
        <v>1044</v>
      </c>
      <c r="E941" s="3" t="s">
        <v>1010</v>
      </c>
      <c r="F941" s="3">
        <v>54</v>
      </c>
      <c r="G941" s="3">
        <v>54</v>
      </c>
      <c r="H941" s="8">
        <v>100</v>
      </c>
      <c r="I941" s="18"/>
    </row>
    <row r="942" spans="2:9" x14ac:dyDescent="0.3">
      <c r="B942" s="7">
        <v>940</v>
      </c>
      <c r="C942" s="3" t="s">
        <v>946</v>
      </c>
      <c r="D942" s="2" t="s">
        <v>1026</v>
      </c>
      <c r="E942" s="3" t="s">
        <v>1008</v>
      </c>
      <c r="F942" s="3">
        <v>106</v>
      </c>
      <c r="G942" s="3">
        <v>106</v>
      </c>
      <c r="H942" s="8">
        <v>6000</v>
      </c>
      <c r="I942" s="18"/>
    </row>
    <row r="943" spans="2:9" x14ac:dyDescent="0.3">
      <c r="B943" s="7">
        <v>941</v>
      </c>
      <c r="C943" s="3" t="s">
        <v>947</v>
      </c>
      <c r="D943" s="2" t="s">
        <v>1086</v>
      </c>
      <c r="E943" s="3" t="s">
        <v>1011</v>
      </c>
      <c r="F943" s="3">
        <v>100</v>
      </c>
      <c r="G943" s="3">
        <v>100</v>
      </c>
      <c r="H943" s="8">
        <v>4500</v>
      </c>
      <c r="I943" s="18"/>
    </row>
    <row r="944" spans="2:9" x14ac:dyDescent="0.3">
      <c r="B944" s="7">
        <v>942</v>
      </c>
      <c r="C944" s="3" t="s">
        <v>948</v>
      </c>
      <c r="D944" s="2" t="s">
        <v>1022</v>
      </c>
      <c r="E944" s="3" t="s">
        <v>1008</v>
      </c>
      <c r="F944" s="3">
        <v>194</v>
      </c>
      <c r="G944" s="3">
        <v>194</v>
      </c>
      <c r="H944" s="8">
        <v>0</v>
      </c>
      <c r="I944" s="18"/>
    </row>
    <row r="945" spans="2:9" x14ac:dyDescent="0.3">
      <c r="B945" s="7">
        <v>943</v>
      </c>
      <c r="C945" s="3" t="s">
        <v>949</v>
      </c>
      <c r="D945" s="2" t="s">
        <v>1047</v>
      </c>
      <c r="E945" s="3" t="s">
        <v>1010</v>
      </c>
      <c r="F945" s="3">
        <v>84</v>
      </c>
      <c r="G945" s="3">
        <v>84</v>
      </c>
      <c r="H945" s="8">
        <v>500</v>
      </c>
      <c r="I945" s="18"/>
    </row>
    <row r="946" spans="2:9" x14ac:dyDescent="0.3">
      <c r="B946" s="7">
        <v>944</v>
      </c>
      <c r="C946" s="3" t="s">
        <v>950</v>
      </c>
      <c r="D946" s="2" t="s">
        <v>1061</v>
      </c>
      <c r="E946" s="3" t="s">
        <v>1012</v>
      </c>
      <c r="F946" s="3">
        <v>102</v>
      </c>
      <c r="G946" s="3">
        <v>102</v>
      </c>
      <c r="H946" s="8">
        <v>500</v>
      </c>
      <c r="I946" s="18"/>
    </row>
    <row r="947" spans="2:9" x14ac:dyDescent="0.3">
      <c r="B947" s="7">
        <v>945</v>
      </c>
      <c r="C947" s="3" t="s">
        <v>951</v>
      </c>
      <c r="D947" s="2" t="s">
        <v>1045</v>
      </c>
      <c r="E947" s="3" t="s">
        <v>1010</v>
      </c>
      <c r="F947" s="3">
        <v>189</v>
      </c>
      <c r="G947" s="3">
        <v>189</v>
      </c>
      <c r="H947" s="8">
        <v>100</v>
      </c>
      <c r="I947" s="18"/>
    </row>
    <row r="948" spans="2:9" x14ac:dyDescent="0.3">
      <c r="B948" s="7">
        <v>946</v>
      </c>
      <c r="C948" s="3" t="s">
        <v>952</v>
      </c>
      <c r="D948" s="2" t="s">
        <v>1086</v>
      </c>
      <c r="E948" s="3" t="s">
        <v>1011</v>
      </c>
      <c r="F948" s="3">
        <v>72</v>
      </c>
      <c r="G948" s="3">
        <v>72</v>
      </c>
      <c r="H948" s="8">
        <v>4500</v>
      </c>
      <c r="I948" s="18"/>
    </row>
    <row r="949" spans="2:9" x14ac:dyDescent="0.3">
      <c r="B949" s="7">
        <v>947</v>
      </c>
      <c r="C949" s="3" t="s">
        <v>953</v>
      </c>
      <c r="D949" s="2" t="s">
        <v>1062</v>
      </c>
      <c r="E949" s="3" t="s">
        <v>1009</v>
      </c>
      <c r="F949" s="3">
        <v>171</v>
      </c>
      <c r="G949" s="3">
        <v>171</v>
      </c>
      <c r="H949" s="8">
        <v>100</v>
      </c>
      <c r="I949" s="18"/>
    </row>
    <row r="950" spans="2:9" x14ac:dyDescent="0.3">
      <c r="B950" s="7">
        <v>948</v>
      </c>
      <c r="C950" s="3" t="s">
        <v>954</v>
      </c>
      <c r="D950" s="2" t="s">
        <v>1054</v>
      </c>
      <c r="E950" s="3" t="s">
        <v>1010</v>
      </c>
      <c r="F950" s="3">
        <v>161</v>
      </c>
      <c r="G950" s="3">
        <v>161</v>
      </c>
      <c r="H950" s="8">
        <v>30</v>
      </c>
      <c r="I950" s="18"/>
    </row>
    <row r="951" spans="2:9" x14ac:dyDescent="0.3">
      <c r="B951" s="7">
        <v>949</v>
      </c>
      <c r="C951" s="3" t="s">
        <v>955</v>
      </c>
      <c r="D951" s="2" t="s">
        <v>1043</v>
      </c>
      <c r="E951" s="3" t="s">
        <v>1010</v>
      </c>
      <c r="F951" s="3">
        <v>74</v>
      </c>
      <c r="G951" s="3">
        <v>74</v>
      </c>
      <c r="H951" s="8">
        <v>50</v>
      </c>
      <c r="I951" s="18"/>
    </row>
    <row r="952" spans="2:9" x14ac:dyDescent="0.3">
      <c r="B952" s="7">
        <v>950</v>
      </c>
      <c r="C952" s="3" t="s">
        <v>956</v>
      </c>
      <c r="D952" s="2" t="s">
        <v>1031</v>
      </c>
      <c r="E952" s="3" t="s">
        <v>1008</v>
      </c>
      <c r="F952" s="3">
        <v>157</v>
      </c>
      <c r="G952" s="3">
        <v>157</v>
      </c>
      <c r="H952" s="8">
        <v>40000</v>
      </c>
      <c r="I952" s="18"/>
    </row>
    <row r="953" spans="2:9" x14ac:dyDescent="0.3">
      <c r="B953" s="7">
        <v>951</v>
      </c>
      <c r="C953" s="3" t="s">
        <v>957</v>
      </c>
      <c r="D953" s="2" t="s">
        <v>1058</v>
      </c>
      <c r="E953" s="3" t="s">
        <v>1012</v>
      </c>
      <c r="F953" s="3">
        <v>96</v>
      </c>
      <c r="G953" s="3">
        <v>96</v>
      </c>
      <c r="H953" s="8">
        <v>500</v>
      </c>
      <c r="I953" s="18"/>
    </row>
    <row r="954" spans="2:9" x14ac:dyDescent="0.3">
      <c r="B954" s="7">
        <v>952</v>
      </c>
      <c r="C954" s="3" t="s">
        <v>958</v>
      </c>
      <c r="D954" s="2" t="s">
        <v>1082</v>
      </c>
      <c r="E954" s="3" t="s">
        <v>1011</v>
      </c>
      <c r="F954" s="3">
        <v>54</v>
      </c>
      <c r="G954" s="3">
        <v>54</v>
      </c>
      <c r="H954" s="8">
        <v>2000</v>
      </c>
      <c r="I954" s="18"/>
    </row>
    <row r="955" spans="2:9" x14ac:dyDescent="0.3">
      <c r="B955" s="7">
        <v>953</v>
      </c>
      <c r="C955" s="3" t="s">
        <v>959</v>
      </c>
      <c r="D955" s="2" t="s">
        <v>1064</v>
      </c>
      <c r="E955" s="3" t="s">
        <v>1009</v>
      </c>
      <c r="F955" s="3">
        <v>66</v>
      </c>
      <c r="G955" s="3">
        <v>66</v>
      </c>
      <c r="H955" s="8">
        <v>15000</v>
      </c>
      <c r="I955" s="18"/>
    </row>
    <row r="956" spans="2:9" x14ac:dyDescent="0.3">
      <c r="B956" s="7">
        <v>954</v>
      </c>
      <c r="C956" s="3" t="s">
        <v>960</v>
      </c>
      <c r="D956" s="2" t="s">
        <v>1026</v>
      </c>
      <c r="E956" s="3" t="s">
        <v>1008</v>
      </c>
      <c r="F956" s="3">
        <v>129</v>
      </c>
      <c r="G956" s="3">
        <v>129</v>
      </c>
      <c r="H956" s="8">
        <v>6000</v>
      </c>
      <c r="I956" s="18"/>
    </row>
    <row r="957" spans="2:9" x14ac:dyDescent="0.3">
      <c r="B957" s="7">
        <v>955</v>
      </c>
      <c r="C957" s="3" t="s">
        <v>961</v>
      </c>
      <c r="D957" s="2" t="s">
        <v>1038</v>
      </c>
      <c r="E957" s="3" t="s">
        <v>1007</v>
      </c>
      <c r="F957" s="3">
        <v>153</v>
      </c>
      <c r="G957" s="3">
        <v>153</v>
      </c>
      <c r="H957" s="8">
        <v>5000</v>
      </c>
      <c r="I957" s="18"/>
    </row>
    <row r="958" spans="2:9" x14ac:dyDescent="0.3">
      <c r="B958" s="7">
        <v>956</v>
      </c>
      <c r="C958" s="3" t="s">
        <v>962</v>
      </c>
      <c r="D958" s="2" t="s">
        <v>1085</v>
      </c>
      <c r="E958" s="3" t="s">
        <v>1011</v>
      </c>
      <c r="F958" s="3">
        <v>84</v>
      </c>
      <c r="G958" s="3">
        <v>84</v>
      </c>
      <c r="H958" s="8">
        <v>1500</v>
      </c>
      <c r="I958" s="18"/>
    </row>
    <row r="959" spans="2:9" x14ac:dyDescent="0.3">
      <c r="B959" s="7">
        <v>957</v>
      </c>
      <c r="C959" s="3" t="s">
        <v>963</v>
      </c>
      <c r="D959" s="2" t="s">
        <v>1044</v>
      </c>
      <c r="E959" s="3" t="s">
        <v>1010</v>
      </c>
      <c r="F959" s="3">
        <v>115</v>
      </c>
      <c r="G959" s="3">
        <v>115</v>
      </c>
      <c r="H959" s="8">
        <v>100</v>
      </c>
      <c r="I959" s="18"/>
    </row>
    <row r="960" spans="2:9" x14ac:dyDescent="0.3">
      <c r="B960" s="7">
        <v>958</v>
      </c>
      <c r="C960" s="3" t="s">
        <v>964</v>
      </c>
      <c r="D960" s="2" t="s">
        <v>1036</v>
      </c>
      <c r="E960" s="3" t="s">
        <v>1007</v>
      </c>
      <c r="F960" s="3">
        <v>118</v>
      </c>
      <c r="G960" s="3">
        <v>118</v>
      </c>
      <c r="H960" s="8">
        <v>8000</v>
      </c>
      <c r="I960" s="18"/>
    </row>
    <row r="961" spans="2:9" x14ac:dyDescent="0.3">
      <c r="B961" s="7">
        <v>959</v>
      </c>
      <c r="C961" s="3" t="s">
        <v>965</v>
      </c>
      <c r="D961" s="2" t="s">
        <v>1067</v>
      </c>
      <c r="E961" s="3" t="s">
        <v>1009</v>
      </c>
      <c r="F961" s="3">
        <v>173</v>
      </c>
      <c r="G961" s="3">
        <v>173</v>
      </c>
      <c r="H961" s="8">
        <v>100</v>
      </c>
      <c r="I961" s="18"/>
    </row>
    <row r="962" spans="2:9" x14ac:dyDescent="0.3">
      <c r="B962" s="7">
        <v>960</v>
      </c>
      <c r="C962" s="3" t="s">
        <v>966</v>
      </c>
      <c r="D962" s="2" t="s">
        <v>1021</v>
      </c>
      <c r="E962" s="3" t="s">
        <v>1008</v>
      </c>
      <c r="F962" s="3">
        <v>159</v>
      </c>
      <c r="G962" s="3">
        <v>159</v>
      </c>
      <c r="H962" s="8">
        <v>20000</v>
      </c>
      <c r="I962" s="18"/>
    </row>
    <row r="963" spans="2:9" x14ac:dyDescent="0.3">
      <c r="B963" s="7">
        <v>961</v>
      </c>
      <c r="C963" s="3" t="s">
        <v>967</v>
      </c>
      <c r="D963" s="2" t="s">
        <v>1042</v>
      </c>
      <c r="E963" s="3" t="s">
        <v>1007</v>
      </c>
      <c r="F963" s="3">
        <v>50</v>
      </c>
      <c r="G963" s="3">
        <v>50</v>
      </c>
      <c r="H963" s="8">
        <v>3000</v>
      </c>
      <c r="I963" s="18"/>
    </row>
    <row r="964" spans="2:9" x14ac:dyDescent="0.3">
      <c r="B964" s="7">
        <v>962</v>
      </c>
      <c r="C964" s="3" t="s">
        <v>968</v>
      </c>
      <c r="D964" s="2" t="s">
        <v>1048</v>
      </c>
      <c r="E964" s="3" t="s">
        <v>1010</v>
      </c>
      <c r="F964" s="3">
        <v>79</v>
      </c>
      <c r="G964" s="3">
        <v>79</v>
      </c>
      <c r="H964" s="8">
        <v>50</v>
      </c>
      <c r="I964" s="18"/>
    </row>
    <row r="965" spans="2:9" x14ac:dyDescent="0.3">
      <c r="B965" s="7">
        <v>963</v>
      </c>
      <c r="C965" s="3" t="s">
        <v>969</v>
      </c>
      <c r="D965" s="2" t="s">
        <v>1071</v>
      </c>
      <c r="E965" s="3" t="s">
        <v>1009</v>
      </c>
      <c r="F965" s="3">
        <v>118</v>
      </c>
      <c r="G965" s="3">
        <v>118</v>
      </c>
      <c r="H965" s="8">
        <v>200</v>
      </c>
      <c r="I965" s="18"/>
    </row>
    <row r="966" spans="2:9" x14ac:dyDescent="0.3">
      <c r="B966" s="7">
        <v>964</v>
      </c>
      <c r="C966" s="3" t="s">
        <v>970</v>
      </c>
      <c r="D966" s="2" t="s">
        <v>1068</v>
      </c>
      <c r="E966" s="3" t="s">
        <v>1009</v>
      </c>
      <c r="F966" s="3">
        <v>189</v>
      </c>
      <c r="G966" s="3">
        <v>189</v>
      </c>
      <c r="H966" s="8">
        <v>100</v>
      </c>
      <c r="I966" s="18"/>
    </row>
    <row r="967" spans="2:9" x14ac:dyDescent="0.3">
      <c r="B967" s="7">
        <v>965</v>
      </c>
      <c r="C967" s="3" t="s">
        <v>971</v>
      </c>
      <c r="D967" s="2" t="s">
        <v>1057</v>
      </c>
      <c r="E967" s="3" t="s">
        <v>1012</v>
      </c>
      <c r="F967" s="3">
        <v>171</v>
      </c>
      <c r="G967" s="3">
        <v>171</v>
      </c>
      <c r="H967" s="8">
        <v>500</v>
      </c>
      <c r="I967" s="18"/>
    </row>
    <row r="968" spans="2:9" x14ac:dyDescent="0.3">
      <c r="B968" s="7">
        <v>966</v>
      </c>
      <c r="C968" s="3" t="s">
        <v>972</v>
      </c>
      <c r="D968" s="2" t="s">
        <v>1032</v>
      </c>
      <c r="E968" s="3" t="s">
        <v>1008</v>
      </c>
      <c r="F968" s="3">
        <v>30</v>
      </c>
      <c r="G968" s="3">
        <v>30</v>
      </c>
      <c r="H968" s="8">
        <v>2000</v>
      </c>
      <c r="I968" s="18"/>
    </row>
    <row r="969" spans="2:9" x14ac:dyDescent="0.3">
      <c r="B969" s="7">
        <v>967</v>
      </c>
      <c r="C969" s="3" t="s">
        <v>973</v>
      </c>
      <c r="D969" s="2" t="s">
        <v>1087</v>
      </c>
      <c r="E969" s="3" t="s">
        <v>1011</v>
      </c>
      <c r="F969" s="3">
        <v>149</v>
      </c>
      <c r="G969" s="3">
        <v>149</v>
      </c>
      <c r="H969" s="8">
        <v>5000</v>
      </c>
      <c r="I969" s="18"/>
    </row>
    <row r="970" spans="2:9" x14ac:dyDescent="0.3">
      <c r="B970" s="7">
        <v>968</v>
      </c>
      <c r="C970" s="3" t="s">
        <v>974</v>
      </c>
      <c r="D970" s="2" t="s">
        <v>1031</v>
      </c>
      <c r="E970" s="3" t="s">
        <v>1008</v>
      </c>
      <c r="F970" s="3">
        <v>115</v>
      </c>
      <c r="G970" s="3">
        <v>115</v>
      </c>
      <c r="H970" s="8">
        <v>40000</v>
      </c>
      <c r="I970" s="18"/>
    </row>
    <row r="971" spans="2:9" x14ac:dyDescent="0.3">
      <c r="B971" s="7">
        <v>969</v>
      </c>
      <c r="C971" s="3" t="s">
        <v>975</v>
      </c>
      <c r="D971" s="2" t="s">
        <v>1017</v>
      </c>
      <c r="E971" s="3" t="s">
        <v>1012</v>
      </c>
      <c r="F971" s="3">
        <v>185</v>
      </c>
      <c r="G971" s="3">
        <v>185</v>
      </c>
      <c r="H971" s="8">
        <v>200</v>
      </c>
      <c r="I971" s="18"/>
    </row>
    <row r="972" spans="2:9" x14ac:dyDescent="0.3">
      <c r="B972" s="7">
        <v>970</v>
      </c>
      <c r="C972" s="3" t="s">
        <v>976</v>
      </c>
      <c r="D972" s="2" t="s">
        <v>1035</v>
      </c>
      <c r="E972" s="3" t="s">
        <v>1007</v>
      </c>
      <c r="F972" s="3">
        <v>87</v>
      </c>
      <c r="G972" s="3">
        <v>87</v>
      </c>
      <c r="H972" s="8">
        <v>15000</v>
      </c>
      <c r="I972" s="18"/>
    </row>
    <row r="973" spans="2:9" x14ac:dyDescent="0.3">
      <c r="B973" s="7">
        <v>971</v>
      </c>
      <c r="C973" s="3" t="s">
        <v>977</v>
      </c>
      <c r="D973" s="2" t="s">
        <v>1044</v>
      </c>
      <c r="E973" s="3" t="s">
        <v>1010</v>
      </c>
      <c r="F973" s="3">
        <v>167</v>
      </c>
      <c r="G973" s="3">
        <v>167</v>
      </c>
      <c r="H973" s="8">
        <v>100</v>
      </c>
      <c r="I973" s="18"/>
    </row>
    <row r="974" spans="2:9" x14ac:dyDescent="0.3">
      <c r="B974" s="7">
        <v>972</v>
      </c>
      <c r="C974" s="3" t="s">
        <v>978</v>
      </c>
      <c r="D974" s="2" t="s">
        <v>1038</v>
      </c>
      <c r="E974" s="3" t="s">
        <v>1007</v>
      </c>
      <c r="F974" s="3">
        <v>93</v>
      </c>
      <c r="G974" s="3">
        <v>93</v>
      </c>
      <c r="H974" s="8">
        <v>5000</v>
      </c>
      <c r="I974" s="18"/>
    </row>
    <row r="975" spans="2:9" x14ac:dyDescent="0.3">
      <c r="B975" s="7">
        <v>973</v>
      </c>
      <c r="C975" s="3" t="s">
        <v>979</v>
      </c>
      <c r="D975" s="2" t="s">
        <v>1048</v>
      </c>
      <c r="E975" s="3" t="s">
        <v>1010</v>
      </c>
      <c r="F975" s="3">
        <v>176</v>
      </c>
      <c r="G975" s="3">
        <v>176</v>
      </c>
      <c r="H975" s="8">
        <v>50</v>
      </c>
      <c r="I975" s="18"/>
    </row>
    <row r="976" spans="2:9" x14ac:dyDescent="0.3">
      <c r="B976" s="7">
        <v>974</v>
      </c>
      <c r="C976" s="3" t="s">
        <v>980</v>
      </c>
      <c r="D976" s="2" t="s">
        <v>1035</v>
      </c>
      <c r="E976" s="3" t="s">
        <v>1007</v>
      </c>
      <c r="F976" s="3">
        <v>139</v>
      </c>
      <c r="G976" s="3">
        <v>139</v>
      </c>
      <c r="H976" s="8">
        <v>15000</v>
      </c>
      <c r="I976" s="18"/>
    </row>
    <row r="977" spans="2:9" x14ac:dyDescent="0.3">
      <c r="B977" s="7">
        <v>975</v>
      </c>
      <c r="C977" s="3" t="s">
        <v>981</v>
      </c>
      <c r="D977" s="2" t="s">
        <v>1017</v>
      </c>
      <c r="E977" s="3" t="s">
        <v>1012</v>
      </c>
      <c r="F977" s="3">
        <v>142</v>
      </c>
      <c r="G977" s="3">
        <v>142</v>
      </c>
      <c r="H977" s="8">
        <v>200</v>
      </c>
      <c r="I977" s="18"/>
    </row>
    <row r="978" spans="2:9" x14ac:dyDescent="0.3">
      <c r="B978" s="7">
        <v>976</v>
      </c>
      <c r="C978" s="3" t="s">
        <v>982</v>
      </c>
      <c r="D978" s="2" t="s">
        <v>1042</v>
      </c>
      <c r="E978" s="3" t="s">
        <v>1007</v>
      </c>
      <c r="F978" s="3">
        <v>179</v>
      </c>
      <c r="G978" s="3">
        <v>179</v>
      </c>
      <c r="H978" s="8">
        <v>3000</v>
      </c>
      <c r="I978" s="18"/>
    </row>
    <row r="979" spans="2:9" x14ac:dyDescent="0.3">
      <c r="B979" s="7">
        <v>977</v>
      </c>
      <c r="C979" s="3" t="s">
        <v>983</v>
      </c>
      <c r="D979" s="2" t="s">
        <v>1037</v>
      </c>
      <c r="E979" s="3" t="s">
        <v>1007</v>
      </c>
      <c r="F979" s="3">
        <v>50</v>
      </c>
      <c r="G979" s="3">
        <v>50</v>
      </c>
      <c r="H979" s="8">
        <v>10000</v>
      </c>
      <c r="I979" s="18"/>
    </row>
    <row r="980" spans="2:9" x14ac:dyDescent="0.3">
      <c r="B980" s="7">
        <v>978</v>
      </c>
      <c r="C980" s="3" t="s">
        <v>984</v>
      </c>
      <c r="D980" s="2" t="s">
        <v>1036</v>
      </c>
      <c r="E980" s="3" t="s">
        <v>1007</v>
      </c>
      <c r="F980" s="3">
        <v>59</v>
      </c>
      <c r="G980" s="3">
        <v>59</v>
      </c>
      <c r="H980" s="8">
        <v>8000</v>
      </c>
      <c r="I980" s="18"/>
    </row>
    <row r="981" spans="2:9" x14ac:dyDescent="0.3">
      <c r="B981" s="7">
        <v>979</v>
      </c>
      <c r="C981" s="3" t="s">
        <v>985</v>
      </c>
      <c r="D981" s="2" t="s">
        <v>1067</v>
      </c>
      <c r="E981" s="3" t="s">
        <v>1009</v>
      </c>
      <c r="F981" s="3">
        <v>96</v>
      </c>
      <c r="G981" s="3">
        <v>96</v>
      </c>
      <c r="H981" s="8">
        <v>100</v>
      </c>
      <c r="I981" s="18"/>
    </row>
    <row r="982" spans="2:9" x14ac:dyDescent="0.3">
      <c r="B982" s="7">
        <v>980</v>
      </c>
      <c r="C982" s="3" t="s">
        <v>986</v>
      </c>
      <c r="D982" s="2" t="s">
        <v>1079</v>
      </c>
      <c r="E982" s="3" t="s">
        <v>1011</v>
      </c>
      <c r="F982" s="3">
        <v>91</v>
      </c>
      <c r="G982" s="3">
        <v>91</v>
      </c>
      <c r="H982" s="8">
        <v>5000</v>
      </c>
      <c r="I982" s="18"/>
    </row>
    <row r="983" spans="2:9" x14ac:dyDescent="0.3">
      <c r="B983" s="7">
        <v>981</v>
      </c>
      <c r="C983" s="3" t="s">
        <v>987</v>
      </c>
      <c r="D983" s="2" t="s">
        <v>1057</v>
      </c>
      <c r="E983" s="3" t="s">
        <v>1012</v>
      </c>
      <c r="F983" s="3">
        <v>93</v>
      </c>
      <c r="G983" s="3">
        <v>93</v>
      </c>
      <c r="H983" s="8">
        <v>500</v>
      </c>
      <c r="I983" s="18"/>
    </row>
    <row r="984" spans="2:9" x14ac:dyDescent="0.3">
      <c r="B984" s="7">
        <v>982</v>
      </c>
      <c r="C984" s="3" t="s">
        <v>988</v>
      </c>
      <c r="D984" s="2" t="s">
        <v>1026</v>
      </c>
      <c r="E984" s="3" t="s">
        <v>1008</v>
      </c>
      <c r="F984" s="3">
        <v>107</v>
      </c>
      <c r="G984" s="3">
        <v>107</v>
      </c>
      <c r="H984" s="8">
        <v>6000</v>
      </c>
      <c r="I984" s="18"/>
    </row>
    <row r="985" spans="2:9" x14ac:dyDescent="0.3">
      <c r="B985" s="7">
        <v>983</v>
      </c>
      <c r="C985" s="3" t="s">
        <v>989</v>
      </c>
      <c r="D985" s="2" t="s">
        <v>1049</v>
      </c>
      <c r="E985" s="3" t="s">
        <v>1010</v>
      </c>
      <c r="F985" s="3">
        <v>120</v>
      </c>
      <c r="G985" s="3">
        <v>120</v>
      </c>
      <c r="H985" s="8">
        <v>20</v>
      </c>
      <c r="I985" s="18"/>
    </row>
    <row r="986" spans="2:9" x14ac:dyDescent="0.3">
      <c r="B986" s="7">
        <v>984</v>
      </c>
      <c r="C986" s="3" t="s">
        <v>990</v>
      </c>
      <c r="D986" s="2" t="s">
        <v>1036</v>
      </c>
      <c r="E986" s="3" t="s">
        <v>1007</v>
      </c>
      <c r="F986" s="3">
        <v>127</v>
      </c>
      <c r="G986" s="3">
        <v>127</v>
      </c>
      <c r="H986" s="8">
        <v>8000</v>
      </c>
      <c r="I986" s="18"/>
    </row>
    <row r="987" spans="2:9" x14ac:dyDescent="0.3">
      <c r="B987" s="7">
        <v>985</v>
      </c>
      <c r="C987" s="3" t="s">
        <v>991</v>
      </c>
      <c r="D987" s="2" t="s">
        <v>1055</v>
      </c>
      <c r="E987" s="3" t="s">
        <v>1010</v>
      </c>
      <c r="F987" s="3">
        <v>181</v>
      </c>
      <c r="G987" s="3">
        <v>181</v>
      </c>
      <c r="H987" s="8">
        <v>50</v>
      </c>
      <c r="I987" s="18"/>
    </row>
    <row r="988" spans="2:9" x14ac:dyDescent="0.3">
      <c r="B988" s="7">
        <v>986</v>
      </c>
      <c r="C988" s="3" t="s">
        <v>992</v>
      </c>
      <c r="D988" s="2" t="s">
        <v>1023</v>
      </c>
      <c r="E988" s="3" t="s">
        <v>1008</v>
      </c>
      <c r="F988" s="3">
        <v>184</v>
      </c>
      <c r="G988" s="3">
        <v>184</v>
      </c>
      <c r="H988" s="8">
        <v>20000</v>
      </c>
      <c r="I988" s="18"/>
    </row>
    <row r="989" spans="2:9" x14ac:dyDescent="0.3">
      <c r="B989" s="7">
        <v>987</v>
      </c>
      <c r="C989" s="3" t="s">
        <v>993</v>
      </c>
      <c r="D989" s="2" t="s">
        <v>1059</v>
      </c>
      <c r="E989" s="3" t="s">
        <v>1012</v>
      </c>
      <c r="F989" s="3">
        <v>197</v>
      </c>
      <c r="G989" s="3">
        <v>197</v>
      </c>
      <c r="H989" s="8">
        <v>200</v>
      </c>
      <c r="I989" s="18"/>
    </row>
    <row r="990" spans="2:9" x14ac:dyDescent="0.3">
      <c r="B990" s="7">
        <v>988</v>
      </c>
      <c r="C990" s="3" t="s">
        <v>994</v>
      </c>
      <c r="D990" s="2" t="s">
        <v>1065</v>
      </c>
      <c r="E990" s="3" t="s">
        <v>1009</v>
      </c>
      <c r="F990" s="3">
        <v>77</v>
      </c>
      <c r="G990" s="3">
        <v>77</v>
      </c>
      <c r="H990" s="8">
        <v>200</v>
      </c>
      <c r="I990" s="18"/>
    </row>
    <row r="991" spans="2:9" x14ac:dyDescent="0.3">
      <c r="B991" s="7">
        <v>989</v>
      </c>
      <c r="C991" s="3" t="s">
        <v>995</v>
      </c>
      <c r="D991" s="2" t="s">
        <v>1072</v>
      </c>
      <c r="E991" s="3" t="s">
        <v>1009</v>
      </c>
      <c r="F991" s="3">
        <v>36</v>
      </c>
      <c r="G991" s="3">
        <v>36</v>
      </c>
      <c r="H991" s="8">
        <v>50</v>
      </c>
      <c r="I991" s="18"/>
    </row>
    <row r="992" spans="2:9" x14ac:dyDescent="0.3">
      <c r="B992" s="7">
        <v>990</v>
      </c>
      <c r="C992" s="3" t="s">
        <v>996</v>
      </c>
      <c r="D992" s="2" t="s">
        <v>1032</v>
      </c>
      <c r="E992" s="3" t="s">
        <v>1008</v>
      </c>
      <c r="F992" s="3">
        <v>91</v>
      </c>
      <c r="G992" s="3">
        <v>91</v>
      </c>
      <c r="H992" s="8">
        <v>2000</v>
      </c>
      <c r="I992" s="18"/>
    </row>
    <row r="993" spans="2:9" x14ac:dyDescent="0.3">
      <c r="B993" s="7">
        <v>991</v>
      </c>
      <c r="C993" s="3" t="s">
        <v>997</v>
      </c>
      <c r="D993" s="2" t="s">
        <v>1066</v>
      </c>
      <c r="E993" s="3" t="s">
        <v>1009</v>
      </c>
      <c r="F993" s="3">
        <v>105</v>
      </c>
      <c r="G993" s="3">
        <v>105</v>
      </c>
      <c r="H993" s="8">
        <v>800</v>
      </c>
      <c r="I993" s="18"/>
    </row>
    <row r="994" spans="2:9" x14ac:dyDescent="0.3">
      <c r="B994" s="7">
        <v>992</v>
      </c>
      <c r="C994" s="3" t="s">
        <v>998</v>
      </c>
      <c r="D994" s="2" t="s">
        <v>1058</v>
      </c>
      <c r="E994" s="3" t="s">
        <v>1012</v>
      </c>
      <c r="F994" s="3">
        <v>72</v>
      </c>
      <c r="G994" s="3">
        <v>72</v>
      </c>
      <c r="H994" s="8">
        <v>500</v>
      </c>
      <c r="I994" s="18"/>
    </row>
    <row r="995" spans="2:9" x14ac:dyDescent="0.3">
      <c r="B995" s="7">
        <v>993</v>
      </c>
      <c r="C995" s="3" t="s">
        <v>999</v>
      </c>
      <c r="D995" s="2" t="s">
        <v>1073</v>
      </c>
      <c r="E995" s="3" t="s">
        <v>1009</v>
      </c>
      <c r="F995" s="3">
        <v>128</v>
      </c>
      <c r="G995" s="3">
        <v>128</v>
      </c>
      <c r="H995" s="8">
        <v>100</v>
      </c>
      <c r="I995" s="18"/>
    </row>
    <row r="996" spans="2:9" x14ac:dyDescent="0.3">
      <c r="B996" s="7">
        <v>994</v>
      </c>
      <c r="C996" s="3" t="s">
        <v>1000</v>
      </c>
      <c r="D996" s="2" t="s">
        <v>1051</v>
      </c>
      <c r="E996" s="3" t="s">
        <v>1010</v>
      </c>
      <c r="F996" s="3">
        <v>184</v>
      </c>
      <c r="G996" s="3">
        <v>184</v>
      </c>
      <c r="H996" s="8">
        <v>50</v>
      </c>
      <c r="I996" s="18"/>
    </row>
    <row r="997" spans="2:9" x14ac:dyDescent="0.3">
      <c r="B997" s="7">
        <v>995</v>
      </c>
      <c r="C997" s="3" t="s">
        <v>1001</v>
      </c>
      <c r="D997" s="2" t="s">
        <v>1018</v>
      </c>
      <c r="E997" s="3" t="s">
        <v>1012</v>
      </c>
      <c r="F997" s="3">
        <v>139</v>
      </c>
      <c r="G997" s="3">
        <v>139</v>
      </c>
      <c r="H997" s="8">
        <v>3000</v>
      </c>
      <c r="I997" s="18"/>
    </row>
    <row r="998" spans="2:9" x14ac:dyDescent="0.3">
      <c r="B998" s="7">
        <v>996</v>
      </c>
      <c r="C998" s="3" t="s">
        <v>1002</v>
      </c>
      <c r="D998" s="2" t="s">
        <v>1036</v>
      </c>
      <c r="E998" s="3" t="s">
        <v>1007</v>
      </c>
      <c r="F998" s="3">
        <v>190</v>
      </c>
      <c r="G998" s="3">
        <v>190</v>
      </c>
      <c r="H998" s="8">
        <v>8000</v>
      </c>
      <c r="I998" s="18"/>
    </row>
    <row r="999" spans="2:9" x14ac:dyDescent="0.3">
      <c r="B999" s="7">
        <v>997</v>
      </c>
      <c r="C999" s="3" t="s">
        <v>1003</v>
      </c>
      <c r="D999" s="2" t="s">
        <v>1082</v>
      </c>
      <c r="E999" s="3" t="s">
        <v>1011</v>
      </c>
      <c r="F999" s="3">
        <v>45</v>
      </c>
      <c r="G999" s="3">
        <v>45</v>
      </c>
      <c r="H999" s="8">
        <v>2000</v>
      </c>
      <c r="I999" s="18"/>
    </row>
    <row r="1000" spans="2:9" x14ac:dyDescent="0.3">
      <c r="B1000" s="7">
        <v>998</v>
      </c>
      <c r="C1000" s="3" t="s">
        <v>1004</v>
      </c>
      <c r="D1000" s="2" t="s">
        <v>1051</v>
      </c>
      <c r="E1000" s="3" t="s">
        <v>1010</v>
      </c>
      <c r="F1000" s="3">
        <v>99</v>
      </c>
      <c r="G1000" s="3">
        <v>99</v>
      </c>
      <c r="H1000" s="8">
        <v>50</v>
      </c>
      <c r="I1000" s="18"/>
    </row>
    <row r="1001" spans="2:9" x14ac:dyDescent="0.3">
      <c r="B1001" s="7">
        <v>999</v>
      </c>
      <c r="C1001" s="3" t="s">
        <v>1005</v>
      </c>
      <c r="D1001" s="2" t="s">
        <v>1045</v>
      </c>
      <c r="E1001" s="3" t="s">
        <v>1010</v>
      </c>
      <c r="F1001" s="3">
        <v>47</v>
      </c>
      <c r="G1001" s="3">
        <v>47</v>
      </c>
      <c r="H1001" s="8">
        <v>100</v>
      </c>
      <c r="I1001" s="18"/>
    </row>
    <row r="1002" spans="2:9" x14ac:dyDescent="0.3">
      <c r="B1002" s="12">
        <v>1000</v>
      </c>
      <c r="C1002" s="13" t="s">
        <v>1006</v>
      </c>
      <c r="D1002" s="14" t="s">
        <v>1018</v>
      </c>
      <c r="E1002" s="13" t="s">
        <v>1012</v>
      </c>
      <c r="F1002" s="13">
        <v>53</v>
      </c>
      <c r="G1002" s="13">
        <v>53</v>
      </c>
      <c r="H1002" s="15">
        <v>3000</v>
      </c>
      <c r="I1002" s="18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9663-2CA4-4819-A0B0-212668D103B8}">
  <dimension ref="A1:W1001"/>
  <sheetViews>
    <sheetView topLeftCell="J1" zoomScale="71" workbookViewId="0">
      <selection activeCell="U12" sqref="U12"/>
    </sheetView>
  </sheetViews>
  <sheetFormatPr defaultRowHeight="14.4" x14ac:dyDescent="0.3"/>
  <cols>
    <col min="1" max="1" width="11.44140625" bestFit="1" customWidth="1"/>
    <col min="2" max="2" width="26.6640625" bestFit="1" customWidth="1"/>
    <col min="3" max="3" width="10.44140625" bestFit="1" customWidth="1"/>
    <col min="4" max="5" width="10.6640625" bestFit="1" customWidth="1"/>
    <col min="7" max="7" width="10.44140625" bestFit="1" customWidth="1"/>
    <col min="8" max="8" width="15.33203125" bestFit="1" customWidth="1"/>
    <col min="9" max="9" width="8.88671875" bestFit="1" customWidth="1"/>
    <col min="10" max="10" width="12.77734375" bestFit="1" customWidth="1"/>
    <col min="11" max="11" width="8.88671875" bestFit="1" customWidth="1"/>
    <col min="12" max="12" width="14.109375" bestFit="1" customWidth="1"/>
    <col min="13" max="13" width="8.88671875" bestFit="1" customWidth="1"/>
    <col min="14" max="14" width="14.88671875" bestFit="1" customWidth="1"/>
    <col min="15" max="15" width="8.88671875" bestFit="1" customWidth="1"/>
    <col min="16" max="16" width="15.77734375" bestFit="1" customWidth="1"/>
    <col min="17" max="17" width="8.88671875" bestFit="1" customWidth="1"/>
    <col min="18" max="18" width="26.6640625" bestFit="1" customWidth="1"/>
    <col min="19" max="19" width="8.88671875" bestFit="1" customWidth="1"/>
    <col min="20" max="20" width="12.44140625" bestFit="1" customWidth="1"/>
    <col min="21" max="21" width="59.33203125" customWidth="1"/>
    <col min="22" max="22" width="11.77734375" bestFit="1" customWidth="1"/>
    <col min="23" max="23" width="15.77734375" bestFit="1" customWidth="1"/>
  </cols>
  <sheetData>
    <row r="1" spans="1:23" ht="15.6" x14ac:dyDescent="0.3">
      <c r="A1" s="1" t="s">
        <v>1</v>
      </c>
      <c r="B1" s="1" t="s">
        <v>2</v>
      </c>
      <c r="C1" s="1" t="s">
        <v>3</v>
      </c>
      <c r="D1" s="1" t="s">
        <v>1088</v>
      </c>
    </row>
    <row r="2" spans="1:23" x14ac:dyDescent="0.3">
      <c r="A2" s="3" t="s">
        <v>7</v>
      </c>
      <c r="B2" s="2" t="s">
        <v>1042</v>
      </c>
      <c r="C2" s="3" t="s">
        <v>1007</v>
      </c>
      <c r="D2" s="2">
        <f>_xlfn.XLOOKUP(B2, $H$11:$H$24, $I$11:$I$24, _xlfn.XLOOKUP(B2, $J$11:$J$24, $K$11:$K$24,_xlfn.XLOOKUP(B2, $L$11:$L$23,$M$11:$M$23,_xlfn.XLOOKUP(B2, $N$11:$N$18,$O$11:$O$18,_xlfn.XLOOKUP(B2, $P$11:$P$26,$Q$11:$Q$26,_xlfn.XLOOKUP(B2, $R$11:$R$21,$S$11:$S$21,0))))))</f>
        <v>3000</v>
      </c>
    </row>
    <row r="3" spans="1:23" x14ac:dyDescent="0.3">
      <c r="A3" s="3" t="s">
        <v>8</v>
      </c>
      <c r="B3" s="2" t="s">
        <v>1028</v>
      </c>
      <c r="C3" s="3" t="s">
        <v>1008</v>
      </c>
      <c r="D3" s="2">
        <f t="shared" ref="D3:D66" si="0">_xlfn.XLOOKUP(B3, $H$11:$H$24, $I$11:$I$24, _xlfn.XLOOKUP(B3, $J$11:$J$24, $K$11:$K$24,_xlfn.XLOOKUP(B3, $L$11:$L$23,$M$11:$M$23,_xlfn.XLOOKUP(B3, $N$11:$N$18,$O$11:$O$18,_xlfn.XLOOKUP(B3, $P$11:$P$26,$Q$11:$Q$26,_xlfn.XLOOKUP(B3, $R$11:$R$21,$S$11:$S$21,0))))))</f>
        <v>15000</v>
      </c>
      <c r="G3" s="5" t="s">
        <v>1008</v>
      </c>
      <c r="H3" s="3" t="s">
        <v>1021</v>
      </c>
      <c r="I3" s="2" t="s">
        <v>1022</v>
      </c>
      <c r="J3" s="2" t="s">
        <v>1023</v>
      </c>
      <c r="K3" s="2" t="s">
        <v>1024</v>
      </c>
      <c r="L3" s="2" t="s">
        <v>1025</v>
      </c>
      <c r="M3" s="2" t="s">
        <v>1026</v>
      </c>
      <c r="N3" s="2" t="s">
        <v>1027</v>
      </c>
      <c r="O3" s="2" t="s">
        <v>1028</v>
      </c>
      <c r="P3" s="2" t="s">
        <v>1029</v>
      </c>
      <c r="Q3" s="2" t="s">
        <v>1030</v>
      </c>
      <c r="R3" s="2" t="s">
        <v>1031</v>
      </c>
      <c r="S3" s="2" t="s">
        <v>1032</v>
      </c>
      <c r="T3" s="2" t="s">
        <v>1033</v>
      </c>
      <c r="U3" s="2" t="s">
        <v>1034</v>
      </c>
      <c r="V3" s="2"/>
      <c r="W3" s="2"/>
    </row>
    <row r="4" spans="1:23" x14ac:dyDescent="0.3">
      <c r="A4" s="3" t="s">
        <v>9</v>
      </c>
      <c r="B4" s="2" t="s">
        <v>1069</v>
      </c>
      <c r="C4" s="3" t="s">
        <v>1009</v>
      </c>
      <c r="D4" s="2">
        <f t="shared" si="0"/>
        <v>200</v>
      </c>
      <c r="G4" s="5" t="s">
        <v>1007</v>
      </c>
      <c r="H4" s="3" t="s">
        <v>1035</v>
      </c>
      <c r="I4" s="2" t="s">
        <v>1036</v>
      </c>
      <c r="J4" s="2" t="s">
        <v>1037</v>
      </c>
      <c r="K4" s="2" t="s">
        <v>1038</v>
      </c>
      <c r="L4" s="2" t="s">
        <v>1039</v>
      </c>
      <c r="M4" s="2" t="s">
        <v>1040</v>
      </c>
      <c r="N4" s="2" t="s">
        <v>1041</v>
      </c>
      <c r="O4" s="2" t="s">
        <v>1042</v>
      </c>
      <c r="P4" s="2"/>
      <c r="Q4" s="2"/>
      <c r="R4" s="2"/>
      <c r="S4" s="2"/>
      <c r="T4" s="2"/>
      <c r="U4" s="2"/>
      <c r="V4" s="2"/>
      <c r="W4" s="2"/>
    </row>
    <row r="5" spans="1:23" x14ac:dyDescent="0.3">
      <c r="A5" s="3" t="s">
        <v>10</v>
      </c>
      <c r="B5" s="2" t="s">
        <v>1043</v>
      </c>
      <c r="C5" s="3" t="s">
        <v>1010</v>
      </c>
      <c r="D5" s="2">
        <f t="shared" si="0"/>
        <v>50</v>
      </c>
      <c r="G5" s="5" t="s">
        <v>1010</v>
      </c>
      <c r="H5" s="3" t="s">
        <v>1043</v>
      </c>
      <c r="I5" s="2" t="s">
        <v>1044</v>
      </c>
      <c r="J5" s="2" t="s">
        <v>1045</v>
      </c>
      <c r="K5" s="2" t="s">
        <v>1046</v>
      </c>
      <c r="L5" s="2" t="s">
        <v>1047</v>
      </c>
      <c r="M5" s="2" t="s">
        <v>1048</v>
      </c>
      <c r="N5" s="2" t="s">
        <v>1049</v>
      </c>
      <c r="O5" s="2" t="s">
        <v>1050</v>
      </c>
      <c r="P5" s="2" t="s">
        <v>1051</v>
      </c>
      <c r="Q5" s="2" t="s">
        <v>1052</v>
      </c>
      <c r="R5" s="2" t="s">
        <v>1053</v>
      </c>
      <c r="S5" s="2" t="s">
        <v>1054</v>
      </c>
      <c r="T5" s="2" t="s">
        <v>1055</v>
      </c>
      <c r="U5" s="2"/>
      <c r="V5" s="2"/>
      <c r="W5" s="2"/>
    </row>
    <row r="6" spans="1:23" x14ac:dyDescent="0.3">
      <c r="A6" s="3" t="s">
        <v>11</v>
      </c>
      <c r="B6" s="2" t="s">
        <v>1087</v>
      </c>
      <c r="C6" s="3" t="s">
        <v>1011</v>
      </c>
      <c r="D6" s="2">
        <f t="shared" si="0"/>
        <v>5000</v>
      </c>
      <c r="G6" s="5" t="s">
        <v>1012</v>
      </c>
      <c r="H6" s="3" t="s">
        <v>1017</v>
      </c>
      <c r="I6" s="2" t="s">
        <v>1056</v>
      </c>
      <c r="J6" s="2" t="s">
        <v>1057</v>
      </c>
      <c r="K6" s="2" t="s">
        <v>1018</v>
      </c>
      <c r="L6" s="2" t="s">
        <v>1058</v>
      </c>
      <c r="M6" s="2" t="s">
        <v>1059</v>
      </c>
      <c r="N6" s="2" t="s">
        <v>1060</v>
      </c>
      <c r="O6" s="2" t="s">
        <v>1061</v>
      </c>
      <c r="P6" s="2"/>
      <c r="Q6" s="2"/>
      <c r="R6" s="2"/>
      <c r="S6" s="2"/>
      <c r="T6" s="2"/>
      <c r="U6" s="2"/>
      <c r="V6" s="2"/>
      <c r="W6" s="2"/>
    </row>
    <row r="7" spans="1:23" x14ac:dyDescent="0.3">
      <c r="A7" s="3" t="s">
        <v>12</v>
      </c>
      <c r="B7" s="2" t="s">
        <v>1048</v>
      </c>
      <c r="C7" s="3" t="s">
        <v>1010</v>
      </c>
      <c r="D7" s="2">
        <f t="shared" si="0"/>
        <v>50</v>
      </c>
      <c r="G7" s="5" t="s">
        <v>1009</v>
      </c>
      <c r="H7" s="4" t="s">
        <v>1062</v>
      </c>
      <c r="I7" s="2" t="s">
        <v>1063</v>
      </c>
      <c r="J7" s="2" t="s">
        <v>1064</v>
      </c>
      <c r="K7" s="2" t="s">
        <v>1065</v>
      </c>
      <c r="L7" s="2" t="s">
        <v>1066</v>
      </c>
      <c r="M7" s="2" t="s">
        <v>1067</v>
      </c>
      <c r="N7" s="2" t="s">
        <v>1068</v>
      </c>
      <c r="O7" s="2" t="s">
        <v>1069</v>
      </c>
      <c r="P7" s="2" t="s">
        <v>1070</v>
      </c>
      <c r="Q7" s="2" t="s">
        <v>1071</v>
      </c>
      <c r="R7" s="2" t="s">
        <v>1072</v>
      </c>
      <c r="S7" s="2" t="s">
        <v>1073</v>
      </c>
      <c r="T7" s="2" t="s">
        <v>1071</v>
      </c>
      <c r="U7" s="2" t="s">
        <v>1074</v>
      </c>
      <c r="V7" s="2" t="s">
        <v>1075</v>
      </c>
      <c r="W7" s="2" t="s">
        <v>1076</v>
      </c>
    </row>
    <row r="8" spans="1:23" x14ac:dyDescent="0.3">
      <c r="A8" s="3" t="s">
        <v>13</v>
      </c>
      <c r="B8" s="2" t="s">
        <v>1082</v>
      </c>
      <c r="C8" s="3" t="s">
        <v>1011</v>
      </c>
      <c r="D8" s="2">
        <f t="shared" si="0"/>
        <v>2000</v>
      </c>
      <c r="G8" s="5" t="s">
        <v>1011</v>
      </c>
      <c r="H8" s="4" t="s">
        <v>1077</v>
      </c>
      <c r="I8" s="2" t="s">
        <v>1078</v>
      </c>
      <c r="J8" s="2" t="s">
        <v>1079</v>
      </c>
      <c r="K8" s="2" t="s">
        <v>1080</v>
      </c>
      <c r="L8" s="2" t="s">
        <v>1081</v>
      </c>
      <c r="M8" s="2" t="s">
        <v>1082</v>
      </c>
      <c r="N8" s="2" t="s">
        <v>1083</v>
      </c>
      <c r="O8" s="2" t="s">
        <v>1084</v>
      </c>
      <c r="P8" s="2" t="s">
        <v>1085</v>
      </c>
      <c r="Q8" s="2" t="s">
        <v>1086</v>
      </c>
      <c r="R8" s="2" t="s">
        <v>1087</v>
      </c>
      <c r="S8" s="2"/>
      <c r="T8" s="2"/>
      <c r="U8" s="2"/>
      <c r="V8" s="2"/>
      <c r="W8" s="2"/>
    </row>
    <row r="9" spans="1:23" x14ac:dyDescent="0.3">
      <c r="A9" s="3" t="s">
        <v>14</v>
      </c>
      <c r="B9" s="2" t="s">
        <v>1036</v>
      </c>
      <c r="C9" s="3" t="s">
        <v>1007</v>
      </c>
      <c r="D9" s="2">
        <f t="shared" si="0"/>
        <v>8000</v>
      </c>
    </row>
    <row r="10" spans="1:23" x14ac:dyDescent="0.3">
      <c r="A10" s="3" t="s">
        <v>15</v>
      </c>
      <c r="B10" s="2" t="s">
        <v>1079</v>
      </c>
      <c r="C10" s="3" t="s">
        <v>1011</v>
      </c>
      <c r="D10" s="2">
        <f t="shared" si="0"/>
        <v>5000</v>
      </c>
      <c r="H10" s="2" t="s">
        <v>1008</v>
      </c>
      <c r="I10" s="2" t="s">
        <v>1089</v>
      </c>
      <c r="J10" s="2" t="s">
        <v>1007</v>
      </c>
      <c r="K10" s="2" t="s">
        <v>1089</v>
      </c>
      <c r="L10" s="2" t="s">
        <v>1010</v>
      </c>
      <c r="M10" s="2" t="s">
        <v>1089</v>
      </c>
      <c r="N10" s="2" t="s">
        <v>1012</v>
      </c>
      <c r="O10" s="2" t="s">
        <v>1089</v>
      </c>
      <c r="P10" s="2" t="s">
        <v>1009</v>
      </c>
      <c r="Q10" s="2" t="s">
        <v>1089</v>
      </c>
      <c r="R10" s="2" t="s">
        <v>1011</v>
      </c>
      <c r="S10" s="2" t="s">
        <v>1089</v>
      </c>
    </row>
    <row r="11" spans="1:23" x14ac:dyDescent="0.3">
      <c r="A11" s="3" t="s">
        <v>16</v>
      </c>
      <c r="B11" s="2" t="s">
        <v>1027</v>
      </c>
      <c r="C11" s="3" t="s">
        <v>1008</v>
      </c>
      <c r="D11" s="2">
        <f t="shared" si="0"/>
        <v>30000</v>
      </c>
      <c r="H11" s="2" t="s">
        <v>1021</v>
      </c>
      <c r="I11" s="2">
        <v>20000</v>
      </c>
      <c r="J11" s="2" t="s">
        <v>1035</v>
      </c>
      <c r="K11" s="2">
        <v>15000</v>
      </c>
      <c r="L11" s="2" t="s">
        <v>1043</v>
      </c>
      <c r="M11" s="2">
        <v>50</v>
      </c>
      <c r="N11" s="2" t="s">
        <v>1017</v>
      </c>
      <c r="O11" s="2">
        <v>200</v>
      </c>
      <c r="P11" s="2" t="s">
        <v>1062</v>
      </c>
      <c r="Q11" s="2">
        <v>100</v>
      </c>
      <c r="R11" s="2" t="s">
        <v>1077</v>
      </c>
      <c r="S11" s="2">
        <v>5000</v>
      </c>
    </row>
    <row r="12" spans="1:23" ht="57.6" x14ac:dyDescent="0.3">
      <c r="A12" s="3" t="s">
        <v>17</v>
      </c>
      <c r="B12" s="2" t="s">
        <v>1058</v>
      </c>
      <c r="C12" s="3" t="s">
        <v>1012</v>
      </c>
      <c r="D12" s="2">
        <f t="shared" si="0"/>
        <v>500</v>
      </c>
      <c r="H12" s="2" t="s">
        <v>1090</v>
      </c>
      <c r="I12" s="2">
        <v>15000</v>
      </c>
      <c r="J12" s="2" t="s">
        <v>1036</v>
      </c>
      <c r="K12" s="2">
        <v>8000</v>
      </c>
      <c r="L12" s="2" t="s">
        <v>1044</v>
      </c>
      <c r="M12" s="2">
        <v>100</v>
      </c>
      <c r="N12" s="2" t="s">
        <v>1056</v>
      </c>
      <c r="O12" s="2">
        <v>100</v>
      </c>
      <c r="P12" s="2" t="s">
        <v>1063</v>
      </c>
      <c r="Q12" s="2">
        <v>4500</v>
      </c>
      <c r="R12" s="2" t="s">
        <v>1078</v>
      </c>
      <c r="S12" s="2">
        <v>200</v>
      </c>
      <c r="U12" s="16" t="s">
        <v>1091</v>
      </c>
    </row>
    <row r="13" spans="1:23" x14ac:dyDescent="0.3">
      <c r="A13" s="3" t="s">
        <v>18</v>
      </c>
      <c r="B13" s="2" t="s">
        <v>1018</v>
      </c>
      <c r="C13" s="3" t="s">
        <v>1012</v>
      </c>
      <c r="D13" s="2">
        <f t="shared" si="0"/>
        <v>3000</v>
      </c>
      <c r="H13" s="2" t="s">
        <v>1023</v>
      </c>
      <c r="I13" s="2">
        <v>20000</v>
      </c>
      <c r="J13" s="2" t="s">
        <v>1037</v>
      </c>
      <c r="K13" s="2">
        <v>10000</v>
      </c>
      <c r="L13" s="2" t="s">
        <v>1045</v>
      </c>
      <c r="M13" s="2">
        <v>100</v>
      </c>
      <c r="N13" s="2" t="s">
        <v>1057</v>
      </c>
      <c r="O13" s="2">
        <v>500</v>
      </c>
      <c r="P13" s="2" t="s">
        <v>1064</v>
      </c>
      <c r="Q13" s="2">
        <v>15000</v>
      </c>
      <c r="R13" s="2" t="s">
        <v>1079</v>
      </c>
      <c r="S13" s="2">
        <v>5000</v>
      </c>
    </row>
    <row r="14" spans="1:23" x14ac:dyDescent="0.3">
      <c r="A14" s="3" t="s">
        <v>19</v>
      </c>
      <c r="B14" s="2" t="s">
        <v>1060</v>
      </c>
      <c r="C14" s="3" t="s">
        <v>1012</v>
      </c>
      <c r="D14" s="2">
        <f t="shared" si="0"/>
        <v>1500</v>
      </c>
      <c r="H14" s="2" t="s">
        <v>1024</v>
      </c>
      <c r="I14" s="2">
        <v>150000</v>
      </c>
      <c r="J14" s="2" t="s">
        <v>1038</v>
      </c>
      <c r="K14" s="2">
        <v>5000</v>
      </c>
      <c r="L14" s="2" t="s">
        <v>1046</v>
      </c>
      <c r="M14" s="2">
        <v>100</v>
      </c>
      <c r="N14" s="2" t="s">
        <v>1018</v>
      </c>
      <c r="O14" s="2">
        <v>3000</v>
      </c>
      <c r="P14" s="2" t="s">
        <v>1065</v>
      </c>
      <c r="Q14" s="2">
        <v>200</v>
      </c>
      <c r="R14" s="2" t="s">
        <v>1080</v>
      </c>
      <c r="S14" s="2">
        <v>2500</v>
      </c>
    </row>
    <row r="15" spans="1:23" x14ac:dyDescent="0.3">
      <c r="A15" s="3" t="s">
        <v>20</v>
      </c>
      <c r="B15" s="2" t="s">
        <v>1050</v>
      </c>
      <c r="C15" s="3" t="s">
        <v>1010</v>
      </c>
      <c r="D15" s="2">
        <f t="shared" si="0"/>
        <v>30</v>
      </c>
      <c r="H15" s="2" t="s">
        <v>1025</v>
      </c>
      <c r="I15" s="2">
        <v>30000</v>
      </c>
      <c r="J15" s="2" t="s">
        <v>1039</v>
      </c>
      <c r="K15" s="2">
        <v>12000</v>
      </c>
      <c r="L15" s="2" t="s">
        <v>1047</v>
      </c>
      <c r="M15" s="2">
        <v>500</v>
      </c>
      <c r="N15" s="2" t="s">
        <v>1058</v>
      </c>
      <c r="O15" s="2">
        <v>500</v>
      </c>
      <c r="P15" s="2" t="s">
        <v>1066</v>
      </c>
      <c r="Q15" s="2">
        <v>800</v>
      </c>
      <c r="R15" s="2" t="s">
        <v>1081</v>
      </c>
      <c r="S15" s="2">
        <v>1000</v>
      </c>
    </row>
    <row r="16" spans="1:23" x14ac:dyDescent="0.3">
      <c r="A16" s="3" t="s">
        <v>21</v>
      </c>
      <c r="B16" s="2" t="s">
        <v>1043</v>
      </c>
      <c r="C16" s="3" t="s">
        <v>1010</v>
      </c>
      <c r="D16" s="2">
        <f t="shared" si="0"/>
        <v>50</v>
      </c>
      <c r="H16" s="2" t="s">
        <v>1026</v>
      </c>
      <c r="I16" s="2">
        <v>6000</v>
      </c>
      <c r="J16" s="2" t="s">
        <v>1040</v>
      </c>
      <c r="K16" s="2">
        <v>5000</v>
      </c>
      <c r="L16" s="2" t="s">
        <v>1048</v>
      </c>
      <c r="M16" s="2">
        <v>50</v>
      </c>
      <c r="N16" s="2" t="s">
        <v>1059</v>
      </c>
      <c r="O16" s="2">
        <v>200</v>
      </c>
      <c r="P16" s="2" t="s">
        <v>1067</v>
      </c>
      <c r="Q16" s="2">
        <v>100</v>
      </c>
      <c r="R16" s="2" t="s">
        <v>1082</v>
      </c>
      <c r="S16" s="2">
        <v>2000</v>
      </c>
    </row>
    <row r="17" spans="1:19" x14ac:dyDescent="0.3">
      <c r="A17" s="3" t="s">
        <v>22</v>
      </c>
      <c r="B17" s="2" t="s">
        <v>1036</v>
      </c>
      <c r="C17" s="3" t="s">
        <v>1007</v>
      </c>
      <c r="D17" s="2">
        <f t="shared" si="0"/>
        <v>8000</v>
      </c>
      <c r="H17" s="2" t="s">
        <v>1027</v>
      </c>
      <c r="I17" s="2">
        <v>30000</v>
      </c>
      <c r="J17" s="2" t="s">
        <v>1041</v>
      </c>
      <c r="K17" s="2">
        <v>2000</v>
      </c>
      <c r="L17" s="2" t="s">
        <v>1049</v>
      </c>
      <c r="M17" s="2">
        <v>20</v>
      </c>
      <c r="N17" s="2" t="s">
        <v>1060</v>
      </c>
      <c r="O17" s="2">
        <v>1500</v>
      </c>
      <c r="P17" s="2" t="s">
        <v>1068</v>
      </c>
      <c r="Q17" s="2">
        <v>100</v>
      </c>
      <c r="R17" s="2" t="s">
        <v>1083</v>
      </c>
      <c r="S17" s="2">
        <v>3000</v>
      </c>
    </row>
    <row r="18" spans="1:19" x14ac:dyDescent="0.3">
      <c r="A18" s="3" t="s">
        <v>23</v>
      </c>
      <c r="B18" s="2" t="s">
        <v>1026</v>
      </c>
      <c r="C18" s="3" t="s">
        <v>1008</v>
      </c>
      <c r="D18" s="2">
        <f t="shared" si="0"/>
        <v>6000</v>
      </c>
      <c r="H18" s="2" t="s">
        <v>1028</v>
      </c>
      <c r="I18" s="2">
        <v>15000</v>
      </c>
      <c r="J18" s="2" t="s">
        <v>1042</v>
      </c>
      <c r="K18" s="2">
        <v>3000</v>
      </c>
      <c r="L18" s="2" t="s">
        <v>1050</v>
      </c>
      <c r="M18" s="2">
        <v>30</v>
      </c>
      <c r="N18" s="2" t="s">
        <v>1061</v>
      </c>
      <c r="O18" s="2">
        <v>500</v>
      </c>
      <c r="P18" s="2" t="s">
        <v>1069</v>
      </c>
      <c r="Q18" s="2">
        <v>200</v>
      </c>
      <c r="R18" s="2" t="s">
        <v>1084</v>
      </c>
      <c r="S18" s="2">
        <v>2000</v>
      </c>
    </row>
    <row r="19" spans="1:19" x14ac:dyDescent="0.3">
      <c r="A19" s="3" t="s">
        <v>24</v>
      </c>
      <c r="B19" s="2" t="s">
        <v>1035</v>
      </c>
      <c r="C19" s="3" t="s">
        <v>1007</v>
      </c>
      <c r="D19" s="2">
        <f t="shared" si="0"/>
        <v>15000</v>
      </c>
      <c r="H19" s="2" t="s">
        <v>1029</v>
      </c>
      <c r="I19" s="2">
        <v>3000</v>
      </c>
      <c r="J19" s="2"/>
      <c r="K19" s="2"/>
      <c r="L19" s="2" t="s">
        <v>1051</v>
      </c>
      <c r="M19" s="2">
        <v>50</v>
      </c>
      <c r="N19" s="2"/>
      <c r="O19" s="2"/>
      <c r="P19" s="2" t="s">
        <v>1070</v>
      </c>
      <c r="Q19" s="2">
        <v>1500</v>
      </c>
      <c r="R19" s="2" t="s">
        <v>1085</v>
      </c>
      <c r="S19" s="2">
        <v>1500</v>
      </c>
    </row>
    <row r="20" spans="1:19" x14ac:dyDescent="0.3">
      <c r="A20" s="3" t="s">
        <v>25</v>
      </c>
      <c r="B20" s="2" t="s">
        <v>1067</v>
      </c>
      <c r="C20" s="3" t="s">
        <v>1009</v>
      </c>
      <c r="D20" s="2">
        <f t="shared" si="0"/>
        <v>100</v>
      </c>
      <c r="H20" s="2" t="s">
        <v>1030</v>
      </c>
      <c r="I20" s="2">
        <v>70000</v>
      </c>
      <c r="J20" s="2"/>
      <c r="K20" s="2"/>
      <c r="L20" s="2" t="s">
        <v>1052</v>
      </c>
      <c r="M20" s="2">
        <v>100</v>
      </c>
      <c r="N20" s="2"/>
      <c r="O20" s="2"/>
      <c r="P20" s="2" t="s">
        <v>1071</v>
      </c>
      <c r="Q20" s="2">
        <v>200</v>
      </c>
      <c r="R20" s="2" t="s">
        <v>1086</v>
      </c>
      <c r="S20" s="2">
        <v>4500</v>
      </c>
    </row>
    <row r="21" spans="1:19" x14ac:dyDescent="0.3">
      <c r="A21" s="3" t="s">
        <v>26</v>
      </c>
      <c r="B21" s="2" t="s">
        <v>1054</v>
      </c>
      <c r="C21" s="3" t="s">
        <v>1010</v>
      </c>
      <c r="D21" s="2">
        <f t="shared" si="0"/>
        <v>30</v>
      </c>
      <c r="H21" s="2" t="s">
        <v>1031</v>
      </c>
      <c r="I21" s="2">
        <v>40000</v>
      </c>
      <c r="J21" s="2"/>
      <c r="K21" s="2"/>
      <c r="L21" s="2" t="s">
        <v>1053</v>
      </c>
      <c r="M21" s="2">
        <v>10</v>
      </c>
      <c r="N21" s="2"/>
      <c r="O21" s="2"/>
      <c r="P21" s="2" t="s">
        <v>1072</v>
      </c>
      <c r="Q21" s="2">
        <v>50</v>
      </c>
      <c r="R21" s="2" t="s">
        <v>1087</v>
      </c>
      <c r="S21" s="2">
        <v>5000</v>
      </c>
    </row>
    <row r="22" spans="1:19" x14ac:dyDescent="0.3">
      <c r="A22" s="3" t="s">
        <v>27</v>
      </c>
      <c r="B22" s="2" t="s">
        <v>1021</v>
      </c>
      <c r="C22" s="3" t="s">
        <v>1008</v>
      </c>
      <c r="D22" s="2">
        <f t="shared" si="0"/>
        <v>20000</v>
      </c>
      <c r="H22" s="2" t="s">
        <v>1032</v>
      </c>
      <c r="I22" s="2">
        <v>2000</v>
      </c>
      <c r="J22" s="2"/>
      <c r="K22" s="2"/>
      <c r="L22" s="2" t="s">
        <v>1054</v>
      </c>
      <c r="M22" s="2">
        <v>30</v>
      </c>
      <c r="N22" s="2"/>
      <c r="O22" s="2"/>
      <c r="P22" s="2" t="s">
        <v>1073</v>
      </c>
      <c r="Q22" s="2">
        <v>100</v>
      </c>
      <c r="R22" s="2"/>
      <c r="S22" s="2"/>
    </row>
    <row r="23" spans="1:19" x14ac:dyDescent="0.3">
      <c r="A23" s="3" t="s">
        <v>28</v>
      </c>
      <c r="B23" s="2" t="s">
        <v>1038</v>
      </c>
      <c r="C23" s="3" t="s">
        <v>1007</v>
      </c>
      <c r="D23" s="2">
        <f t="shared" si="0"/>
        <v>5000</v>
      </c>
      <c r="H23" s="2" t="s">
        <v>1033</v>
      </c>
      <c r="I23" s="2">
        <v>4000</v>
      </c>
      <c r="J23" s="2"/>
      <c r="K23" s="2"/>
      <c r="L23" s="2" t="s">
        <v>1055</v>
      </c>
      <c r="M23" s="2">
        <v>50</v>
      </c>
      <c r="N23" s="2"/>
      <c r="O23" s="2"/>
      <c r="P23" s="2" t="s">
        <v>1071</v>
      </c>
      <c r="Q23" s="2">
        <v>200</v>
      </c>
      <c r="R23" s="2"/>
      <c r="S23" s="2"/>
    </row>
    <row r="24" spans="1:19" x14ac:dyDescent="0.3">
      <c r="A24" s="3" t="s">
        <v>29</v>
      </c>
      <c r="B24" s="2" t="s">
        <v>1040</v>
      </c>
      <c r="C24" s="3" t="s">
        <v>1007</v>
      </c>
      <c r="D24" s="2">
        <f t="shared" si="0"/>
        <v>5000</v>
      </c>
      <c r="H24" s="2" t="s">
        <v>1034</v>
      </c>
      <c r="I24" s="2">
        <v>50000</v>
      </c>
      <c r="J24" s="2"/>
      <c r="K24" s="2"/>
      <c r="L24" s="2"/>
      <c r="M24" s="2"/>
      <c r="N24" s="2"/>
      <c r="O24" s="2"/>
      <c r="P24" s="2" t="s">
        <v>1074</v>
      </c>
      <c r="Q24" s="2">
        <v>500</v>
      </c>
      <c r="R24" s="2"/>
      <c r="S24" s="2"/>
    </row>
    <row r="25" spans="1:19" x14ac:dyDescent="0.3">
      <c r="A25" s="3" t="s">
        <v>30</v>
      </c>
      <c r="B25" s="2" t="s">
        <v>1056</v>
      </c>
      <c r="C25" s="3" t="s">
        <v>1012</v>
      </c>
      <c r="D25" s="2">
        <f t="shared" si="0"/>
        <v>100</v>
      </c>
      <c r="H25" s="2"/>
      <c r="I25" s="2"/>
      <c r="J25" s="2"/>
      <c r="K25" s="2"/>
      <c r="L25" s="2"/>
      <c r="M25" s="2"/>
      <c r="N25" s="2"/>
      <c r="O25" s="2"/>
      <c r="P25" s="2" t="s">
        <v>1075</v>
      </c>
      <c r="Q25" s="2">
        <v>2000</v>
      </c>
      <c r="R25" s="2"/>
      <c r="S25" s="2"/>
    </row>
    <row r="26" spans="1:19" x14ac:dyDescent="0.3">
      <c r="A26" s="3" t="s">
        <v>31</v>
      </c>
      <c r="B26" s="2" t="s">
        <v>1058</v>
      </c>
      <c r="C26" s="3" t="s">
        <v>1012</v>
      </c>
      <c r="D26" s="2">
        <f t="shared" si="0"/>
        <v>500</v>
      </c>
      <c r="H26" s="2"/>
      <c r="I26" s="2"/>
      <c r="J26" s="2"/>
      <c r="K26" s="2"/>
      <c r="L26" s="2"/>
      <c r="M26" s="2"/>
      <c r="N26" s="2"/>
      <c r="O26" s="2"/>
      <c r="P26" s="2" t="s">
        <v>1076</v>
      </c>
      <c r="Q26" s="2">
        <v>100</v>
      </c>
      <c r="R26" s="2"/>
      <c r="S26" s="2"/>
    </row>
    <row r="27" spans="1:19" x14ac:dyDescent="0.3">
      <c r="A27" s="3" t="s">
        <v>32</v>
      </c>
      <c r="B27" s="2" t="s">
        <v>1065</v>
      </c>
      <c r="C27" s="3" t="s">
        <v>1009</v>
      </c>
      <c r="D27" s="2">
        <f t="shared" si="0"/>
        <v>200</v>
      </c>
    </row>
    <row r="28" spans="1:19" x14ac:dyDescent="0.3">
      <c r="A28" s="3" t="s">
        <v>33</v>
      </c>
      <c r="B28" s="2" t="s">
        <v>1075</v>
      </c>
      <c r="C28" s="3" t="s">
        <v>1009</v>
      </c>
      <c r="D28" s="2">
        <f t="shared" si="0"/>
        <v>2000</v>
      </c>
    </row>
    <row r="29" spans="1:19" x14ac:dyDescent="0.3">
      <c r="A29" s="3" t="s">
        <v>34</v>
      </c>
      <c r="B29" s="2" t="s">
        <v>1018</v>
      </c>
      <c r="C29" s="3" t="s">
        <v>1012</v>
      </c>
      <c r="D29" s="2">
        <f t="shared" si="0"/>
        <v>3000</v>
      </c>
    </row>
    <row r="30" spans="1:19" x14ac:dyDescent="0.3">
      <c r="A30" s="3" t="s">
        <v>35</v>
      </c>
      <c r="B30" s="2" t="s">
        <v>1017</v>
      </c>
      <c r="C30" s="3" t="s">
        <v>1012</v>
      </c>
      <c r="D30" s="2">
        <f t="shared" si="0"/>
        <v>200</v>
      </c>
    </row>
    <row r="31" spans="1:19" x14ac:dyDescent="0.3">
      <c r="A31" s="3" t="s">
        <v>36</v>
      </c>
      <c r="B31" s="2" t="s">
        <v>1038</v>
      </c>
      <c r="C31" s="3" t="s">
        <v>1007</v>
      </c>
      <c r="D31" s="2">
        <f t="shared" si="0"/>
        <v>5000</v>
      </c>
    </row>
    <row r="32" spans="1:19" x14ac:dyDescent="0.3">
      <c r="A32" s="3" t="s">
        <v>37</v>
      </c>
      <c r="B32" s="2" t="s">
        <v>1038</v>
      </c>
      <c r="C32" s="3" t="s">
        <v>1007</v>
      </c>
      <c r="D32" s="2">
        <f t="shared" si="0"/>
        <v>5000</v>
      </c>
    </row>
    <row r="33" spans="1:4" x14ac:dyDescent="0.3">
      <c r="A33" s="3" t="s">
        <v>38</v>
      </c>
      <c r="B33" s="2" t="s">
        <v>1048</v>
      </c>
      <c r="C33" s="3" t="s">
        <v>1010</v>
      </c>
      <c r="D33" s="2">
        <f t="shared" si="0"/>
        <v>50</v>
      </c>
    </row>
    <row r="34" spans="1:4" x14ac:dyDescent="0.3">
      <c r="A34" s="3" t="s">
        <v>39</v>
      </c>
      <c r="B34" s="2" t="s">
        <v>1047</v>
      </c>
      <c r="C34" s="3" t="s">
        <v>1010</v>
      </c>
      <c r="D34" s="2">
        <f t="shared" si="0"/>
        <v>500</v>
      </c>
    </row>
    <row r="35" spans="1:4" x14ac:dyDescent="0.3">
      <c r="A35" s="3" t="s">
        <v>40</v>
      </c>
      <c r="B35" s="2" t="s">
        <v>1063</v>
      </c>
      <c r="C35" s="3" t="s">
        <v>1009</v>
      </c>
      <c r="D35" s="2">
        <f t="shared" si="0"/>
        <v>4500</v>
      </c>
    </row>
    <row r="36" spans="1:4" x14ac:dyDescent="0.3">
      <c r="A36" s="3" t="s">
        <v>41</v>
      </c>
      <c r="B36" s="2" t="s">
        <v>1029</v>
      </c>
      <c r="C36" s="3" t="s">
        <v>1008</v>
      </c>
      <c r="D36" s="2">
        <f t="shared" si="0"/>
        <v>3000</v>
      </c>
    </row>
    <row r="37" spans="1:4" x14ac:dyDescent="0.3">
      <c r="A37" s="3" t="s">
        <v>42</v>
      </c>
      <c r="B37" s="2" t="s">
        <v>1058</v>
      </c>
      <c r="C37" s="3" t="s">
        <v>1012</v>
      </c>
      <c r="D37" s="2">
        <f t="shared" si="0"/>
        <v>500</v>
      </c>
    </row>
    <row r="38" spans="1:4" x14ac:dyDescent="0.3">
      <c r="A38" s="3" t="s">
        <v>43</v>
      </c>
      <c r="B38" s="2" t="s">
        <v>1081</v>
      </c>
      <c r="C38" s="3" t="s">
        <v>1011</v>
      </c>
      <c r="D38" s="2">
        <f t="shared" si="0"/>
        <v>1000</v>
      </c>
    </row>
    <row r="39" spans="1:4" x14ac:dyDescent="0.3">
      <c r="A39" s="3" t="s">
        <v>44</v>
      </c>
      <c r="B39" s="2" t="s">
        <v>1049</v>
      </c>
      <c r="C39" s="3" t="s">
        <v>1010</v>
      </c>
      <c r="D39" s="2">
        <f t="shared" si="0"/>
        <v>20</v>
      </c>
    </row>
    <row r="40" spans="1:4" x14ac:dyDescent="0.3">
      <c r="A40" s="3" t="s">
        <v>45</v>
      </c>
      <c r="B40" s="2" t="s">
        <v>1054</v>
      </c>
      <c r="C40" s="3" t="s">
        <v>1010</v>
      </c>
      <c r="D40" s="2">
        <f t="shared" si="0"/>
        <v>30</v>
      </c>
    </row>
    <row r="41" spans="1:4" x14ac:dyDescent="0.3">
      <c r="A41" s="3" t="s">
        <v>46</v>
      </c>
      <c r="B41" s="2" t="s">
        <v>1025</v>
      </c>
      <c r="C41" s="3" t="s">
        <v>1008</v>
      </c>
      <c r="D41" s="2">
        <f t="shared" si="0"/>
        <v>30000</v>
      </c>
    </row>
    <row r="42" spans="1:4" x14ac:dyDescent="0.3">
      <c r="A42" s="3" t="s">
        <v>47</v>
      </c>
      <c r="B42" s="2" t="s">
        <v>1017</v>
      </c>
      <c r="C42" s="3" t="s">
        <v>1012</v>
      </c>
      <c r="D42" s="2">
        <f t="shared" si="0"/>
        <v>200</v>
      </c>
    </row>
    <row r="43" spans="1:4" x14ac:dyDescent="0.3">
      <c r="A43" s="3" t="s">
        <v>48</v>
      </c>
      <c r="B43" s="2" t="s">
        <v>1045</v>
      </c>
      <c r="C43" s="3" t="s">
        <v>1010</v>
      </c>
      <c r="D43" s="2">
        <f t="shared" si="0"/>
        <v>100</v>
      </c>
    </row>
    <row r="44" spans="1:4" x14ac:dyDescent="0.3">
      <c r="A44" s="3" t="s">
        <v>49</v>
      </c>
      <c r="B44" s="2" t="s">
        <v>1053</v>
      </c>
      <c r="C44" s="3" t="s">
        <v>1010</v>
      </c>
      <c r="D44" s="2">
        <f t="shared" si="0"/>
        <v>10</v>
      </c>
    </row>
    <row r="45" spans="1:4" x14ac:dyDescent="0.3">
      <c r="A45" s="3" t="s">
        <v>50</v>
      </c>
      <c r="B45" s="2" t="s">
        <v>1039</v>
      </c>
      <c r="C45" s="3" t="s">
        <v>1007</v>
      </c>
      <c r="D45" s="2">
        <f t="shared" si="0"/>
        <v>12000</v>
      </c>
    </row>
    <row r="46" spans="1:4" x14ac:dyDescent="0.3">
      <c r="A46" s="3" t="s">
        <v>51</v>
      </c>
      <c r="B46" s="2" t="s">
        <v>1053</v>
      </c>
      <c r="C46" s="3" t="s">
        <v>1010</v>
      </c>
      <c r="D46" s="2">
        <f t="shared" si="0"/>
        <v>10</v>
      </c>
    </row>
    <row r="47" spans="1:4" x14ac:dyDescent="0.3">
      <c r="A47" s="3" t="s">
        <v>52</v>
      </c>
      <c r="B47" s="2" t="s">
        <v>1063</v>
      </c>
      <c r="C47" s="3" t="s">
        <v>1009</v>
      </c>
      <c r="D47" s="2">
        <f t="shared" si="0"/>
        <v>4500</v>
      </c>
    </row>
    <row r="48" spans="1:4" x14ac:dyDescent="0.3">
      <c r="A48" s="3" t="s">
        <v>53</v>
      </c>
      <c r="B48" s="2" t="s">
        <v>1079</v>
      </c>
      <c r="C48" s="3" t="s">
        <v>1011</v>
      </c>
      <c r="D48" s="2">
        <f t="shared" si="0"/>
        <v>5000</v>
      </c>
    </row>
    <row r="49" spans="1:4" x14ac:dyDescent="0.3">
      <c r="A49" s="3" t="s">
        <v>54</v>
      </c>
      <c r="B49" s="2" t="s">
        <v>1037</v>
      </c>
      <c r="C49" s="3" t="s">
        <v>1007</v>
      </c>
      <c r="D49" s="2">
        <f t="shared" si="0"/>
        <v>10000</v>
      </c>
    </row>
    <row r="50" spans="1:4" x14ac:dyDescent="0.3">
      <c r="A50" s="3" t="s">
        <v>55</v>
      </c>
      <c r="B50" s="2" t="s">
        <v>1036</v>
      </c>
      <c r="C50" s="3" t="s">
        <v>1007</v>
      </c>
      <c r="D50" s="2">
        <f t="shared" si="0"/>
        <v>8000</v>
      </c>
    </row>
    <row r="51" spans="1:4" x14ac:dyDescent="0.3">
      <c r="A51" s="3" t="s">
        <v>56</v>
      </c>
      <c r="B51" s="2" t="s">
        <v>1039</v>
      </c>
      <c r="C51" s="3" t="s">
        <v>1007</v>
      </c>
      <c r="D51" s="2">
        <f t="shared" si="0"/>
        <v>12000</v>
      </c>
    </row>
    <row r="52" spans="1:4" x14ac:dyDescent="0.3">
      <c r="A52" s="3" t="s">
        <v>57</v>
      </c>
      <c r="B52" s="2" t="s">
        <v>1035</v>
      </c>
      <c r="C52" s="3" t="s">
        <v>1007</v>
      </c>
      <c r="D52" s="2">
        <f t="shared" si="0"/>
        <v>15000</v>
      </c>
    </row>
    <row r="53" spans="1:4" x14ac:dyDescent="0.3">
      <c r="A53" s="3" t="s">
        <v>58</v>
      </c>
      <c r="B53" s="2" t="s">
        <v>1084</v>
      </c>
      <c r="C53" s="3" t="s">
        <v>1011</v>
      </c>
      <c r="D53" s="2">
        <f t="shared" si="0"/>
        <v>2000</v>
      </c>
    </row>
    <row r="54" spans="1:4" x14ac:dyDescent="0.3">
      <c r="A54" s="3" t="s">
        <v>59</v>
      </c>
      <c r="B54" s="2" t="s">
        <v>1079</v>
      </c>
      <c r="C54" s="3" t="s">
        <v>1011</v>
      </c>
      <c r="D54" s="2">
        <f t="shared" si="0"/>
        <v>5000</v>
      </c>
    </row>
    <row r="55" spans="1:4" x14ac:dyDescent="0.3">
      <c r="A55" s="3" t="s">
        <v>60</v>
      </c>
      <c r="B55" s="2" t="s">
        <v>1065</v>
      </c>
      <c r="C55" s="3" t="s">
        <v>1009</v>
      </c>
      <c r="D55" s="2">
        <f t="shared" si="0"/>
        <v>200</v>
      </c>
    </row>
    <row r="56" spans="1:4" x14ac:dyDescent="0.3">
      <c r="A56" s="3" t="s">
        <v>61</v>
      </c>
      <c r="B56" s="2" t="s">
        <v>1083</v>
      </c>
      <c r="C56" s="3" t="s">
        <v>1011</v>
      </c>
      <c r="D56" s="2">
        <f t="shared" si="0"/>
        <v>3000</v>
      </c>
    </row>
    <row r="57" spans="1:4" x14ac:dyDescent="0.3">
      <c r="A57" s="3" t="s">
        <v>62</v>
      </c>
      <c r="B57" s="2" t="s">
        <v>1083</v>
      </c>
      <c r="C57" s="3" t="s">
        <v>1011</v>
      </c>
      <c r="D57" s="2">
        <f t="shared" si="0"/>
        <v>3000</v>
      </c>
    </row>
    <row r="58" spans="1:4" x14ac:dyDescent="0.3">
      <c r="A58" s="3" t="s">
        <v>63</v>
      </c>
      <c r="B58" s="2" t="s">
        <v>1035</v>
      </c>
      <c r="C58" s="3" t="s">
        <v>1007</v>
      </c>
      <c r="D58" s="2">
        <f t="shared" si="0"/>
        <v>15000</v>
      </c>
    </row>
    <row r="59" spans="1:4" x14ac:dyDescent="0.3">
      <c r="A59" s="3" t="s">
        <v>64</v>
      </c>
      <c r="B59" s="2" t="s">
        <v>1049</v>
      </c>
      <c r="C59" s="3" t="s">
        <v>1010</v>
      </c>
      <c r="D59" s="2">
        <f t="shared" si="0"/>
        <v>20</v>
      </c>
    </row>
    <row r="60" spans="1:4" x14ac:dyDescent="0.3">
      <c r="A60" s="3" t="s">
        <v>65</v>
      </c>
      <c r="B60" s="2" t="s">
        <v>1053</v>
      </c>
      <c r="C60" s="3" t="s">
        <v>1010</v>
      </c>
      <c r="D60" s="2">
        <f t="shared" si="0"/>
        <v>10</v>
      </c>
    </row>
    <row r="61" spans="1:4" x14ac:dyDescent="0.3">
      <c r="A61" s="3" t="s">
        <v>66</v>
      </c>
      <c r="B61" s="2" t="s">
        <v>1027</v>
      </c>
      <c r="C61" s="3" t="s">
        <v>1008</v>
      </c>
      <c r="D61" s="2">
        <f t="shared" si="0"/>
        <v>30000</v>
      </c>
    </row>
    <row r="62" spans="1:4" x14ac:dyDescent="0.3">
      <c r="A62" s="3" t="s">
        <v>67</v>
      </c>
      <c r="B62" s="2" t="s">
        <v>1037</v>
      </c>
      <c r="C62" s="3" t="s">
        <v>1007</v>
      </c>
      <c r="D62" s="2">
        <f t="shared" si="0"/>
        <v>10000</v>
      </c>
    </row>
    <row r="63" spans="1:4" x14ac:dyDescent="0.3">
      <c r="A63" s="3" t="s">
        <v>68</v>
      </c>
      <c r="B63" s="2" t="s">
        <v>1053</v>
      </c>
      <c r="C63" s="3" t="s">
        <v>1010</v>
      </c>
      <c r="D63" s="2">
        <f t="shared" si="0"/>
        <v>10</v>
      </c>
    </row>
    <row r="64" spans="1:4" x14ac:dyDescent="0.3">
      <c r="A64" s="3" t="s">
        <v>69</v>
      </c>
      <c r="B64" s="2" t="s">
        <v>1037</v>
      </c>
      <c r="C64" s="3" t="s">
        <v>1007</v>
      </c>
      <c r="D64" s="2">
        <f t="shared" si="0"/>
        <v>10000</v>
      </c>
    </row>
    <row r="65" spans="1:4" x14ac:dyDescent="0.3">
      <c r="A65" s="3" t="s">
        <v>70</v>
      </c>
      <c r="B65" s="2" t="s">
        <v>1026</v>
      </c>
      <c r="C65" s="3" t="s">
        <v>1008</v>
      </c>
      <c r="D65" s="2">
        <f t="shared" si="0"/>
        <v>6000</v>
      </c>
    </row>
    <row r="66" spans="1:4" x14ac:dyDescent="0.3">
      <c r="A66" s="3" t="s">
        <v>71</v>
      </c>
      <c r="B66" s="2" t="s">
        <v>1062</v>
      </c>
      <c r="C66" s="3" t="s">
        <v>1009</v>
      </c>
      <c r="D66" s="2">
        <f t="shared" si="0"/>
        <v>100</v>
      </c>
    </row>
    <row r="67" spans="1:4" x14ac:dyDescent="0.3">
      <c r="A67" s="3" t="s">
        <v>72</v>
      </c>
      <c r="B67" s="2" t="s">
        <v>1027</v>
      </c>
      <c r="C67" s="3" t="s">
        <v>1008</v>
      </c>
      <c r="D67" s="2">
        <f t="shared" ref="D67:D130" si="1">_xlfn.XLOOKUP(B67, $H$11:$H$24, $I$11:$I$24, _xlfn.XLOOKUP(B67, $J$11:$J$24, $K$11:$K$24,_xlfn.XLOOKUP(B67, $L$11:$L$23,$M$11:$M$23,_xlfn.XLOOKUP(B67, $N$11:$N$18,$O$11:$O$18,_xlfn.XLOOKUP(B67, $P$11:$P$26,$Q$11:$Q$26,_xlfn.XLOOKUP(B67, $R$11:$R$21,$S$11:$S$21,0))))))</f>
        <v>30000</v>
      </c>
    </row>
    <row r="68" spans="1:4" x14ac:dyDescent="0.3">
      <c r="A68" s="3" t="s">
        <v>73</v>
      </c>
      <c r="B68" s="2" t="s">
        <v>1082</v>
      </c>
      <c r="C68" s="3" t="s">
        <v>1011</v>
      </c>
      <c r="D68" s="2">
        <f t="shared" si="1"/>
        <v>2000</v>
      </c>
    </row>
    <row r="69" spans="1:4" x14ac:dyDescent="0.3">
      <c r="A69" s="3" t="s">
        <v>74</v>
      </c>
      <c r="B69" s="2" t="s">
        <v>1041</v>
      </c>
      <c r="C69" s="3" t="s">
        <v>1007</v>
      </c>
      <c r="D69" s="2">
        <f t="shared" si="1"/>
        <v>2000</v>
      </c>
    </row>
    <row r="70" spans="1:4" x14ac:dyDescent="0.3">
      <c r="A70" s="3" t="s">
        <v>75</v>
      </c>
      <c r="B70" s="2" t="s">
        <v>1045</v>
      </c>
      <c r="C70" s="3" t="s">
        <v>1010</v>
      </c>
      <c r="D70" s="2">
        <f t="shared" si="1"/>
        <v>100</v>
      </c>
    </row>
    <row r="71" spans="1:4" x14ac:dyDescent="0.3">
      <c r="A71" s="3" t="s">
        <v>76</v>
      </c>
      <c r="B71" s="2" t="s">
        <v>1084</v>
      </c>
      <c r="C71" s="3" t="s">
        <v>1011</v>
      </c>
      <c r="D71" s="2">
        <f t="shared" si="1"/>
        <v>2000</v>
      </c>
    </row>
    <row r="72" spans="1:4" x14ac:dyDescent="0.3">
      <c r="A72" s="3" t="s">
        <v>77</v>
      </c>
      <c r="B72" s="2" t="s">
        <v>1070</v>
      </c>
      <c r="C72" s="3" t="s">
        <v>1009</v>
      </c>
      <c r="D72" s="2">
        <f t="shared" si="1"/>
        <v>1500</v>
      </c>
    </row>
    <row r="73" spans="1:4" x14ac:dyDescent="0.3">
      <c r="A73" s="3" t="s">
        <v>78</v>
      </c>
      <c r="B73" s="2" t="s">
        <v>1051</v>
      </c>
      <c r="C73" s="3" t="s">
        <v>1010</v>
      </c>
      <c r="D73" s="2">
        <f t="shared" si="1"/>
        <v>50</v>
      </c>
    </row>
    <row r="74" spans="1:4" x14ac:dyDescent="0.3">
      <c r="A74" s="3" t="s">
        <v>79</v>
      </c>
      <c r="B74" s="2" t="s">
        <v>1058</v>
      </c>
      <c r="C74" s="3" t="s">
        <v>1012</v>
      </c>
      <c r="D74" s="2">
        <f t="shared" si="1"/>
        <v>500</v>
      </c>
    </row>
    <row r="75" spans="1:4" x14ac:dyDescent="0.3">
      <c r="A75" s="3" t="s">
        <v>80</v>
      </c>
      <c r="B75" s="2" t="s">
        <v>1079</v>
      </c>
      <c r="C75" s="3" t="s">
        <v>1011</v>
      </c>
      <c r="D75" s="2">
        <f t="shared" si="1"/>
        <v>5000</v>
      </c>
    </row>
    <row r="76" spans="1:4" x14ac:dyDescent="0.3">
      <c r="A76" s="3" t="s">
        <v>81</v>
      </c>
      <c r="B76" s="2" t="s">
        <v>1030</v>
      </c>
      <c r="C76" s="3" t="s">
        <v>1008</v>
      </c>
      <c r="D76" s="2">
        <f t="shared" si="1"/>
        <v>70000</v>
      </c>
    </row>
    <row r="77" spans="1:4" x14ac:dyDescent="0.3">
      <c r="A77" s="3" t="s">
        <v>82</v>
      </c>
      <c r="B77" s="2" t="s">
        <v>1023</v>
      </c>
      <c r="C77" s="3" t="s">
        <v>1008</v>
      </c>
      <c r="D77" s="2">
        <f t="shared" si="1"/>
        <v>20000</v>
      </c>
    </row>
    <row r="78" spans="1:4" x14ac:dyDescent="0.3">
      <c r="A78" s="3" t="s">
        <v>83</v>
      </c>
      <c r="B78" s="2" t="s">
        <v>1056</v>
      </c>
      <c r="C78" s="3" t="s">
        <v>1012</v>
      </c>
      <c r="D78" s="2">
        <f t="shared" si="1"/>
        <v>100</v>
      </c>
    </row>
    <row r="79" spans="1:4" x14ac:dyDescent="0.3">
      <c r="A79" s="3" t="s">
        <v>84</v>
      </c>
      <c r="B79" s="2" t="s">
        <v>1036</v>
      </c>
      <c r="C79" s="3" t="s">
        <v>1007</v>
      </c>
      <c r="D79" s="2">
        <f t="shared" si="1"/>
        <v>8000</v>
      </c>
    </row>
    <row r="80" spans="1:4" x14ac:dyDescent="0.3">
      <c r="A80" s="3" t="s">
        <v>85</v>
      </c>
      <c r="B80" s="2" t="s">
        <v>1047</v>
      </c>
      <c r="C80" s="3" t="s">
        <v>1010</v>
      </c>
      <c r="D80" s="2">
        <f t="shared" si="1"/>
        <v>500</v>
      </c>
    </row>
    <row r="81" spans="1:4" x14ac:dyDescent="0.3">
      <c r="A81" s="3" t="s">
        <v>86</v>
      </c>
      <c r="B81" s="2" t="s">
        <v>1057</v>
      </c>
      <c r="C81" s="3" t="s">
        <v>1012</v>
      </c>
      <c r="D81" s="2">
        <f t="shared" si="1"/>
        <v>500</v>
      </c>
    </row>
    <row r="82" spans="1:4" x14ac:dyDescent="0.3">
      <c r="A82" s="3" t="s">
        <v>87</v>
      </c>
      <c r="B82" s="2" t="s">
        <v>1035</v>
      </c>
      <c r="C82" s="3" t="s">
        <v>1007</v>
      </c>
      <c r="D82" s="2">
        <f t="shared" si="1"/>
        <v>15000</v>
      </c>
    </row>
    <row r="83" spans="1:4" x14ac:dyDescent="0.3">
      <c r="A83" s="3" t="s">
        <v>88</v>
      </c>
      <c r="B83" s="2" t="s">
        <v>1031</v>
      </c>
      <c r="C83" s="3" t="s">
        <v>1008</v>
      </c>
      <c r="D83" s="2">
        <f t="shared" si="1"/>
        <v>40000</v>
      </c>
    </row>
    <row r="84" spans="1:4" x14ac:dyDescent="0.3">
      <c r="A84" s="3" t="s">
        <v>89</v>
      </c>
      <c r="B84" s="2" t="s">
        <v>1069</v>
      </c>
      <c r="C84" s="3" t="s">
        <v>1009</v>
      </c>
      <c r="D84" s="2">
        <f t="shared" si="1"/>
        <v>200</v>
      </c>
    </row>
    <row r="85" spans="1:4" x14ac:dyDescent="0.3">
      <c r="A85" s="3" t="s">
        <v>90</v>
      </c>
      <c r="B85" s="2" t="s">
        <v>1058</v>
      </c>
      <c r="C85" s="3" t="s">
        <v>1012</v>
      </c>
      <c r="D85" s="2">
        <f t="shared" si="1"/>
        <v>500</v>
      </c>
    </row>
    <row r="86" spans="1:4" x14ac:dyDescent="0.3">
      <c r="A86" s="3" t="s">
        <v>91</v>
      </c>
      <c r="B86" s="2" t="s">
        <v>1046</v>
      </c>
      <c r="C86" s="3" t="s">
        <v>1010</v>
      </c>
      <c r="D86" s="2">
        <f t="shared" si="1"/>
        <v>100</v>
      </c>
    </row>
    <row r="87" spans="1:4" x14ac:dyDescent="0.3">
      <c r="A87" s="3" t="s">
        <v>92</v>
      </c>
      <c r="B87" s="2" t="s">
        <v>1061</v>
      </c>
      <c r="C87" s="3" t="s">
        <v>1012</v>
      </c>
      <c r="D87" s="2">
        <f t="shared" si="1"/>
        <v>500</v>
      </c>
    </row>
    <row r="88" spans="1:4" x14ac:dyDescent="0.3">
      <c r="A88" s="3" t="s">
        <v>93</v>
      </c>
      <c r="B88" s="2" t="s">
        <v>1038</v>
      </c>
      <c r="C88" s="3" t="s">
        <v>1007</v>
      </c>
      <c r="D88" s="2">
        <f t="shared" si="1"/>
        <v>5000</v>
      </c>
    </row>
    <row r="89" spans="1:4" x14ac:dyDescent="0.3">
      <c r="A89" s="3" t="s">
        <v>94</v>
      </c>
      <c r="B89" s="2" t="s">
        <v>1084</v>
      </c>
      <c r="C89" s="3" t="s">
        <v>1011</v>
      </c>
      <c r="D89" s="2">
        <f t="shared" si="1"/>
        <v>2000</v>
      </c>
    </row>
    <row r="90" spans="1:4" x14ac:dyDescent="0.3">
      <c r="A90" s="3" t="s">
        <v>95</v>
      </c>
      <c r="B90" s="2" t="s">
        <v>1034</v>
      </c>
      <c r="C90" s="3" t="s">
        <v>1008</v>
      </c>
      <c r="D90" s="2">
        <f t="shared" si="1"/>
        <v>50000</v>
      </c>
    </row>
    <row r="91" spans="1:4" x14ac:dyDescent="0.3">
      <c r="A91" s="3" t="s">
        <v>96</v>
      </c>
      <c r="B91" s="2" t="s">
        <v>1028</v>
      </c>
      <c r="C91" s="3" t="s">
        <v>1008</v>
      </c>
      <c r="D91" s="2">
        <f t="shared" si="1"/>
        <v>15000</v>
      </c>
    </row>
    <row r="92" spans="1:4" x14ac:dyDescent="0.3">
      <c r="A92" s="3" t="s">
        <v>97</v>
      </c>
      <c r="B92" s="2" t="s">
        <v>1038</v>
      </c>
      <c r="C92" s="3" t="s">
        <v>1007</v>
      </c>
      <c r="D92" s="2">
        <f t="shared" si="1"/>
        <v>5000</v>
      </c>
    </row>
    <row r="93" spans="1:4" x14ac:dyDescent="0.3">
      <c r="A93" s="3" t="s">
        <v>98</v>
      </c>
      <c r="B93" s="2" t="s">
        <v>1033</v>
      </c>
      <c r="C93" s="3" t="s">
        <v>1008</v>
      </c>
      <c r="D93" s="2">
        <f t="shared" si="1"/>
        <v>4000</v>
      </c>
    </row>
    <row r="94" spans="1:4" x14ac:dyDescent="0.3">
      <c r="A94" s="3" t="s">
        <v>99</v>
      </c>
      <c r="B94" s="2" t="s">
        <v>1066</v>
      </c>
      <c r="C94" s="3" t="s">
        <v>1009</v>
      </c>
      <c r="D94" s="2">
        <f t="shared" si="1"/>
        <v>800</v>
      </c>
    </row>
    <row r="95" spans="1:4" x14ac:dyDescent="0.3">
      <c r="A95" s="3" t="s">
        <v>100</v>
      </c>
      <c r="B95" s="2" t="s">
        <v>1055</v>
      </c>
      <c r="C95" s="3" t="s">
        <v>1010</v>
      </c>
      <c r="D95" s="2">
        <f t="shared" si="1"/>
        <v>50</v>
      </c>
    </row>
    <row r="96" spans="1:4" x14ac:dyDescent="0.3">
      <c r="A96" s="3" t="s">
        <v>101</v>
      </c>
      <c r="B96" s="2" t="s">
        <v>1086</v>
      </c>
      <c r="C96" s="3" t="s">
        <v>1011</v>
      </c>
      <c r="D96" s="2">
        <f t="shared" si="1"/>
        <v>4500</v>
      </c>
    </row>
    <row r="97" spans="1:4" x14ac:dyDescent="0.3">
      <c r="A97" s="3" t="s">
        <v>102</v>
      </c>
      <c r="B97" s="2" t="s">
        <v>1022</v>
      </c>
      <c r="C97" s="3" t="s">
        <v>1008</v>
      </c>
      <c r="D97" s="2">
        <f t="shared" si="1"/>
        <v>0</v>
      </c>
    </row>
    <row r="98" spans="1:4" x14ac:dyDescent="0.3">
      <c r="A98" s="3" t="s">
        <v>103</v>
      </c>
      <c r="B98" s="2" t="s">
        <v>1066</v>
      </c>
      <c r="C98" s="3" t="s">
        <v>1009</v>
      </c>
      <c r="D98" s="2">
        <f t="shared" si="1"/>
        <v>800</v>
      </c>
    </row>
    <row r="99" spans="1:4" x14ac:dyDescent="0.3">
      <c r="A99" s="3" t="s">
        <v>104</v>
      </c>
      <c r="B99" s="2" t="s">
        <v>1023</v>
      </c>
      <c r="C99" s="3" t="s">
        <v>1008</v>
      </c>
      <c r="D99" s="2">
        <f t="shared" si="1"/>
        <v>20000</v>
      </c>
    </row>
    <row r="100" spans="1:4" x14ac:dyDescent="0.3">
      <c r="A100" s="3" t="s">
        <v>105</v>
      </c>
      <c r="B100" s="2" t="s">
        <v>1062</v>
      </c>
      <c r="C100" s="3" t="s">
        <v>1009</v>
      </c>
      <c r="D100" s="2">
        <f t="shared" si="1"/>
        <v>100</v>
      </c>
    </row>
    <row r="101" spans="1:4" x14ac:dyDescent="0.3">
      <c r="A101" s="3" t="s">
        <v>106</v>
      </c>
      <c r="B101" s="2" t="s">
        <v>1055</v>
      </c>
      <c r="C101" s="3" t="s">
        <v>1010</v>
      </c>
      <c r="D101" s="2">
        <f t="shared" si="1"/>
        <v>50</v>
      </c>
    </row>
    <row r="102" spans="1:4" x14ac:dyDescent="0.3">
      <c r="A102" s="3" t="s">
        <v>107</v>
      </c>
      <c r="B102" s="2" t="s">
        <v>1081</v>
      </c>
      <c r="C102" s="3" t="s">
        <v>1011</v>
      </c>
      <c r="D102" s="2">
        <f t="shared" si="1"/>
        <v>1000</v>
      </c>
    </row>
    <row r="103" spans="1:4" x14ac:dyDescent="0.3">
      <c r="A103" s="3" t="s">
        <v>108</v>
      </c>
      <c r="B103" s="2" t="s">
        <v>1037</v>
      </c>
      <c r="C103" s="3" t="s">
        <v>1007</v>
      </c>
      <c r="D103" s="2">
        <f t="shared" si="1"/>
        <v>10000</v>
      </c>
    </row>
    <row r="104" spans="1:4" x14ac:dyDescent="0.3">
      <c r="A104" s="3" t="s">
        <v>109</v>
      </c>
      <c r="B104" s="2" t="s">
        <v>1039</v>
      </c>
      <c r="C104" s="3" t="s">
        <v>1007</v>
      </c>
      <c r="D104" s="2">
        <f t="shared" si="1"/>
        <v>12000</v>
      </c>
    </row>
    <row r="105" spans="1:4" x14ac:dyDescent="0.3">
      <c r="A105" s="3" t="s">
        <v>110</v>
      </c>
      <c r="B105" s="2" t="s">
        <v>1062</v>
      </c>
      <c r="C105" s="3" t="s">
        <v>1009</v>
      </c>
      <c r="D105" s="2">
        <f t="shared" si="1"/>
        <v>100</v>
      </c>
    </row>
    <row r="106" spans="1:4" x14ac:dyDescent="0.3">
      <c r="A106" s="3" t="s">
        <v>111</v>
      </c>
      <c r="B106" s="2" t="s">
        <v>1080</v>
      </c>
      <c r="C106" s="3" t="s">
        <v>1011</v>
      </c>
      <c r="D106" s="2">
        <f t="shared" si="1"/>
        <v>2500</v>
      </c>
    </row>
    <row r="107" spans="1:4" x14ac:dyDescent="0.3">
      <c r="A107" s="3" t="s">
        <v>112</v>
      </c>
      <c r="B107" s="2" t="s">
        <v>1065</v>
      </c>
      <c r="C107" s="3" t="s">
        <v>1009</v>
      </c>
      <c r="D107" s="2">
        <f t="shared" si="1"/>
        <v>200</v>
      </c>
    </row>
    <row r="108" spans="1:4" x14ac:dyDescent="0.3">
      <c r="A108" s="3" t="s">
        <v>113</v>
      </c>
      <c r="B108" s="2" t="s">
        <v>1081</v>
      </c>
      <c r="C108" s="3" t="s">
        <v>1011</v>
      </c>
      <c r="D108" s="2">
        <f t="shared" si="1"/>
        <v>1000</v>
      </c>
    </row>
    <row r="109" spans="1:4" x14ac:dyDescent="0.3">
      <c r="A109" s="3" t="s">
        <v>114</v>
      </c>
      <c r="B109" s="2" t="s">
        <v>1039</v>
      </c>
      <c r="C109" s="3" t="s">
        <v>1007</v>
      </c>
      <c r="D109" s="2">
        <f t="shared" si="1"/>
        <v>12000</v>
      </c>
    </row>
    <row r="110" spans="1:4" x14ac:dyDescent="0.3">
      <c r="A110" s="3" t="s">
        <v>115</v>
      </c>
      <c r="B110" s="2" t="s">
        <v>1049</v>
      </c>
      <c r="C110" s="3" t="s">
        <v>1010</v>
      </c>
      <c r="D110" s="2">
        <f t="shared" si="1"/>
        <v>20</v>
      </c>
    </row>
    <row r="111" spans="1:4" x14ac:dyDescent="0.3">
      <c r="A111" s="3" t="s">
        <v>116</v>
      </c>
      <c r="B111" s="2" t="s">
        <v>1066</v>
      </c>
      <c r="C111" s="3" t="s">
        <v>1009</v>
      </c>
      <c r="D111" s="2">
        <f t="shared" si="1"/>
        <v>800</v>
      </c>
    </row>
    <row r="112" spans="1:4" x14ac:dyDescent="0.3">
      <c r="A112" s="3" t="s">
        <v>117</v>
      </c>
      <c r="B112" s="2" t="s">
        <v>1067</v>
      </c>
      <c r="C112" s="3" t="s">
        <v>1009</v>
      </c>
      <c r="D112" s="2">
        <f t="shared" si="1"/>
        <v>100</v>
      </c>
    </row>
    <row r="113" spans="1:4" x14ac:dyDescent="0.3">
      <c r="A113" s="3" t="s">
        <v>118</v>
      </c>
      <c r="B113" s="2" t="s">
        <v>1079</v>
      </c>
      <c r="C113" s="3" t="s">
        <v>1011</v>
      </c>
      <c r="D113" s="2">
        <f t="shared" si="1"/>
        <v>5000</v>
      </c>
    </row>
    <row r="114" spans="1:4" x14ac:dyDescent="0.3">
      <c r="A114" s="3" t="s">
        <v>119</v>
      </c>
      <c r="B114" s="2" t="s">
        <v>1065</v>
      </c>
      <c r="C114" s="3" t="s">
        <v>1009</v>
      </c>
      <c r="D114" s="2">
        <f t="shared" si="1"/>
        <v>200</v>
      </c>
    </row>
    <row r="115" spans="1:4" x14ac:dyDescent="0.3">
      <c r="A115" s="3" t="s">
        <v>120</v>
      </c>
      <c r="B115" s="2" t="s">
        <v>1059</v>
      </c>
      <c r="C115" s="3" t="s">
        <v>1012</v>
      </c>
      <c r="D115" s="2">
        <f t="shared" si="1"/>
        <v>200</v>
      </c>
    </row>
    <row r="116" spans="1:4" x14ac:dyDescent="0.3">
      <c r="A116" s="3" t="s">
        <v>121</v>
      </c>
      <c r="B116" s="2" t="s">
        <v>1071</v>
      </c>
      <c r="C116" s="3" t="s">
        <v>1009</v>
      </c>
      <c r="D116" s="2">
        <f t="shared" si="1"/>
        <v>200</v>
      </c>
    </row>
    <row r="117" spans="1:4" x14ac:dyDescent="0.3">
      <c r="A117" s="3" t="s">
        <v>122</v>
      </c>
      <c r="B117" s="2" t="s">
        <v>1060</v>
      </c>
      <c r="C117" s="3" t="s">
        <v>1012</v>
      </c>
      <c r="D117" s="2">
        <f t="shared" si="1"/>
        <v>1500</v>
      </c>
    </row>
    <row r="118" spans="1:4" x14ac:dyDescent="0.3">
      <c r="A118" s="3" t="s">
        <v>123</v>
      </c>
      <c r="B118" s="2" t="s">
        <v>1061</v>
      </c>
      <c r="C118" s="3" t="s">
        <v>1012</v>
      </c>
      <c r="D118" s="2">
        <f t="shared" si="1"/>
        <v>500</v>
      </c>
    </row>
    <row r="119" spans="1:4" x14ac:dyDescent="0.3">
      <c r="A119" s="3" t="s">
        <v>124</v>
      </c>
      <c r="B119" s="2" t="s">
        <v>1065</v>
      </c>
      <c r="C119" s="3" t="s">
        <v>1009</v>
      </c>
      <c r="D119" s="2">
        <f t="shared" si="1"/>
        <v>200</v>
      </c>
    </row>
    <row r="120" spans="1:4" x14ac:dyDescent="0.3">
      <c r="A120" s="3" t="s">
        <v>125</v>
      </c>
      <c r="B120" s="2" t="s">
        <v>1078</v>
      </c>
      <c r="C120" s="3" t="s">
        <v>1011</v>
      </c>
      <c r="D120" s="2">
        <f t="shared" si="1"/>
        <v>200</v>
      </c>
    </row>
    <row r="121" spans="1:4" x14ac:dyDescent="0.3">
      <c r="A121" s="3" t="s">
        <v>126</v>
      </c>
      <c r="B121" s="2" t="s">
        <v>1069</v>
      </c>
      <c r="C121" s="3" t="s">
        <v>1009</v>
      </c>
      <c r="D121" s="2">
        <f t="shared" si="1"/>
        <v>200</v>
      </c>
    </row>
    <row r="122" spans="1:4" x14ac:dyDescent="0.3">
      <c r="A122" s="3" t="s">
        <v>127</v>
      </c>
      <c r="B122" s="2" t="s">
        <v>1074</v>
      </c>
      <c r="C122" s="3" t="s">
        <v>1009</v>
      </c>
      <c r="D122" s="2">
        <f t="shared" si="1"/>
        <v>500</v>
      </c>
    </row>
    <row r="123" spans="1:4" x14ac:dyDescent="0.3">
      <c r="A123" s="3" t="s">
        <v>128</v>
      </c>
      <c r="B123" s="2" t="s">
        <v>1029</v>
      </c>
      <c r="C123" s="3" t="s">
        <v>1008</v>
      </c>
      <c r="D123" s="2">
        <f t="shared" si="1"/>
        <v>3000</v>
      </c>
    </row>
    <row r="124" spans="1:4" x14ac:dyDescent="0.3">
      <c r="A124" s="3" t="s">
        <v>129</v>
      </c>
      <c r="B124" s="2" t="s">
        <v>1047</v>
      </c>
      <c r="C124" s="3" t="s">
        <v>1010</v>
      </c>
      <c r="D124" s="2">
        <f t="shared" si="1"/>
        <v>500</v>
      </c>
    </row>
    <row r="125" spans="1:4" x14ac:dyDescent="0.3">
      <c r="A125" s="3" t="s">
        <v>130</v>
      </c>
      <c r="B125" s="2" t="s">
        <v>1018</v>
      </c>
      <c r="C125" s="3" t="s">
        <v>1012</v>
      </c>
      <c r="D125" s="2">
        <f t="shared" si="1"/>
        <v>3000</v>
      </c>
    </row>
    <row r="126" spans="1:4" x14ac:dyDescent="0.3">
      <c r="A126" s="3" t="s">
        <v>131</v>
      </c>
      <c r="B126" s="2" t="s">
        <v>1035</v>
      </c>
      <c r="C126" s="3" t="s">
        <v>1007</v>
      </c>
      <c r="D126" s="2">
        <f t="shared" si="1"/>
        <v>15000</v>
      </c>
    </row>
    <row r="127" spans="1:4" x14ac:dyDescent="0.3">
      <c r="A127" s="3" t="s">
        <v>132</v>
      </c>
      <c r="B127" s="2" t="s">
        <v>1044</v>
      </c>
      <c r="C127" s="3" t="s">
        <v>1010</v>
      </c>
      <c r="D127" s="2">
        <f t="shared" si="1"/>
        <v>100</v>
      </c>
    </row>
    <row r="128" spans="1:4" x14ac:dyDescent="0.3">
      <c r="A128" s="3" t="s">
        <v>133</v>
      </c>
      <c r="B128" s="2" t="s">
        <v>1069</v>
      </c>
      <c r="C128" s="3" t="s">
        <v>1009</v>
      </c>
      <c r="D128" s="2">
        <f t="shared" si="1"/>
        <v>200</v>
      </c>
    </row>
    <row r="129" spans="1:4" x14ac:dyDescent="0.3">
      <c r="A129" s="3" t="s">
        <v>134</v>
      </c>
      <c r="B129" s="2" t="s">
        <v>1042</v>
      </c>
      <c r="C129" s="3" t="s">
        <v>1007</v>
      </c>
      <c r="D129" s="2">
        <f t="shared" si="1"/>
        <v>3000</v>
      </c>
    </row>
    <row r="130" spans="1:4" x14ac:dyDescent="0.3">
      <c r="A130" s="3" t="s">
        <v>135</v>
      </c>
      <c r="B130" s="2" t="s">
        <v>1046</v>
      </c>
      <c r="C130" s="3" t="s">
        <v>1010</v>
      </c>
      <c r="D130" s="2">
        <f t="shared" si="1"/>
        <v>100</v>
      </c>
    </row>
    <row r="131" spans="1:4" x14ac:dyDescent="0.3">
      <c r="A131" s="3" t="s">
        <v>136</v>
      </c>
      <c r="B131" s="2" t="s">
        <v>1054</v>
      </c>
      <c r="C131" s="3" t="s">
        <v>1010</v>
      </c>
      <c r="D131" s="2">
        <f t="shared" ref="D131:D194" si="2">_xlfn.XLOOKUP(B131, $H$11:$H$24, $I$11:$I$24, _xlfn.XLOOKUP(B131, $J$11:$J$24, $K$11:$K$24,_xlfn.XLOOKUP(B131, $L$11:$L$23,$M$11:$M$23,_xlfn.XLOOKUP(B131, $N$11:$N$18,$O$11:$O$18,_xlfn.XLOOKUP(B131, $P$11:$P$26,$Q$11:$Q$26,_xlfn.XLOOKUP(B131, $R$11:$R$21,$S$11:$S$21,0))))))</f>
        <v>30</v>
      </c>
    </row>
    <row r="132" spans="1:4" x14ac:dyDescent="0.3">
      <c r="A132" s="3" t="s">
        <v>137</v>
      </c>
      <c r="B132" s="2" t="s">
        <v>1065</v>
      </c>
      <c r="C132" s="3" t="s">
        <v>1009</v>
      </c>
      <c r="D132" s="2">
        <f t="shared" si="2"/>
        <v>200</v>
      </c>
    </row>
    <row r="133" spans="1:4" x14ac:dyDescent="0.3">
      <c r="A133" s="3" t="s">
        <v>138</v>
      </c>
      <c r="B133" s="2" t="s">
        <v>1084</v>
      </c>
      <c r="C133" s="3" t="s">
        <v>1011</v>
      </c>
      <c r="D133" s="2">
        <f t="shared" si="2"/>
        <v>2000</v>
      </c>
    </row>
    <row r="134" spans="1:4" x14ac:dyDescent="0.3">
      <c r="A134" s="3" t="s">
        <v>139</v>
      </c>
      <c r="B134" s="2" t="s">
        <v>1037</v>
      </c>
      <c r="C134" s="3" t="s">
        <v>1007</v>
      </c>
      <c r="D134" s="2">
        <f t="shared" si="2"/>
        <v>10000</v>
      </c>
    </row>
    <row r="135" spans="1:4" x14ac:dyDescent="0.3">
      <c r="A135" s="3" t="s">
        <v>140</v>
      </c>
      <c r="B135" s="2" t="s">
        <v>1057</v>
      </c>
      <c r="C135" s="3" t="s">
        <v>1012</v>
      </c>
      <c r="D135" s="2">
        <f t="shared" si="2"/>
        <v>500</v>
      </c>
    </row>
    <row r="136" spans="1:4" x14ac:dyDescent="0.3">
      <c r="A136" s="3" t="s">
        <v>141</v>
      </c>
      <c r="B136" s="2" t="s">
        <v>1078</v>
      </c>
      <c r="C136" s="3" t="s">
        <v>1011</v>
      </c>
      <c r="D136" s="2">
        <f t="shared" si="2"/>
        <v>200</v>
      </c>
    </row>
    <row r="137" spans="1:4" x14ac:dyDescent="0.3">
      <c r="A137" s="3" t="s">
        <v>142</v>
      </c>
      <c r="B137" s="2" t="s">
        <v>1072</v>
      </c>
      <c r="C137" s="3" t="s">
        <v>1009</v>
      </c>
      <c r="D137" s="2">
        <f t="shared" si="2"/>
        <v>50</v>
      </c>
    </row>
    <row r="138" spans="1:4" x14ac:dyDescent="0.3">
      <c r="A138" s="3" t="s">
        <v>143</v>
      </c>
      <c r="B138" s="2" t="s">
        <v>1054</v>
      </c>
      <c r="C138" s="3" t="s">
        <v>1010</v>
      </c>
      <c r="D138" s="2">
        <f t="shared" si="2"/>
        <v>30</v>
      </c>
    </row>
    <row r="139" spans="1:4" x14ac:dyDescent="0.3">
      <c r="A139" s="3" t="s">
        <v>144</v>
      </c>
      <c r="B139" s="2" t="s">
        <v>1023</v>
      </c>
      <c r="C139" s="3" t="s">
        <v>1008</v>
      </c>
      <c r="D139" s="2">
        <f t="shared" si="2"/>
        <v>20000</v>
      </c>
    </row>
    <row r="140" spans="1:4" x14ac:dyDescent="0.3">
      <c r="A140" s="3" t="s">
        <v>145</v>
      </c>
      <c r="B140" s="2" t="s">
        <v>1035</v>
      </c>
      <c r="C140" s="3" t="s">
        <v>1007</v>
      </c>
      <c r="D140" s="2">
        <f t="shared" si="2"/>
        <v>15000</v>
      </c>
    </row>
    <row r="141" spans="1:4" x14ac:dyDescent="0.3">
      <c r="A141" s="3" t="s">
        <v>146</v>
      </c>
      <c r="B141" s="2" t="s">
        <v>1080</v>
      </c>
      <c r="C141" s="3" t="s">
        <v>1011</v>
      </c>
      <c r="D141" s="2">
        <f t="shared" si="2"/>
        <v>2500</v>
      </c>
    </row>
    <row r="142" spans="1:4" x14ac:dyDescent="0.3">
      <c r="A142" s="3" t="s">
        <v>147</v>
      </c>
      <c r="B142" s="2" t="s">
        <v>1041</v>
      </c>
      <c r="C142" s="3" t="s">
        <v>1007</v>
      </c>
      <c r="D142" s="2">
        <f t="shared" si="2"/>
        <v>2000</v>
      </c>
    </row>
    <row r="143" spans="1:4" x14ac:dyDescent="0.3">
      <c r="A143" s="3" t="s">
        <v>148</v>
      </c>
      <c r="B143" s="2" t="s">
        <v>1086</v>
      </c>
      <c r="C143" s="3" t="s">
        <v>1011</v>
      </c>
      <c r="D143" s="2">
        <f t="shared" si="2"/>
        <v>4500</v>
      </c>
    </row>
    <row r="144" spans="1:4" x14ac:dyDescent="0.3">
      <c r="A144" s="3" t="s">
        <v>149</v>
      </c>
      <c r="B144" s="2" t="s">
        <v>1061</v>
      </c>
      <c r="C144" s="3" t="s">
        <v>1012</v>
      </c>
      <c r="D144" s="2">
        <f t="shared" si="2"/>
        <v>500</v>
      </c>
    </row>
    <row r="145" spans="1:4" x14ac:dyDescent="0.3">
      <c r="A145" s="3" t="s">
        <v>150</v>
      </c>
      <c r="B145" s="2" t="s">
        <v>1070</v>
      </c>
      <c r="C145" s="3" t="s">
        <v>1009</v>
      </c>
      <c r="D145" s="2">
        <f t="shared" si="2"/>
        <v>1500</v>
      </c>
    </row>
    <row r="146" spans="1:4" x14ac:dyDescent="0.3">
      <c r="A146" s="3" t="s">
        <v>151</v>
      </c>
      <c r="B146" s="2" t="s">
        <v>1055</v>
      </c>
      <c r="C146" s="3" t="s">
        <v>1010</v>
      </c>
      <c r="D146" s="2">
        <f t="shared" si="2"/>
        <v>50</v>
      </c>
    </row>
    <row r="147" spans="1:4" x14ac:dyDescent="0.3">
      <c r="A147" s="3" t="s">
        <v>152</v>
      </c>
      <c r="B147" s="2" t="s">
        <v>1054</v>
      </c>
      <c r="C147" s="3" t="s">
        <v>1010</v>
      </c>
      <c r="D147" s="2">
        <f t="shared" si="2"/>
        <v>30</v>
      </c>
    </row>
    <row r="148" spans="1:4" x14ac:dyDescent="0.3">
      <c r="A148" s="3" t="s">
        <v>153</v>
      </c>
      <c r="B148" s="2" t="s">
        <v>1060</v>
      </c>
      <c r="C148" s="3" t="s">
        <v>1012</v>
      </c>
      <c r="D148" s="2">
        <f t="shared" si="2"/>
        <v>1500</v>
      </c>
    </row>
    <row r="149" spans="1:4" x14ac:dyDescent="0.3">
      <c r="A149" s="3" t="s">
        <v>154</v>
      </c>
      <c r="B149" s="2" t="s">
        <v>1030</v>
      </c>
      <c r="C149" s="3" t="s">
        <v>1008</v>
      </c>
      <c r="D149" s="2">
        <f t="shared" si="2"/>
        <v>70000</v>
      </c>
    </row>
    <row r="150" spans="1:4" x14ac:dyDescent="0.3">
      <c r="A150" s="3" t="s">
        <v>155</v>
      </c>
      <c r="B150" s="2" t="s">
        <v>1062</v>
      </c>
      <c r="C150" s="3" t="s">
        <v>1009</v>
      </c>
      <c r="D150" s="2">
        <f t="shared" si="2"/>
        <v>100</v>
      </c>
    </row>
    <row r="151" spans="1:4" x14ac:dyDescent="0.3">
      <c r="A151" s="3" t="s">
        <v>156</v>
      </c>
      <c r="B151" s="2" t="s">
        <v>1077</v>
      </c>
      <c r="C151" s="3" t="s">
        <v>1011</v>
      </c>
      <c r="D151" s="2">
        <f t="shared" si="2"/>
        <v>5000</v>
      </c>
    </row>
    <row r="152" spans="1:4" x14ac:dyDescent="0.3">
      <c r="A152" s="3" t="s">
        <v>157</v>
      </c>
      <c r="B152" s="2" t="s">
        <v>1038</v>
      </c>
      <c r="C152" s="3" t="s">
        <v>1007</v>
      </c>
      <c r="D152" s="2">
        <f t="shared" si="2"/>
        <v>5000</v>
      </c>
    </row>
    <row r="153" spans="1:4" x14ac:dyDescent="0.3">
      <c r="A153" s="3" t="s">
        <v>158</v>
      </c>
      <c r="B153" s="2" t="s">
        <v>1040</v>
      </c>
      <c r="C153" s="3" t="s">
        <v>1007</v>
      </c>
      <c r="D153" s="2">
        <f t="shared" si="2"/>
        <v>5000</v>
      </c>
    </row>
    <row r="154" spans="1:4" x14ac:dyDescent="0.3">
      <c r="A154" s="3" t="s">
        <v>159</v>
      </c>
      <c r="B154" s="2" t="s">
        <v>1067</v>
      </c>
      <c r="C154" s="3" t="s">
        <v>1009</v>
      </c>
      <c r="D154" s="2">
        <f t="shared" si="2"/>
        <v>100</v>
      </c>
    </row>
    <row r="155" spans="1:4" x14ac:dyDescent="0.3">
      <c r="A155" s="3" t="s">
        <v>160</v>
      </c>
      <c r="B155" s="2" t="s">
        <v>1044</v>
      </c>
      <c r="C155" s="3" t="s">
        <v>1010</v>
      </c>
      <c r="D155" s="2">
        <f t="shared" si="2"/>
        <v>100</v>
      </c>
    </row>
    <row r="156" spans="1:4" x14ac:dyDescent="0.3">
      <c r="A156" s="3" t="s">
        <v>161</v>
      </c>
      <c r="B156" s="2" t="s">
        <v>1083</v>
      </c>
      <c r="C156" s="3" t="s">
        <v>1011</v>
      </c>
      <c r="D156" s="2">
        <f t="shared" si="2"/>
        <v>3000</v>
      </c>
    </row>
    <row r="157" spans="1:4" x14ac:dyDescent="0.3">
      <c r="A157" s="3" t="s">
        <v>162</v>
      </c>
      <c r="B157" s="2" t="s">
        <v>1031</v>
      </c>
      <c r="C157" s="3" t="s">
        <v>1008</v>
      </c>
      <c r="D157" s="2">
        <f t="shared" si="2"/>
        <v>40000</v>
      </c>
    </row>
    <row r="158" spans="1:4" x14ac:dyDescent="0.3">
      <c r="A158" s="3" t="s">
        <v>163</v>
      </c>
      <c r="B158" s="2" t="s">
        <v>1061</v>
      </c>
      <c r="C158" s="3" t="s">
        <v>1012</v>
      </c>
      <c r="D158" s="2">
        <f t="shared" si="2"/>
        <v>500</v>
      </c>
    </row>
    <row r="159" spans="1:4" x14ac:dyDescent="0.3">
      <c r="A159" s="3" t="s">
        <v>164</v>
      </c>
      <c r="B159" s="2" t="s">
        <v>1052</v>
      </c>
      <c r="C159" s="3" t="s">
        <v>1010</v>
      </c>
      <c r="D159" s="2">
        <f t="shared" si="2"/>
        <v>100</v>
      </c>
    </row>
    <row r="160" spans="1:4" x14ac:dyDescent="0.3">
      <c r="A160" s="3" t="s">
        <v>165</v>
      </c>
      <c r="B160" s="2" t="s">
        <v>1040</v>
      </c>
      <c r="C160" s="3" t="s">
        <v>1007</v>
      </c>
      <c r="D160" s="2">
        <f t="shared" si="2"/>
        <v>5000</v>
      </c>
    </row>
    <row r="161" spans="1:4" x14ac:dyDescent="0.3">
      <c r="A161" s="3" t="s">
        <v>166</v>
      </c>
      <c r="B161" s="2" t="s">
        <v>1037</v>
      </c>
      <c r="C161" s="3" t="s">
        <v>1007</v>
      </c>
      <c r="D161" s="2">
        <f t="shared" si="2"/>
        <v>10000</v>
      </c>
    </row>
    <row r="162" spans="1:4" x14ac:dyDescent="0.3">
      <c r="A162" s="3" t="s">
        <v>167</v>
      </c>
      <c r="B162" s="2" t="s">
        <v>1018</v>
      </c>
      <c r="C162" s="3" t="s">
        <v>1012</v>
      </c>
      <c r="D162" s="2">
        <f t="shared" si="2"/>
        <v>3000</v>
      </c>
    </row>
    <row r="163" spans="1:4" x14ac:dyDescent="0.3">
      <c r="A163" s="3" t="s">
        <v>168</v>
      </c>
      <c r="B163" s="2" t="s">
        <v>1054</v>
      </c>
      <c r="C163" s="3" t="s">
        <v>1010</v>
      </c>
      <c r="D163" s="2">
        <f t="shared" si="2"/>
        <v>30</v>
      </c>
    </row>
    <row r="164" spans="1:4" x14ac:dyDescent="0.3">
      <c r="A164" s="3" t="s">
        <v>169</v>
      </c>
      <c r="B164" s="2" t="s">
        <v>1071</v>
      </c>
      <c r="C164" s="3" t="s">
        <v>1009</v>
      </c>
      <c r="D164" s="2">
        <f t="shared" si="2"/>
        <v>200</v>
      </c>
    </row>
    <row r="165" spans="1:4" x14ac:dyDescent="0.3">
      <c r="A165" s="3" t="s">
        <v>170</v>
      </c>
      <c r="B165" s="2" t="s">
        <v>1081</v>
      </c>
      <c r="C165" s="3" t="s">
        <v>1011</v>
      </c>
      <c r="D165" s="2">
        <f t="shared" si="2"/>
        <v>1000</v>
      </c>
    </row>
    <row r="166" spans="1:4" x14ac:dyDescent="0.3">
      <c r="A166" s="3" t="s">
        <v>171</v>
      </c>
      <c r="B166" s="2" t="s">
        <v>1087</v>
      </c>
      <c r="C166" s="3" t="s">
        <v>1011</v>
      </c>
      <c r="D166" s="2">
        <f t="shared" si="2"/>
        <v>5000</v>
      </c>
    </row>
    <row r="167" spans="1:4" x14ac:dyDescent="0.3">
      <c r="A167" s="3" t="s">
        <v>172</v>
      </c>
      <c r="B167" s="2" t="s">
        <v>1017</v>
      </c>
      <c r="C167" s="3" t="s">
        <v>1012</v>
      </c>
      <c r="D167" s="2">
        <f t="shared" si="2"/>
        <v>200</v>
      </c>
    </row>
    <row r="168" spans="1:4" x14ac:dyDescent="0.3">
      <c r="A168" s="3" t="s">
        <v>173</v>
      </c>
      <c r="B168" s="2" t="s">
        <v>1076</v>
      </c>
      <c r="C168" s="3" t="s">
        <v>1009</v>
      </c>
      <c r="D168" s="2">
        <f t="shared" si="2"/>
        <v>100</v>
      </c>
    </row>
    <row r="169" spans="1:4" x14ac:dyDescent="0.3">
      <c r="A169" s="3" t="s">
        <v>174</v>
      </c>
      <c r="B169" s="2" t="s">
        <v>1052</v>
      </c>
      <c r="C169" s="3" t="s">
        <v>1010</v>
      </c>
      <c r="D169" s="2">
        <f t="shared" si="2"/>
        <v>100</v>
      </c>
    </row>
    <row r="170" spans="1:4" x14ac:dyDescent="0.3">
      <c r="A170" s="3" t="s">
        <v>175</v>
      </c>
      <c r="B170" s="2" t="s">
        <v>1076</v>
      </c>
      <c r="C170" s="3" t="s">
        <v>1009</v>
      </c>
      <c r="D170" s="2">
        <f t="shared" si="2"/>
        <v>100</v>
      </c>
    </row>
    <row r="171" spans="1:4" x14ac:dyDescent="0.3">
      <c r="A171" s="3" t="s">
        <v>176</v>
      </c>
      <c r="B171" s="2" t="s">
        <v>1044</v>
      </c>
      <c r="C171" s="3" t="s">
        <v>1010</v>
      </c>
      <c r="D171" s="2">
        <f t="shared" si="2"/>
        <v>100</v>
      </c>
    </row>
    <row r="172" spans="1:4" x14ac:dyDescent="0.3">
      <c r="A172" s="3" t="s">
        <v>177</v>
      </c>
      <c r="B172" s="2" t="s">
        <v>1056</v>
      </c>
      <c r="C172" s="3" t="s">
        <v>1012</v>
      </c>
      <c r="D172" s="2">
        <f t="shared" si="2"/>
        <v>100</v>
      </c>
    </row>
    <row r="173" spans="1:4" x14ac:dyDescent="0.3">
      <c r="A173" s="3" t="s">
        <v>178</v>
      </c>
      <c r="B173" s="2" t="s">
        <v>1079</v>
      </c>
      <c r="C173" s="3" t="s">
        <v>1011</v>
      </c>
      <c r="D173" s="2">
        <f t="shared" si="2"/>
        <v>5000</v>
      </c>
    </row>
    <row r="174" spans="1:4" x14ac:dyDescent="0.3">
      <c r="A174" s="3" t="s">
        <v>179</v>
      </c>
      <c r="B174" s="2" t="s">
        <v>1042</v>
      </c>
      <c r="C174" s="3" t="s">
        <v>1007</v>
      </c>
      <c r="D174" s="2">
        <f t="shared" si="2"/>
        <v>3000</v>
      </c>
    </row>
    <row r="175" spans="1:4" x14ac:dyDescent="0.3">
      <c r="A175" s="3" t="s">
        <v>180</v>
      </c>
      <c r="B175" s="2" t="s">
        <v>1042</v>
      </c>
      <c r="C175" s="3" t="s">
        <v>1007</v>
      </c>
      <c r="D175" s="2">
        <f t="shared" si="2"/>
        <v>3000</v>
      </c>
    </row>
    <row r="176" spans="1:4" x14ac:dyDescent="0.3">
      <c r="A176" s="3" t="s">
        <v>181</v>
      </c>
      <c r="B176" s="2" t="s">
        <v>1068</v>
      </c>
      <c r="C176" s="3" t="s">
        <v>1009</v>
      </c>
      <c r="D176" s="2">
        <f t="shared" si="2"/>
        <v>100</v>
      </c>
    </row>
    <row r="177" spans="1:4" x14ac:dyDescent="0.3">
      <c r="A177" s="3" t="s">
        <v>182</v>
      </c>
      <c r="B177" s="2" t="s">
        <v>1025</v>
      </c>
      <c r="C177" s="3" t="s">
        <v>1008</v>
      </c>
      <c r="D177" s="2">
        <f t="shared" si="2"/>
        <v>30000</v>
      </c>
    </row>
    <row r="178" spans="1:4" x14ac:dyDescent="0.3">
      <c r="A178" s="3" t="s">
        <v>183</v>
      </c>
      <c r="B178" s="2" t="s">
        <v>1059</v>
      </c>
      <c r="C178" s="3" t="s">
        <v>1012</v>
      </c>
      <c r="D178" s="2">
        <f t="shared" si="2"/>
        <v>200</v>
      </c>
    </row>
    <row r="179" spans="1:4" x14ac:dyDescent="0.3">
      <c r="A179" s="3" t="s">
        <v>184</v>
      </c>
      <c r="B179" s="2" t="s">
        <v>1037</v>
      </c>
      <c r="C179" s="3" t="s">
        <v>1007</v>
      </c>
      <c r="D179" s="2">
        <f t="shared" si="2"/>
        <v>10000</v>
      </c>
    </row>
    <row r="180" spans="1:4" x14ac:dyDescent="0.3">
      <c r="A180" s="3" t="s">
        <v>185</v>
      </c>
      <c r="B180" s="2" t="s">
        <v>1046</v>
      </c>
      <c r="C180" s="3" t="s">
        <v>1010</v>
      </c>
      <c r="D180" s="2">
        <f t="shared" si="2"/>
        <v>100</v>
      </c>
    </row>
    <row r="181" spans="1:4" x14ac:dyDescent="0.3">
      <c r="A181" s="3" t="s">
        <v>186</v>
      </c>
      <c r="B181" s="2" t="s">
        <v>1084</v>
      </c>
      <c r="C181" s="3" t="s">
        <v>1011</v>
      </c>
      <c r="D181" s="2">
        <f t="shared" si="2"/>
        <v>2000</v>
      </c>
    </row>
    <row r="182" spans="1:4" x14ac:dyDescent="0.3">
      <c r="A182" s="3" t="s">
        <v>187</v>
      </c>
      <c r="B182" s="2" t="s">
        <v>1076</v>
      </c>
      <c r="C182" s="3" t="s">
        <v>1009</v>
      </c>
      <c r="D182" s="2">
        <f t="shared" si="2"/>
        <v>100</v>
      </c>
    </row>
    <row r="183" spans="1:4" x14ac:dyDescent="0.3">
      <c r="A183" s="3" t="s">
        <v>188</v>
      </c>
      <c r="B183" s="2" t="s">
        <v>1081</v>
      </c>
      <c r="C183" s="3" t="s">
        <v>1011</v>
      </c>
      <c r="D183" s="2">
        <f t="shared" si="2"/>
        <v>1000</v>
      </c>
    </row>
    <row r="184" spans="1:4" x14ac:dyDescent="0.3">
      <c r="A184" s="3" t="s">
        <v>189</v>
      </c>
      <c r="B184" s="2" t="s">
        <v>1078</v>
      </c>
      <c r="C184" s="3" t="s">
        <v>1011</v>
      </c>
      <c r="D184" s="2">
        <f t="shared" si="2"/>
        <v>200</v>
      </c>
    </row>
    <row r="185" spans="1:4" x14ac:dyDescent="0.3">
      <c r="A185" s="3" t="s">
        <v>190</v>
      </c>
      <c r="B185" s="2" t="s">
        <v>1048</v>
      </c>
      <c r="C185" s="3" t="s">
        <v>1010</v>
      </c>
      <c r="D185" s="2">
        <f t="shared" si="2"/>
        <v>50</v>
      </c>
    </row>
    <row r="186" spans="1:4" x14ac:dyDescent="0.3">
      <c r="A186" s="3" t="s">
        <v>191</v>
      </c>
      <c r="B186" s="2" t="s">
        <v>1057</v>
      </c>
      <c r="C186" s="3" t="s">
        <v>1012</v>
      </c>
      <c r="D186" s="2">
        <f t="shared" si="2"/>
        <v>500</v>
      </c>
    </row>
    <row r="187" spans="1:4" x14ac:dyDescent="0.3">
      <c r="A187" s="3" t="s">
        <v>192</v>
      </c>
      <c r="B187" s="2" t="s">
        <v>1071</v>
      </c>
      <c r="C187" s="3" t="s">
        <v>1009</v>
      </c>
      <c r="D187" s="2">
        <f t="shared" si="2"/>
        <v>200</v>
      </c>
    </row>
    <row r="188" spans="1:4" x14ac:dyDescent="0.3">
      <c r="A188" s="3" t="s">
        <v>193</v>
      </c>
      <c r="B188" s="2" t="s">
        <v>1054</v>
      </c>
      <c r="C188" s="3" t="s">
        <v>1010</v>
      </c>
      <c r="D188" s="2">
        <f t="shared" si="2"/>
        <v>30</v>
      </c>
    </row>
    <row r="189" spans="1:4" x14ac:dyDescent="0.3">
      <c r="A189" s="3" t="s">
        <v>194</v>
      </c>
      <c r="B189" s="2" t="s">
        <v>1085</v>
      </c>
      <c r="C189" s="3" t="s">
        <v>1011</v>
      </c>
      <c r="D189" s="2">
        <f t="shared" si="2"/>
        <v>1500</v>
      </c>
    </row>
    <row r="190" spans="1:4" x14ac:dyDescent="0.3">
      <c r="A190" s="3" t="s">
        <v>195</v>
      </c>
      <c r="B190" s="2" t="s">
        <v>1050</v>
      </c>
      <c r="C190" s="3" t="s">
        <v>1010</v>
      </c>
      <c r="D190" s="2">
        <f t="shared" si="2"/>
        <v>30</v>
      </c>
    </row>
    <row r="191" spans="1:4" x14ac:dyDescent="0.3">
      <c r="A191" s="3" t="s">
        <v>196</v>
      </c>
      <c r="B191" s="2" t="s">
        <v>1038</v>
      </c>
      <c r="C191" s="3" t="s">
        <v>1007</v>
      </c>
      <c r="D191" s="2">
        <f t="shared" si="2"/>
        <v>5000</v>
      </c>
    </row>
    <row r="192" spans="1:4" x14ac:dyDescent="0.3">
      <c r="A192" s="3" t="s">
        <v>197</v>
      </c>
      <c r="B192" s="2" t="s">
        <v>1074</v>
      </c>
      <c r="C192" s="3" t="s">
        <v>1009</v>
      </c>
      <c r="D192" s="2">
        <f t="shared" si="2"/>
        <v>500</v>
      </c>
    </row>
    <row r="193" spans="1:4" x14ac:dyDescent="0.3">
      <c r="A193" s="3" t="s">
        <v>198</v>
      </c>
      <c r="B193" s="2" t="s">
        <v>1051</v>
      </c>
      <c r="C193" s="3" t="s">
        <v>1010</v>
      </c>
      <c r="D193" s="2">
        <f t="shared" si="2"/>
        <v>50</v>
      </c>
    </row>
    <row r="194" spans="1:4" x14ac:dyDescent="0.3">
      <c r="A194" s="3" t="s">
        <v>199</v>
      </c>
      <c r="B194" s="2" t="s">
        <v>1051</v>
      </c>
      <c r="C194" s="3" t="s">
        <v>1010</v>
      </c>
      <c r="D194" s="2">
        <f t="shared" si="2"/>
        <v>50</v>
      </c>
    </row>
    <row r="195" spans="1:4" x14ac:dyDescent="0.3">
      <c r="A195" s="3" t="s">
        <v>200</v>
      </c>
      <c r="B195" s="2" t="s">
        <v>1057</v>
      </c>
      <c r="C195" s="3" t="s">
        <v>1012</v>
      </c>
      <c r="D195" s="2">
        <f t="shared" ref="D195:D258" si="3">_xlfn.XLOOKUP(B195, $H$11:$H$24, $I$11:$I$24, _xlfn.XLOOKUP(B195, $J$11:$J$24, $K$11:$K$24,_xlfn.XLOOKUP(B195, $L$11:$L$23,$M$11:$M$23,_xlfn.XLOOKUP(B195, $N$11:$N$18,$O$11:$O$18,_xlfn.XLOOKUP(B195, $P$11:$P$26,$Q$11:$Q$26,_xlfn.XLOOKUP(B195, $R$11:$R$21,$S$11:$S$21,0))))))</f>
        <v>500</v>
      </c>
    </row>
    <row r="196" spans="1:4" x14ac:dyDescent="0.3">
      <c r="A196" s="3" t="s">
        <v>201</v>
      </c>
      <c r="B196" s="2" t="s">
        <v>1057</v>
      </c>
      <c r="C196" s="3" t="s">
        <v>1012</v>
      </c>
      <c r="D196" s="2">
        <f t="shared" si="3"/>
        <v>500</v>
      </c>
    </row>
    <row r="197" spans="1:4" x14ac:dyDescent="0.3">
      <c r="A197" s="3" t="s">
        <v>202</v>
      </c>
      <c r="B197" s="2" t="s">
        <v>1022</v>
      </c>
      <c r="C197" s="3" t="s">
        <v>1008</v>
      </c>
      <c r="D197" s="2">
        <f t="shared" si="3"/>
        <v>0</v>
      </c>
    </row>
    <row r="198" spans="1:4" x14ac:dyDescent="0.3">
      <c r="A198" s="3" t="s">
        <v>203</v>
      </c>
      <c r="B198" s="2" t="s">
        <v>1055</v>
      </c>
      <c r="C198" s="3" t="s">
        <v>1010</v>
      </c>
      <c r="D198" s="2">
        <f t="shared" si="3"/>
        <v>50</v>
      </c>
    </row>
    <row r="199" spans="1:4" x14ac:dyDescent="0.3">
      <c r="A199" s="3" t="s">
        <v>204</v>
      </c>
      <c r="B199" s="2" t="s">
        <v>1059</v>
      </c>
      <c r="C199" s="3" t="s">
        <v>1012</v>
      </c>
      <c r="D199" s="2">
        <f t="shared" si="3"/>
        <v>200</v>
      </c>
    </row>
    <row r="200" spans="1:4" x14ac:dyDescent="0.3">
      <c r="A200" s="3" t="s">
        <v>205</v>
      </c>
      <c r="B200" s="2" t="s">
        <v>1059</v>
      </c>
      <c r="C200" s="3" t="s">
        <v>1012</v>
      </c>
      <c r="D200" s="2">
        <f t="shared" si="3"/>
        <v>200</v>
      </c>
    </row>
    <row r="201" spans="1:4" x14ac:dyDescent="0.3">
      <c r="A201" s="3" t="s">
        <v>206</v>
      </c>
      <c r="B201" s="2" t="s">
        <v>1022</v>
      </c>
      <c r="C201" s="3" t="s">
        <v>1008</v>
      </c>
      <c r="D201" s="2">
        <f t="shared" si="3"/>
        <v>0</v>
      </c>
    </row>
    <row r="202" spans="1:4" x14ac:dyDescent="0.3">
      <c r="A202" s="3" t="s">
        <v>207</v>
      </c>
      <c r="B202" s="2" t="s">
        <v>1072</v>
      </c>
      <c r="C202" s="3" t="s">
        <v>1009</v>
      </c>
      <c r="D202" s="2">
        <f t="shared" si="3"/>
        <v>50</v>
      </c>
    </row>
    <row r="203" spans="1:4" x14ac:dyDescent="0.3">
      <c r="A203" s="3" t="s">
        <v>208</v>
      </c>
      <c r="B203" s="2" t="s">
        <v>1060</v>
      </c>
      <c r="C203" s="3" t="s">
        <v>1012</v>
      </c>
      <c r="D203" s="2">
        <f t="shared" si="3"/>
        <v>1500</v>
      </c>
    </row>
    <row r="204" spans="1:4" x14ac:dyDescent="0.3">
      <c r="A204" s="3" t="s">
        <v>209</v>
      </c>
      <c r="B204" s="2" t="s">
        <v>1034</v>
      </c>
      <c r="C204" s="3" t="s">
        <v>1008</v>
      </c>
      <c r="D204" s="2">
        <f t="shared" si="3"/>
        <v>50000</v>
      </c>
    </row>
    <row r="205" spans="1:4" x14ac:dyDescent="0.3">
      <c r="A205" s="3" t="s">
        <v>210</v>
      </c>
      <c r="B205" s="2" t="s">
        <v>1018</v>
      </c>
      <c r="C205" s="3" t="s">
        <v>1012</v>
      </c>
      <c r="D205" s="2">
        <f t="shared" si="3"/>
        <v>3000</v>
      </c>
    </row>
    <row r="206" spans="1:4" x14ac:dyDescent="0.3">
      <c r="A206" s="3" t="s">
        <v>211</v>
      </c>
      <c r="B206" s="2" t="s">
        <v>1036</v>
      </c>
      <c r="C206" s="3" t="s">
        <v>1007</v>
      </c>
      <c r="D206" s="2">
        <f t="shared" si="3"/>
        <v>8000</v>
      </c>
    </row>
    <row r="207" spans="1:4" x14ac:dyDescent="0.3">
      <c r="A207" s="3" t="s">
        <v>212</v>
      </c>
      <c r="B207" s="2" t="s">
        <v>1022</v>
      </c>
      <c r="C207" s="3" t="s">
        <v>1008</v>
      </c>
      <c r="D207" s="2">
        <f t="shared" si="3"/>
        <v>0</v>
      </c>
    </row>
    <row r="208" spans="1:4" x14ac:dyDescent="0.3">
      <c r="A208" s="3" t="s">
        <v>213</v>
      </c>
      <c r="B208" s="2" t="s">
        <v>1018</v>
      </c>
      <c r="C208" s="3" t="s">
        <v>1012</v>
      </c>
      <c r="D208" s="2">
        <f t="shared" si="3"/>
        <v>3000</v>
      </c>
    </row>
    <row r="209" spans="1:4" x14ac:dyDescent="0.3">
      <c r="A209" s="3" t="s">
        <v>214</v>
      </c>
      <c r="B209" s="2" t="s">
        <v>1030</v>
      </c>
      <c r="C209" s="3" t="s">
        <v>1008</v>
      </c>
      <c r="D209" s="2">
        <f t="shared" si="3"/>
        <v>70000</v>
      </c>
    </row>
    <row r="210" spans="1:4" x14ac:dyDescent="0.3">
      <c r="A210" s="3" t="s">
        <v>215</v>
      </c>
      <c r="B210" s="2" t="s">
        <v>1062</v>
      </c>
      <c r="C210" s="3" t="s">
        <v>1009</v>
      </c>
      <c r="D210" s="2">
        <f t="shared" si="3"/>
        <v>100</v>
      </c>
    </row>
    <row r="211" spans="1:4" x14ac:dyDescent="0.3">
      <c r="A211" s="3" t="s">
        <v>216</v>
      </c>
      <c r="B211" s="2" t="s">
        <v>1063</v>
      </c>
      <c r="C211" s="3" t="s">
        <v>1009</v>
      </c>
      <c r="D211" s="2">
        <f t="shared" si="3"/>
        <v>4500</v>
      </c>
    </row>
    <row r="212" spans="1:4" x14ac:dyDescent="0.3">
      <c r="A212" s="3" t="s">
        <v>217</v>
      </c>
      <c r="B212" s="2" t="s">
        <v>1060</v>
      </c>
      <c r="C212" s="3" t="s">
        <v>1012</v>
      </c>
      <c r="D212" s="2">
        <f t="shared" si="3"/>
        <v>1500</v>
      </c>
    </row>
    <row r="213" spans="1:4" x14ac:dyDescent="0.3">
      <c r="A213" s="3" t="s">
        <v>218</v>
      </c>
      <c r="B213" s="2" t="s">
        <v>1054</v>
      </c>
      <c r="C213" s="3" t="s">
        <v>1010</v>
      </c>
      <c r="D213" s="2">
        <f t="shared" si="3"/>
        <v>30</v>
      </c>
    </row>
    <row r="214" spans="1:4" x14ac:dyDescent="0.3">
      <c r="A214" s="3" t="s">
        <v>219</v>
      </c>
      <c r="B214" s="2" t="s">
        <v>1038</v>
      </c>
      <c r="C214" s="3" t="s">
        <v>1007</v>
      </c>
      <c r="D214" s="2">
        <f t="shared" si="3"/>
        <v>5000</v>
      </c>
    </row>
    <row r="215" spans="1:4" x14ac:dyDescent="0.3">
      <c r="A215" s="3" t="s">
        <v>220</v>
      </c>
      <c r="B215" s="2" t="s">
        <v>1037</v>
      </c>
      <c r="C215" s="3" t="s">
        <v>1007</v>
      </c>
      <c r="D215" s="2">
        <f t="shared" si="3"/>
        <v>10000</v>
      </c>
    </row>
    <row r="216" spans="1:4" x14ac:dyDescent="0.3">
      <c r="A216" s="3" t="s">
        <v>221</v>
      </c>
      <c r="B216" s="2" t="s">
        <v>1043</v>
      </c>
      <c r="C216" s="3" t="s">
        <v>1010</v>
      </c>
      <c r="D216" s="2">
        <f t="shared" si="3"/>
        <v>50</v>
      </c>
    </row>
    <row r="217" spans="1:4" x14ac:dyDescent="0.3">
      <c r="A217" s="3" t="s">
        <v>222</v>
      </c>
      <c r="B217" s="2" t="s">
        <v>1065</v>
      </c>
      <c r="C217" s="3" t="s">
        <v>1009</v>
      </c>
      <c r="D217" s="2">
        <f t="shared" si="3"/>
        <v>200</v>
      </c>
    </row>
    <row r="218" spans="1:4" x14ac:dyDescent="0.3">
      <c r="A218" s="3" t="s">
        <v>223</v>
      </c>
      <c r="B218" s="2" t="s">
        <v>1037</v>
      </c>
      <c r="C218" s="3" t="s">
        <v>1007</v>
      </c>
      <c r="D218" s="2">
        <f t="shared" si="3"/>
        <v>10000</v>
      </c>
    </row>
    <row r="219" spans="1:4" x14ac:dyDescent="0.3">
      <c r="A219" s="3" t="s">
        <v>224</v>
      </c>
      <c r="B219" s="2" t="s">
        <v>1063</v>
      </c>
      <c r="C219" s="3" t="s">
        <v>1009</v>
      </c>
      <c r="D219" s="2">
        <f t="shared" si="3"/>
        <v>4500</v>
      </c>
    </row>
    <row r="220" spans="1:4" x14ac:dyDescent="0.3">
      <c r="A220" s="3" t="s">
        <v>225</v>
      </c>
      <c r="B220" s="2" t="s">
        <v>1073</v>
      </c>
      <c r="C220" s="3" t="s">
        <v>1009</v>
      </c>
      <c r="D220" s="2">
        <f t="shared" si="3"/>
        <v>100</v>
      </c>
    </row>
    <row r="221" spans="1:4" x14ac:dyDescent="0.3">
      <c r="A221" s="3" t="s">
        <v>226</v>
      </c>
      <c r="B221" s="2" t="s">
        <v>1082</v>
      </c>
      <c r="C221" s="3" t="s">
        <v>1011</v>
      </c>
      <c r="D221" s="2">
        <f t="shared" si="3"/>
        <v>2000</v>
      </c>
    </row>
    <row r="222" spans="1:4" x14ac:dyDescent="0.3">
      <c r="A222" s="3" t="s">
        <v>227</v>
      </c>
      <c r="B222" s="2" t="s">
        <v>1071</v>
      </c>
      <c r="C222" s="3" t="s">
        <v>1009</v>
      </c>
      <c r="D222" s="2">
        <f t="shared" si="3"/>
        <v>200</v>
      </c>
    </row>
    <row r="223" spans="1:4" x14ac:dyDescent="0.3">
      <c r="A223" s="3" t="s">
        <v>228</v>
      </c>
      <c r="B223" s="2" t="s">
        <v>1060</v>
      </c>
      <c r="C223" s="3" t="s">
        <v>1012</v>
      </c>
      <c r="D223" s="2">
        <f t="shared" si="3"/>
        <v>1500</v>
      </c>
    </row>
    <row r="224" spans="1:4" x14ac:dyDescent="0.3">
      <c r="A224" s="3" t="s">
        <v>229</v>
      </c>
      <c r="B224" s="2" t="s">
        <v>1028</v>
      </c>
      <c r="C224" s="3" t="s">
        <v>1008</v>
      </c>
      <c r="D224" s="2">
        <f t="shared" si="3"/>
        <v>15000</v>
      </c>
    </row>
    <row r="225" spans="1:4" x14ac:dyDescent="0.3">
      <c r="A225" s="3" t="s">
        <v>230</v>
      </c>
      <c r="B225" s="2" t="s">
        <v>1037</v>
      </c>
      <c r="C225" s="3" t="s">
        <v>1007</v>
      </c>
      <c r="D225" s="2">
        <f t="shared" si="3"/>
        <v>10000</v>
      </c>
    </row>
    <row r="226" spans="1:4" x14ac:dyDescent="0.3">
      <c r="A226" s="3" t="s">
        <v>231</v>
      </c>
      <c r="B226" s="2" t="s">
        <v>1025</v>
      </c>
      <c r="C226" s="3" t="s">
        <v>1008</v>
      </c>
      <c r="D226" s="2">
        <f t="shared" si="3"/>
        <v>30000</v>
      </c>
    </row>
    <row r="227" spans="1:4" x14ac:dyDescent="0.3">
      <c r="A227" s="3" t="s">
        <v>232</v>
      </c>
      <c r="B227" s="2" t="s">
        <v>1027</v>
      </c>
      <c r="C227" s="3" t="s">
        <v>1008</v>
      </c>
      <c r="D227" s="2">
        <f t="shared" si="3"/>
        <v>30000</v>
      </c>
    </row>
    <row r="228" spans="1:4" x14ac:dyDescent="0.3">
      <c r="A228" s="3" t="s">
        <v>233</v>
      </c>
      <c r="B228" s="2" t="s">
        <v>1081</v>
      </c>
      <c r="C228" s="3" t="s">
        <v>1011</v>
      </c>
      <c r="D228" s="2">
        <f t="shared" si="3"/>
        <v>1000</v>
      </c>
    </row>
    <row r="229" spans="1:4" x14ac:dyDescent="0.3">
      <c r="A229" s="3" t="s">
        <v>234</v>
      </c>
      <c r="B229" s="2" t="s">
        <v>1046</v>
      </c>
      <c r="C229" s="3" t="s">
        <v>1010</v>
      </c>
      <c r="D229" s="2">
        <f t="shared" si="3"/>
        <v>100</v>
      </c>
    </row>
    <row r="230" spans="1:4" x14ac:dyDescent="0.3">
      <c r="A230" s="3" t="s">
        <v>235</v>
      </c>
      <c r="B230" s="2" t="s">
        <v>1041</v>
      </c>
      <c r="C230" s="3" t="s">
        <v>1007</v>
      </c>
      <c r="D230" s="2">
        <f t="shared" si="3"/>
        <v>2000</v>
      </c>
    </row>
    <row r="231" spans="1:4" x14ac:dyDescent="0.3">
      <c r="A231" s="3" t="s">
        <v>236</v>
      </c>
      <c r="B231" s="2" t="s">
        <v>1032</v>
      </c>
      <c r="C231" s="3" t="s">
        <v>1008</v>
      </c>
      <c r="D231" s="2">
        <f t="shared" si="3"/>
        <v>2000</v>
      </c>
    </row>
    <row r="232" spans="1:4" x14ac:dyDescent="0.3">
      <c r="A232" s="3" t="s">
        <v>237</v>
      </c>
      <c r="B232" s="2" t="s">
        <v>1077</v>
      </c>
      <c r="C232" s="3" t="s">
        <v>1011</v>
      </c>
      <c r="D232" s="2">
        <f t="shared" si="3"/>
        <v>5000</v>
      </c>
    </row>
    <row r="233" spans="1:4" x14ac:dyDescent="0.3">
      <c r="A233" s="3" t="s">
        <v>238</v>
      </c>
      <c r="B233" s="2" t="s">
        <v>1049</v>
      </c>
      <c r="C233" s="3" t="s">
        <v>1010</v>
      </c>
      <c r="D233" s="2">
        <f t="shared" si="3"/>
        <v>20</v>
      </c>
    </row>
    <row r="234" spans="1:4" x14ac:dyDescent="0.3">
      <c r="A234" s="3" t="s">
        <v>239</v>
      </c>
      <c r="B234" s="2" t="s">
        <v>1037</v>
      </c>
      <c r="C234" s="3" t="s">
        <v>1007</v>
      </c>
      <c r="D234" s="2">
        <f t="shared" si="3"/>
        <v>10000</v>
      </c>
    </row>
    <row r="235" spans="1:4" x14ac:dyDescent="0.3">
      <c r="A235" s="3" t="s">
        <v>240</v>
      </c>
      <c r="B235" s="2" t="s">
        <v>1039</v>
      </c>
      <c r="C235" s="3" t="s">
        <v>1007</v>
      </c>
      <c r="D235" s="2">
        <f t="shared" si="3"/>
        <v>12000</v>
      </c>
    </row>
    <row r="236" spans="1:4" x14ac:dyDescent="0.3">
      <c r="A236" s="3" t="s">
        <v>241</v>
      </c>
      <c r="B236" s="2" t="s">
        <v>1018</v>
      </c>
      <c r="C236" s="3" t="s">
        <v>1012</v>
      </c>
      <c r="D236" s="2">
        <f t="shared" si="3"/>
        <v>3000</v>
      </c>
    </row>
    <row r="237" spans="1:4" x14ac:dyDescent="0.3">
      <c r="A237" s="3" t="s">
        <v>242</v>
      </c>
      <c r="B237" s="2" t="s">
        <v>1018</v>
      </c>
      <c r="C237" s="3" t="s">
        <v>1012</v>
      </c>
      <c r="D237" s="2">
        <f t="shared" si="3"/>
        <v>3000</v>
      </c>
    </row>
    <row r="238" spans="1:4" x14ac:dyDescent="0.3">
      <c r="A238" s="3" t="s">
        <v>243</v>
      </c>
      <c r="B238" s="2" t="s">
        <v>1050</v>
      </c>
      <c r="C238" s="3" t="s">
        <v>1010</v>
      </c>
      <c r="D238" s="2">
        <f t="shared" si="3"/>
        <v>30</v>
      </c>
    </row>
    <row r="239" spans="1:4" x14ac:dyDescent="0.3">
      <c r="A239" s="3" t="s">
        <v>244</v>
      </c>
      <c r="B239" s="2" t="s">
        <v>1047</v>
      </c>
      <c r="C239" s="3" t="s">
        <v>1010</v>
      </c>
      <c r="D239" s="2">
        <f t="shared" si="3"/>
        <v>500</v>
      </c>
    </row>
    <row r="240" spans="1:4" x14ac:dyDescent="0.3">
      <c r="A240" s="3" t="s">
        <v>245</v>
      </c>
      <c r="B240" s="2" t="s">
        <v>1087</v>
      </c>
      <c r="C240" s="3" t="s">
        <v>1011</v>
      </c>
      <c r="D240" s="2">
        <f t="shared" si="3"/>
        <v>5000</v>
      </c>
    </row>
    <row r="241" spans="1:4" x14ac:dyDescent="0.3">
      <c r="A241" s="3" t="s">
        <v>246</v>
      </c>
      <c r="B241" s="2" t="s">
        <v>1061</v>
      </c>
      <c r="C241" s="3" t="s">
        <v>1012</v>
      </c>
      <c r="D241" s="2">
        <f t="shared" si="3"/>
        <v>500</v>
      </c>
    </row>
    <row r="242" spans="1:4" x14ac:dyDescent="0.3">
      <c r="A242" s="3" t="s">
        <v>247</v>
      </c>
      <c r="B242" s="2" t="s">
        <v>1042</v>
      </c>
      <c r="C242" s="3" t="s">
        <v>1007</v>
      </c>
      <c r="D242" s="2">
        <f t="shared" si="3"/>
        <v>3000</v>
      </c>
    </row>
    <row r="243" spans="1:4" x14ac:dyDescent="0.3">
      <c r="A243" s="3" t="s">
        <v>248</v>
      </c>
      <c r="B243" s="2" t="s">
        <v>1082</v>
      </c>
      <c r="C243" s="3" t="s">
        <v>1011</v>
      </c>
      <c r="D243" s="2">
        <f t="shared" si="3"/>
        <v>2000</v>
      </c>
    </row>
    <row r="244" spans="1:4" x14ac:dyDescent="0.3">
      <c r="A244" s="3" t="s">
        <v>249</v>
      </c>
      <c r="B244" s="2" t="s">
        <v>1035</v>
      </c>
      <c r="C244" s="3" t="s">
        <v>1007</v>
      </c>
      <c r="D244" s="2">
        <f t="shared" si="3"/>
        <v>15000</v>
      </c>
    </row>
    <row r="245" spans="1:4" x14ac:dyDescent="0.3">
      <c r="A245" s="3" t="s">
        <v>250</v>
      </c>
      <c r="B245" s="2" t="s">
        <v>1023</v>
      </c>
      <c r="C245" s="3" t="s">
        <v>1008</v>
      </c>
      <c r="D245" s="2">
        <f t="shared" si="3"/>
        <v>20000</v>
      </c>
    </row>
    <row r="246" spans="1:4" x14ac:dyDescent="0.3">
      <c r="A246" s="3" t="s">
        <v>251</v>
      </c>
      <c r="B246" s="2" t="s">
        <v>1017</v>
      </c>
      <c r="C246" s="3" t="s">
        <v>1012</v>
      </c>
      <c r="D246" s="2">
        <f t="shared" si="3"/>
        <v>200</v>
      </c>
    </row>
    <row r="247" spans="1:4" x14ac:dyDescent="0.3">
      <c r="A247" s="3" t="s">
        <v>252</v>
      </c>
      <c r="B247" s="2" t="s">
        <v>1075</v>
      </c>
      <c r="C247" s="3" t="s">
        <v>1009</v>
      </c>
      <c r="D247" s="2">
        <f t="shared" si="3"/>
        <v>2000</v>
      </c>
    </row>
    <row r="248" spans="1:4" x14ac:dyDescent="0.3">
      <c r="A248" s="3" t="s">
        <v>253</v>
      </c>
      <c r="B248" s="2" t="s">
        <v>1071</v>
      </c>
      <c r="C248" s="3" t="s">
        <v>1009</v>
      </c>
      <c r="D248" s="2">
        <f t="shared" si="3"/>
        <v>200</v>
      </c>
    </row>
    <row r="249" spans="1:4" x14ac:dyDescent="0.3">
      <c r="A249" s="3" t="s">
        <v>254</v>
      </c>
      <c r="B249" s="2" t="s">
        <v>1036</v>
      </c>
      <c r="C249" s="3" t="s">
        <v>1007</v>
      </c>
      <c r="D249" s="2">
        <f t="shared" si="3"/>
        <v>8000</v>
      </c>
    </row>
    <row r="250" spans="1:4" x14ac:dyDescent="0.3">
      <c r="A250" s="3" t="s">
        <v>255</v>
      </c>
      <c r="B250" s="2" t="s">
        <v>1077</v>
      </c>
      <c r="C250" s="3" t="s">
        <v>1011</v>
      </c>
      <c r="D250" s="2">
        <f t="shared" si="3"/>
        <v>5000</v>
      </c>
    </row>
    <row r="251" spans="1:4" x14ac:dyDescent="0.3">
      <c r="A251" s="3" t="s">
        <v>256</v>
      </c>
      <c r="B251" s="2" t="s">
        <v>1043</v>
      </c>
      <c r="C251" s="3" t="s">
        <v>1010</v>
      </c>
      <c r="D251" s="2">
        <f t="shared" si="3"/>
        <v>50</v>
      </c>
    </row>
    <row r="252" spans="1:4" x14ac:dyDescent="0.3">
      <c r="A252" s="3" t="s">
        <v>257</v>
      </c>
      <c r="B252" s="2" t="s">
        <v>1024</v>
      </c>
      <c r="C252" s="3" t="s">
        <v>1008</v>
      </c>
      <c r="D252" s="2">
        <f t="shared" si="3"/>
        <v>150000</v>
      </c>
    </row>
    <row r="253" spans="1:4" x14ac:dyDescent="0.3">
      <c r="A253" s="3" t="s">
        <v>258</v>
      </c>
      <c r="B253" s="2" t="s">
        <v>1057</v>
      </c>
      <c r="C253" s="3" t="s">
        <v>1012</v>
      </c>
      <c r="D253" s="2">
        <f t="shared" si="3"/>
        <v>500</v>
      </c>
    </row>
    <row r="254" spans="1:4" x14ac:dyDescent="0.3">
      <c r="A254" s="3" t="s">
        <v>259</v>
      </c>
      <c r="B254" s="2" t="s">
        <v>1066</v>
      </c>
      <c r="C254" s="3" t="s">
        <v>1009</v>
      </c>
      <c r="D254" s="2">
        <f t="shared" si="3"/>
        <v>800</v>
      </c>
    </row>
    <row r="255" spans="1:4" x14ac:dyDescent="0.3">
      <c r="A255" s="3" t="s">
        <v>260</v>
      </c>
      <c r="B255" s="2" t="s">
        <v>1056</v>
      </c>
      <c r="C255" s="3" t="s">
        <v>1012</v>
      </c>
      <c r="D255" s="2">
        <f t="shared" si="3"/>
        <v>100</v>
      </c>
    </row>
    <row r="256" spans="1:4" x14ac:dyDescent="0.3">
      <c r="A256" s="3" t="s">
        <v>261</v>
      </c>
      <c r="B256" s="2" t="s">
        <v>1017</v>
      </c>
      <c r="C256" s="3" t="s">
        <v>1012</v>
      </c>
      <c r="D256" s="2">
        <f t="shared" si="3"/>
        <v>200</v>
      </c>
    </row>
    <row r="257" spans="1:4" x14ac:dyDescent="0.3">
      <c r="A257" s="3" t="s">
        <v>262</v>
      </c>
      <c r="B257" s="2" t="s">
        <v>1033</v>
      </c>
      <c r="C257" s="3" t="s">
        <v>1008</v>
      </c>
      <c r="D257" s="2">
        <f t="shared" si="3"/>
        <v>4000</v>
      </c>
    </row>
    <row r="258" spans="1:4" x14ac:dyDescent="0.3">
      <c r="A258" s="3" t="s">
        <v>263</v>
      </c>
      <c r="B258" s="2" t="s">
        <v>1031</v>
      </c>
      <c r="C258" s="3" t="s">
        <v>1008</v>
      </c>
      <c r="D258" s="2">
        <f t="shared" si="3"/>
        <v>40000</v>
      </c>
    </row>
    <row r="259" spans="1:4" x14ac:dyDescent="0.3">
      <c r="A259" s="3" t="s">
        <v>264</v>
      </c>
      <c r="B259" s="2" t="s">
        <v>1080</v>
      </c>
      <c r="C259" s="3" t="s">
        <v>1011</v>
      </c>
      <c r="D259" s="2">
        <f t="shared" ref="D259:D322" si="4">_xlfn.XLOOKUP(B259, $H$11:$H$24, $I$11:$I$24, _xlfn.XLOOKUP(B259, $J$11:$J$24, $K$11:$K$24,_xlfn.XLOOKUP(B259, $L$11:$L$23,$M$11:$M$23,_xlfn.XLOOKUP(B259, $N$11:$N$18,$O$11:$O$18,_xlfn.XLOOKUP(B259, $P$11:$P$26,$Q$11:$Q$26,_xlfn.XLOOKUP(B259, $R$11:$R$21,$S$11:$S$21,0))))))</f>
        <v>2500</v>
      </c>
    </row>
    <row r="260" spans="1:4" x14ac:dyDescent="0.3">
      <c r="A260" s="3" t="s">
        <v>265</v>
      </c>
      <c r="B260" s="2" t="s">
        <v>1053</v>
      </c>
      <c r="C260" s="3" t="s">
        <v>1010</v>
      </c>
      <c r="D260" s="2">
        <f t="shared" si="4"/>
        <v>10</v>
      </c>
    </row>
    <row r="261" spans="1:4" x14ac:dyDescent="0.3">
      <c r="A261" s="3" t="s">
        <v>266</v>
      </c>
      <c r="B261" s="2" t="s">
        <v>1049</v>
      </c>
      <c r="C261" s="3" t="s">
        <v>1010</v>
      </c>
      <c r="D261" s="2">
        <f t="shared" si="4"/>
        <v>20</v>
      </c>
    </row>
    <row r="262" spans="1:4" x14ac:dyDescent="0.3">
      <c r="A262" s="3" t="s">
        <v>267</v>
      </c>
      <c r="B262" s="2" t="s">
        <v>1051</v>
      </c>
      <c r="C262" s="3" t="s">
        <v>1010</v>
      </c>
      <c r="D262" s="2">
        <f t="shared" si="4"/>
        <v>50</v>
      </c>
    </row>
    <row r="263" spans="1:4" x14ac:dyDescent="0.3">
      <c r="A263" s="3" t="s">
        <v>268</v>
      </c>
      <c r="B263" s="2" t="s">
        <v>1086</v>
      </c>
      <c r="C263" s="3" t="s">
        <v>1011</v>
      </c>
      <c r="D263" s="2">
        <f t="shared" si="4"/>
        <v>4500</v>
      </c>
    </row>
    <row r="264" spans="1:4" x14ac:dyDescent="0.3">
      <c r="A264" s="3" t="s">
        <v>269</v>
      </c>
      <c r="B264" s="2" t="s">
        <v>1058</v>
      </c>
      <c r="C264" s="3" t="s">
        <v>1012</v>
      </c>
      <c r="D264" s="2">
        <f t="shared" si="4"/>
        <v>500</v>
      </c>
    </row>
    <row r="265" spans="1:4" x14ac:dyDescent="0.3">
      <c r="A265" s="3" t="s">
        <v>270</v>
      </c>
      <c r="B265" s="2" t="s">
        <v>1049</v>
      </c>
      <c r="C265" s="3" t="s">
        <v>1010</v>
      </c>
      <c r="D265" s="2">
        <f t="shared" si="4"/>
        <v>20</v>
      </c>
    </row>
    <row r="266" spans="1:4" x14ac:dyDescent="0.3">
      <c r="A266" s="3" t="s">
        <v>271</v>
      </c>
      <c r="B266" s="2" t="s">
        <v>1039</v>
      </c>
      <c r="C266" s="3" t="s">
        <v>1007</v>
      </c>
      <c r="D266" s="2">
        <f t="shared" si="4"/>
        <v>12000</v>
      </c>
    </row>
    <row r="267" spans="1:4" x14ac:dyDescent="0.3">
      <c r="A267" s="3" t="s">
        <v>272</v>
      </c>
      <c r="B267" s="2" t="s">
        <v>1046</v>
      </c>
      <c r="C267" s="3" t="s">
        <v>1010</v>
      </c>
      <c r="D267" s="2">
        <f t="shared" si="4"/>
        <v>100</v>
      </c>
    </row>
    <row r="268" spans="1:4" x14ac:dyDescent="0.3">
      <c r="A268" s="3" t="s">
        <v>273</v>
      </c>
      <c r="B268" s="2" t="s">
        <v>1079</v>
      </c>
      <c r="C268" s="3" t="s">
        <v>1011</v>
      </c>
      <c r="D268" s="2">
        <f t="shared" si="4"/>
        <v>5000</v>
      </c>
    </row>
    <row r="269" spans="1:4" x14ac:dyDescent="0.3">
      <c r="A269" s="3" t="s">
        <v>274</v>
      </c>
      <c r="B269" s="2" t="s">
        <v>1022</v>
      </c>
      <c r="C269" s="3" t="s">
        <v>1008</v>
      </c>
      <c r="D269" s="2">
        <f t="shared" si="4"/>
        <v>0</v>
      </c>
    </row>
    <row r="270" spans="1:4" x14ac:dyDescent="0.3">
      <c r="A270" s="3" t="s">
        <v>275</v>
      </c>
      <c r="B270" s="2" t="s">
        <v>1049</v>
      </c>
      <c r="C270" s="3" t="s">
        <v>1010</v>
      </c>
      <c r="D270" s="2">
        <f t="shared" si="4"/>
        <v>20</v>
      </c>
    </row>
    <row r="271" spans="1:4" x14ac:dyDescent="0.3">
      <c r="A271" s="3" t="s">
        <v>276</v>
      </c>
      <c r="B271" s="2" t="s">
        <v>1028</v>
      </c>
      <c r="C271" s="3" t="s">
        <v>1008</v>
      </c>
      <c r="D271" s="2">
        <f t="shared" si="4"/>
        <v>15000</v>
      </c>
    </row>
    <row r="272" spans="1:4" x14ac:dyDescent="0.3">
      <c r="A272" s="3" t="s">
        <v>277</v>
      </c>
      <c r="B272" s="2" t="s">
        <v>1043</v>
      </c>
      <c r="C272" s="3" t="s">
        <v>1010</v>
      </c>
      <c r="D272" s="2">
        <f t="shared" si="4"/>
        <v>50</v>
      </c>
    </row>
    <row r="273" spans="1:4" x14ac:dyDescent="0.3">
      <c r="A273" s="3" t="s">
        <v>278</v>
      </c>
      <c r="B273" s="2" t="s">
        <v>1022</v>
      </c>
      <c r="C273" s="3" t="s">
        <v>1008</v>
      </c>
      <c r="D273" s="2">
        <f t="shared" si="4"/>
        <v>0</v>
      </c>
    </row>
    <row r="274" spans="1:4" x14ac:dyDescent="0.3">
      <c r="A274" s="3" t="s">
        <v>279</v>
      </c>
      <c r="B274" s="2" t="s">
        <v>1027</v>
      </c>
      <c r="C274" s="3" t="s">
        <v>1008</v>
      </c>
      <c r="D274" s="2">
        <f t="shared" si="4"/>
        <v>30000</v>
      </c>
    </row>
    <row r="275" spans="1:4" x14ac:dyDescent="0.3">
      <c r="A275" s="3" t="s">
        <v>280</v>
      </c>
      <c r="B275" s="2" t="s">
        <v>1058</v>
      </c>
      <c r="C275" s="3" t="s">
        <v>1012</v>
      </c>
      <c r="D275" s="2">
        <f t="shared" si="4"/>
        <v>500</v>
      </c>
    </row>
    <row r="276" spans="1:4" x14ac:dyDescent="0.3">
      <c r="A276" s="3" t="s">
        <v>281</v>
      </c>
      <c r="B276" s="2" t="s">
        <v>1047</v>
      </c>
      <c r="C276" s="3" t="s">
        <v>1010</v>
      </c>
      <c r="D276" s="2">
        <f t="shared" si="4"/>
        <v>500</v>
      </c>
    </row>
    <row r="277" spans="1:4" x14ac:dyDescent="0.3">
      <c r="A277" s="3" t="s">
        <v>282</v>
      </c>
      <c r="B277" s="2" t="s">
        <v>1083</v>
      </c>
      <c r="C277" s="3" t="s">
        <v>1011</v>
      </c>
      <c r="D277" s="2">
        <f t="shared" si="4"/>
        <v>3000</v>
      </c>
    </row>
    <row r="278" spans="1:4" x14ac:dyDescent="0.3">
      <c r="A278" s="3" t="s">
        <v>283</v>
      </c>
      <c r="B278" s="2" t="s">
        <v>1059</v>
      </c>
      <c r="C278" s="3" t="s">
        <v>1012</v>
      </c>
      <c r="D278" s="2">
        <f t="shared" si="4"/>
        <v>200</v>
      </c>
    </row>
    <row r="279" spans="1:4" x14ac:dyDescent="0.3">
      <c r="A279" s="3" t="s">
        <v>284</v>
      </c>
      <c r="B279" s="2" t="s">
        <v>1045</v>
      </c>
      <c r="C279" s="3" t="s">
        <v>1010</v>
      </c>
      <c r="D279" s="2">
        <f t="shared" si="4"/>
        <v>100</v>
      </c>
    </row>
    <row r="280" spans="1:4" x14ac:dyDescent="0.3">
      <c r="A280" s="3" t="s">
        <v>285</v>
      </c>
      <c r="B280" s="2" t="s">
        <v>1064</v>
      </c>
      <c r="C280" s="3" t="s">
        <v>1009</v>
      </c>
      <c r="D280" s="2">
        <f t="shared" si="4"/>
        <v>15000</v>
      </c>
    </row>
    <row r="281" spans="1:4" x14ac:dyDescent="0.3">
      <c r="A281" s="3" t="s">
        <v>286</v>
      </c>
      <c r="B281" s="2" t="s">
        <v>1073</v>
      </c>
      <c r="C281" s="3" t="s">
        <v>1009</v>
      </c>
      <c r="D281" s="2">
        <f t="shared" si="4"/>
        <v>100</v>
      </c>
    </row>
    <row r="282" spans="1:4" x14ac:dyDescent="0.3">
      <c r="A282" s="3" t="s">
        <v>287</v>
      </c>
      <c r="B282" s="2" t="s">
        <v>1060</v>
      </c>
      <c r="C282" s="3" t="s">
        <v>1012</v>
      </c>
      <c r="D282" s="2">
        <f t="shared" si="4"/>
        <v>1500</v>
      </c>
    </row>
    <row r="283" spans="1:4" x14ac:dyDescent="0.3">
      <c r="A283" s="3" t="s">
        <v>288</v>
      </c>
      <c r="B283" s="2" t="s">
        <v>1060</v>
      </c>
      <c r="C283" s="3" t="s">
        <v>1012</v>
      </c>
      <c r="D283" s="2">
        <f t="shared" si="4"/>
        <v>1500</v>
      </c>
    </row>
    <row r="284" spans="1:4" x14ac:dyDescent="0.3">
      <c r="A284" s="3" t="s">
        <v>289</v>
      </c>
      <c r="B284" s="2" t="s">
        <v>1034</v>
      </c>
      <c r="C284" s="3" t="s">
        <v>1008</v>
      </c>
      <c r="D284" s="2">
        <f t="shared" si="4"/>
        <v>50000</v>
      </c>
    </row>
    <row r="285" spans="1:4" x14ac:dyDescent="0.3">
      <c r="A285" s="3" t="s">
        <v>290</v>
      </c>
      <c r="B285" s="2" t="s">
        <v>1044</v>
      </c>
      <c r="C285" s="3" t="s">
        <v>1010</v>
      </c>
      <c r="D285" s="2">
        <f t="shared" si="4"/>
        <v>100</v>
      </c>
    </row>
    <row r="286" spans="1:4" x14ac:dyDescent="0.3">
      <c r="A286" s="3" t="s">
        <v>291</v>
      </c>
      <c r="B286" s="2" t="s">
        <v>1044</v>
      </c>
      <c r="C286" s="3" t="s">
        <v>1010</v>
      </c>
      <c r="D286" s="2">
        <f t="shared" si="4"/>
        <v>100</v>
      </c>
    </row>
    <row r="287" spans="1:4" x14ac:dyDescent="0.3">
      <c r="A287" s="3" t="s">
        <v>292</v>
      </c>
      <c r="B287" s="2" t="s">
        <v>1041</v>
      </c>
      <c r="C287" s="3" t="s">
        <v>1007</v>
      </c>
      <c r="D287" s="2">
        <f t="shared" si="4"/>
        <v>2000</v>
      </c>
    </row>
    <row r="288" spans="1:4" x14ac:dyDescent="0.3">
      <c r="A288" s="3" t="s">
        <v>293</v>
      </c>
      <c r="B288" s="2" t="s">
        <v>1086</v>
      </c>
      <c r="C288" s="3" t="s">
        <v>1011</v>
      </c>
      <c r="D288" s="2">
        <f t="shared" si="4"/>
        <v>4500</v>
      </c>
    </row>
    <row r="289" spans="1:4" x14ac:dyDescent="0.3">
      <c r="A289" s="3" t="s">
        <v>294</v>
      </c>
      <c r="B289" s="2" t="s">
        <v>1027</v>
      </c>
      <c r="C289" s="3" t="s">
        <v>1008</v>
      </c>
      <c r="D289" s="2">
        <f t="shared" si="4"/>
        <v>30000</v>
      </c>
    </row>
    <row r="290" spans="1:4" x14ac:dyDescent="0.3">
      <c r="A290" s="3" t="s">
        <v>295</v>
      </c>
      <c r="B290" s="2" t="s">
        <v>1036</v>
      </c>
      <c r="C290" s="3" t="s">
        <v>1007</v>
      </c>
      <c r="D290" s="2">
        <f t="shared" si="4"/>
        <v>8000</v>
      </c>
    </row>
    <row r="291" spans="1:4" x14ac:dyDescent="0.3">
      <c r="A291" s="3" t="s">
        <v>296</v>
      </c>
      <c r="B291" s="2" t="s">
        <v>1052</v>
      </c>
      <c r="C291" s="3" t="s">
        <v>1010</v>
      </c>
      <c r="D291" s="2">
        <f t="shared" si="4"/>
        <v>100</v>
      </c>
    </row>
    <row r="292" spans="1:4" x14ac:dyDescent="0.3">
      <c r="A292" s="3" t="s">
        <v>297</v>
      </c>
      <c r="B292" s="2" t="s">
        <v>1077</v>
      </c>
      <c r="C292" s="3" t="s">
        <v>1011</v>
      </c>
      <c r="D292" s="2">
        <f t="shared" si="4"/>
        <v>5000</v>
      </c>
    </row>
    <row r="293" spans="1:4" x14ac:dyDescent="0.3">
      <c r="A293" s="3" t="s">
        <v>298</v>
      </c>
      <c r="B293" s="2" t="s">
        <v>1031</v>
      </c>
      <c r="C293" s="3" t="s">
        <v>1008</v>
      </c>
      <c r="D293" s="2">
        <f t="shared" si="4"/>
        <v>40000</v>
      </c>
    </row>
    <row r="294" spans="1:4" x14ac:dyDescent="0.3">
      <c r="A294" s="3" t="s">
        <v>299</v>
      </c>
      <c r="B294" s="2" t="s">
        <v>1041</v>
      </c>
      <c r="C294" s="3" t="s">
        <v>1007</v>
      </c>
      <c r="D294" s="2">
        <f t="shared" si="4"/>
        <v>2000</v>
      </c>
    </row>
    <row r="295" spans="1:4" x14ac:dyDescent="0.3">
      <c r="A295" s="3" t="s">
        <v>300</v>
      </c>
      <c r="B295" s="2" t="s">
        <v>1079</v>
      </c>
      <c r="C295" s="3" t="s">
        <v>1011</v>
      </c>
      <c r="D295" s="2">
        <f t="shared" si="4"/>
        <v>5000</v>
      </c>
    </row>
    <row r="296" spans="1:4" x14ac:dyDescent="0.3">
      <c r="A296" s="3" t="s">
        <v>301</v>
      </c>
      <c r="B296" s="2" t="s">
        <v>1040</v>
      </c>
      <c r="C296" s="3" t="s">
        <v>1007</v>
      </c>
      <c r="D296" s="2">
        <f t="shared" si="4"/>
        <v>5000</v>
      </c>
    </row>
    <row r="297" spans="1:4" x14ac:dyDescent="0.3">
      <c r="A297" s="3" t="s">
        <v>302</v>
      </c>
      <c r="B297" s="2" t="s">
        <v>1027</v>
      </c>
      <c r="C297" s="3" t="s">
        <v>1008</v>
      </c>
      <c r="D297" s="2">
        <f t="shared" si="4"/>
        <v>30000</v>
      </c>
    </row>
    <row r="298" spans="1:4" x14ac:dyDescent="0.3">
      <c r="A298" s="3" t="s">
        <v>303</v>
      </c>
      <c r="B298" s="2" t="s">
        <v>1018</v>
      </c>
      <c r="C298" s="3" t="s">
        <v>1012</v>
      </c>
      <c r="D298" s="2">
        <f t="shared" si="4"/>
        <v>3000</v>
      </c>
    </row>
    <row r="299" spans="1:4" x14ac:dyDescent="0.3">
      <c r="A299" s="3" t="s">
        <v>304</v>
      </c>
      <c r="B299" s="2" t="s">
        <v>1037</v>
      </c>
      <c r="C299" s="3" t="s">
        <v>1007</v>
      </c>
      <c r="D299" s="2">
        <f t="shared" si="4"/>
        <v>10000</v>
      </c>
    </row>
    <row r="300" spans="1:4" x14ac:dyDescent="0.3">
      <c r="A300" s="3" t="s">
        <v>305</v>
      </c>
      <c r="B300" s="2" t="s">
        <v>1041</v>
      </c>
      <c r="C300" s="3" t="s">
        <v>1007</v>
      </c>
      <c r="D300" s="2">
        <f t="shared" si="4"/>
        <v>2000</v>
      </c>
    </row>
    <row r="301" spans="1:4" x14ac:dyDescent="0.3">
      <c r="A301" s="3" t="s">
        <v>306</v>
      </c>
      <c r="B301" s="2" t="s">
        <v>1081</v>
      </c>
      <c r="C301" s="3" t="s">
        <v>1011</v>
      </c>
      <c r="D301" s="2">
        <f t="shared" si="4"/>
        <v>1000</v>
      </c>
    </row>
    <row r="302" spans="1:4" x14ac:dyDescent="0.3">
      <c r="A302" s="3" t="s">
        <v>307</v>
      </c>
      <c r="B302" s="2" t="s">
        <v>1060</v>
      </c>
      <c r="C302" s="3" t="s">
        <v>1012</v>
      </c>
      <c r="D302" s="2">
        <f t="shared" si="4"/>
        <v>1500</v>
      </c>
    </row>
    <row r="303" spans="1:4" x14ac:dyDescent="0.3">
      <c r="A303" s="3" t="s">
        <v>308</v>
      </c>
      <c r="B303" s="2" t="s">
        <v>1028</v>
      </c>
      <c r="C303" s="3" t="s">
        <v>1008</v>
      </c>
      <c r="D303" s="2">
        <f t="shared" si="4"/>
        <v>15000</v>
      </c>
    </row>
    <row r="304" spans="1:4" x14ac:dyDescent="0.3">
      <c r="A304" s="3" t="s">
        <v>309</v>
      </c>
      <c r="B304" s="2" t="s">
        <v>1039</v>
      </c>
      <c r="C304" s="3" t="s">
        <v>1007</v>
      </c>
      <c r="D304" s="2">
        <f t="shared" si="4"/>
        <v>12000</v>
      </c>
    </row>
    <row r="305" spans="1:4" x14ac:dyDescent="0.3">
      <c r="A305" s="3" t="s">
        <v>310</v>
      </c>
      <c r="B305" s="2" t="s">
        <v>1029</v>
      </c>
      <c r="C305" s="3" t="s">
        <v>1008</v>
      </c>
      <c r="D305" s="2">
        <f t="shared" si="4"/>
        <v>3000</v>
      </c>
    </row>
    <row r="306" spans="1:4" x14ac:dyDescent="0.3">
      <c r="A306" s="3" t="s">
        <v>311</v>
      </c>
      <c r="B306" s="2" t="s">
        <v>1043</v>
      </c>
      <c r="C306" s="3" t="s">
        <v>1010</v>
      </c>
      <c r="D306" s="2">
        <f t="shared" si="4"/>
        <v>50</v>
      </c>
    </row>
    <row r="307" spans="1:4" x14ac:dyDescent="0.3">
      <c r="A307" s="3" t="s">
        <v>312</v>
      </c>
      <c r="B307" s="2" t="s">
        <v>1029</v>
      </c>
      <c r="C307" s="3" t="s">
        <v>1008</v>
      </c>
      <c r="D307" s="2">
        <f t="shared" si="4"/>
        <v>3000</v>
      </c>
    </row>
    <row r="308" spans="1:4" x14ac:dyDescent="0.3">
      <c r="A308" s="3" t="s">
        <v>313</v>
      </c>
      <c r="B308" s="2" t="s">
        <v>1054</v>
      </c>
      <c r="C308" s="3" t="s">
        <v>1010</v>
      </c>
      <c r="D308" s="2">
        <f t="shared" si="4"/>
        <v>30</v>
      </c>
    </row>
    <row r="309" spans="1:4" x14ac:dyDescent="0.3">
      <c r="A309" s="3" t="s">
        <v>314</v>
      </c>
      <c r="B309" s="2" t="s">
        <v>1084</v>
      </c>
      <c r="C309" s="3" t="s">
        <v>1011</v>
      </c>
      <c r="D309" s="2">
        <f t="shared" si="4"/>
        <v>2000</v>
      </c>
    </row>
    <row r="310" spans="1:4" x14ac:dyDescent="0.3">
      <c r="A310" s="3" t="s">
        <v>315</v>
      </c>
      <c r="B310" s="2" t="s">
        <v>1087</v>
      </c>
      <c r="C310" s="3" t="s">
        <v>1011</v>
      </c>
      <c r="D310" s="2">
        <f t="shared" si="4"/>
        <v>5000</v>
      </c>
    </row>
    <row r="311" spans="1:4" x14ac:dyDescent="0.3">
      <c r="A311" s="3" t="s">
        <v>316</v>
      </c>
      <c r="B311" s="2" t="s">
        <v>1029</v>
      </c>
      <c r="C311" s="3" t="s">
        <v>1008</v>
      </c>
      <c r="D311" s="2">
        <f t="shared" si="4"/>
        <v>3000</v>
      </c>
    </row>
    <row r="312" spans="1:4" x14ac:dyDescent="0.3">
      <c r="A312" s="3" t="s">
        <v>317</v>
      </c>
      <c r="B312" s="2" t="s">
        <v>1032</v>
      </c>
      <c r="C312" s="3" t="s">
        <v>1008</v>
      </c>
      <c r="D312" s="2">
        <f t="shared" si="4"/>
        <v>2000</v>
      </c>
    </row>
    <row r="313" spans="1:4" x14ac:dyDescent="0.3">
      <c r="A313" s="3" t="s">
        <v>318</v>
      </c>
      <c r="B313" s="2" t="s">
        <v>1053</v>
      </c>
      <c r="C313" s="3" t="s">
        <v>1010</v>
      </c>
      <c r="D313" s="2">
        <f t="shared" si="4"/>
        <v>10</v>
      </c>
    </row>
    <row r="314" spans="1:4" x14ac:dyDescent="0.3">
      <c r="A314" s="3" t="s">
        <v>319</v>
      </c>
      <c r="B314" s="2" t="s">
        <v>1073</v>
      </c>
      <c r="C314" s="3" t="s">
        <v>1009</v>
      </c>
      <c r="D314" s="2">
        <f t="shared" si="4"/>
        <v>100</v>
      </c>
    </row>
    <row r="315" spans="1:4" x14ac:dyDescent="0.3">
      <c r="A315" s="3" t="s">
        <v>320</v>
      </c>
      <c r="B315" s="2" t="s">
        <v>1050</v>
      </c>
      <c r="C315" s="3" t="s">
        <v>1010</v>
      </c>
      <c r="D315" s="2">
        <f t="shared" si="4"/>
        <v>30</v>
      </c>
    </row>
    <row r="316" spans="1:4" x14ac:dyDescent="0.3">
      <c r="A316" s="3" t="s">
        <v>321</v>
      </c>
      <c r="B316" s="2" t="s">
        <v>1055</v>
      </c>
      <c r="C316" s="3" t="s">
        <v>1010</v>
      </c>
      <c r="D316" s="2">
        <f t="shared" si="4"/>
        <v>50</v>
      </c>
    </row>
    <row r="317" spans="1:4" x14ac:dyDescent="0.3">
      <c r="A317" s="3" t="s">
        <v>322</v>
      </c>
      <c r="B317" s="2" t="s">
        <v>1080</v>
      </c>
      <c r="C317" s="3" t="s">
        <v>1011</v>
      </c>
      <c r="D317" s="2">
        <f t="shared" si="4"/>
        <v>2500</v>
      </c>
    </row>
    <row r="318" spans="1:4" x14ac:dyDescent="0.3">
      <c r="A318" s="3" t="s">
        <v>323</v>
      </c>
      <c r="B318" s="2" t="s">
        <v>1057</v>
      </c>
      <c r="C318" s="3" t="s">
        <v>1012</v>
      </c>
      <c r="D318" s="2">
        <f t="shared" si="4"/>
        <v>500</v>
      </c>
    </row>
    <row r="319" spans="1:4" x14ac:dyDescent="0.3">
      <c r="A319" s="3" t="s">
        <v>324</v>
      </c>
      <c r="B319" s="2" t="s">
        <v>1085</v>
      </c>
      <c r="C319" s="3" t="s">
        <v>1011</v>
      </c>
      <c r="D319" s="2">
        <f t="shared" si="4"/>
        <v>1500</v>
      </c>
    </row>
    <row r="320" spans="1:4" x14ac:dyDescent="0.3">
      <c r="A320" s="3" t="s">
        <v>325</v>
      </c>
      <c r="B320" s="2" t="s">
        <v>1034</v>
      </c>
      <c r="C320" s="3" t="s">
        <v>1008</v>
      </c>
      <c r="D320" s="2">
        <f t="shared" si="4"/>
        <v>50000</v>
      </c>
    </row>
    <row r="321" spans="1:4" x14ac:dyDescent="0.3">
      <c r="A321" s="3" t="s">
        <v>326</v>
      </c>
      <c r="B321" s="2" t="s">
        <v>1080</v>
      </c>
      <c r="C321" s="3" t="s">
        <v>1011</v>
      </c>
      <c r="D321" s="2">
        <f t="shared" si="4"/>
        <v>2500</v>
      </c>
    </row>
    <row r="322" spans="1:4" x14ac:dyDescent="0.3">
      <c r="A322" s="3" t="s">
        <v>327</v>
      </c>
      <c r="B322" s="2" t="s">
        <v>1083</v>
      </c>
      <c r="C322" s="3" t="s">
        <v>1011</v>
      </c>
      <c r="D322" s="2">
        <f t="shared" si="4"/>
        <v>3000</v>
      </c>
    </row>
    <row r="323" spans="1:4" x14ac:dyDescent="0.3">
      <c r="A323" s="3" t="s">
        <v>328</v>
      </c>
      <c r="B323" s="2" t="s">
        <v>1054</v>
      </c>
      <c r="C323" s="3" t="s">
        <v>1010</v>
      </c>
      <c r="D323" s="2">
        <f t="shared" ref="D323:D386" si="5">_xlfn.XLOOKUP(B323, $H$11:$H$24, $I$11:$I$24, _xlfn.XLOOKUP(B323, $J$11:$J$24, $K$11:$K$24,_xlfn.XLOOKUP(B323, $L$11:$L$23,$M$11:$M$23,_xlfn.XLOOKUP(B323, $N$11:$N$18,$O$11:$O$18,_xlfn.XLOOKUP(B323, $P$11:$P$26,$Q$11:$Q$26,_xlfn.XLOOKUP(B323, $R$11:$R$21,$S$11:$S$21,0))))))</f>
        <v>30</v>
      </c>
    </row>
    <row r="324" spans="1:4" x14ac:dyDescent="0.3">
      <c r="A324" s="3" t="s">
        <v>329</v>
      </c>
      <c r="B324" s="2" t="s">
        <v>1038</v>
      </c>
      <c r="C324" s="3" t="s">
        <v>1007</v>
      </c>
      <c r="D324" s="2">
        <f t="shared" si="5"/>
        <v>5000</v>
      </c>
    </row>
    <row r="325" spans="1:4" x14ac:dyDescent="0.3">
      <c r="A325" s="3" t="s">
        <v>330</v>
      </c>
      <c r="B325" s="2" t="s">
        <v>1043</v>
      </c>
      <c r="C325" s="3" t="s">
        <v>1010</v>
      </c>
      <c r="D325" s="2">
        <f t="shared" si="5"/>
        <v>50</v>
      </c>
    </row>
    <row r="326" spans="1:4" x14ac:dyDescent="0.3">
      <c r="A326" s="3" t="s">
        <v>331</v>
      </c>
      <c r="B326" s="2" t="s">
        <v>1027</v>
      </c>
      <c r="C326" s="3" t="s">
        <v>1008</v>
      </c>
      <c r="D326" s="2">
        <f t="shared" si="5"/>
        <v>30000</v>
      </c>
    </row>
    <row r="327" spans="1:4" x14ac:dyDescent="0.3">
      <c r="A327" s="3" t="s">
        <v>332</v>
      </c>
      <c r="B327" s="2" t="s">
        <v>1080</v>
      </c>
      <c r="C327" s="3" t="s">
        <v>1011</v>
      </c>
      <c r="D327" s="2">
        <f t="shared" si="5"/>
        <v>2500</v>
      </c>
    </row>
    <row r="328" spans="1:4" x14ac:dyDescent="0.3">
      <c r="A328" s="3" t="s">
        <v>333</v>
      </c>
      <c r="B328" s="2" t="s">
        <v>1037</v>
      </c>
      <c r="C328" s="3" t="s">
        <v>1007</v>
      </c>
      <c r="D328" s="2">
        <f t="shared" si="5"/>
        <v>10000</v>
      </c>
    </row>
    <row r="329" spans="1:4" x14ac:dyDescent="0.3">
      <c r="A329" s="3" t="s">
        <v>334</v>
      </c>
      <c r="B329" s="2" t="s">
        <v>1086</v>
      </c>
      <c r="C329" s="3" t="s">
        <v>1011</v>
      </c>
      <c r="D329" s="2">
        <f t="shared" si="5"/>
        <v>4500</v>
      </c>
    </row>
    <row r="330" spans="1:4" x14ac:dyDescent="0.3">
      <c r="A330" s="3" t="s">
        <v>335</v>
      </c>
      <c r="B330" s="2" t="s">
        <v>1084</v>
      </c>
      <c r="C330" s="3" t="s">
        <v>1011</v>
      </c>
      <c r="D330" s="2">
        <f t="shared" si="5"/>
        <v>2000</v>
      </c>
    </row>
    <row r="331" spans="1:4" x14ac:dyDescent="0.3">
      <c r="A331" s="3" t="s">
        <v>336</v>
      </c>
      <c r="B331" s="2" t="s">
        <v>1080</v>
      </c>
      <c r="C331" s="3" t="s">
        <v>1011</v>
      </c>
      <c r="D331" s="2">
        <f t="shared" si="5"/>
        <v>2500</v>
      </c>
    </row>
    <row r="332" spans="1:4" x14ac:dyDescent="0.3">
      <c r="A332" s="3" t="s">
        <v>337</v>
      </c>
      <c r="B332" s="2" t="s">
        <v>1068</v>
      </c>
      <c r="C332" s="3" t="s">
        <v>1009</v>
      </c>
      <c r="D332" s="2">
        <f t="shared" si="5"/>
        <v>100</v>
      </c>
    </row>
    <row r="333" spans="1:4" x14ac:dyDescent="0.3">
      <c r="A333" s="3" t="s">
        <v>338</v>
      </c>
      <c r="B333" s="2" t="s">
        <v>1023</v>
      </c>
      <c r="C333" s="3" t="s">
        <v>1008</v>
      </c>
      <c r="D333" s="2">
        <f t="shared" si="5"/>
        <v>20000</v>
      </c>
    </row>
    <row r="334" spans="1:4" x14ac:dyDescent="0.3">
      <c r="A334" s="3" t="s">
        <v>339</v>
      </c>
      <c r="B334" s="2" t="s">
        <v>1047</v>
      </c>
      <c r="C334" s="3" t="s">
        <v>1010</v>
      </c>
      <c r="D334" s="2">
        <f t="shared" si="5"/>
        <v>500</v>
      </c>
    </row>
    <row r="335" spans="1:4" x14ac:dyDescent="0.3">
      <c r="A335" s="3" t="s">
        <v>340</v>
      </c>
      <c r="B335" s="2" t="s">
        <v>1063</v>
      </c>
      <c r="C335" s="3" t="s">
        <v>1009</v>
      </c>
      <c r="D335" s="2">
        <f t="shared" si="5"/>
        <v>4500</v>
      </c>
    </row>
    <row r="336" spans="1:4" x14ac:dyDescent="0.3">
      <c r="A336" s="3" t="s">
        <v>341</v>
      </c>
      <c r="B336" s="2" t="s">
        <v>1081</v>
      </c>
      <c r="C336" s="3" t="s">
        <v>1011</v>
      </c>
      <c r="D336" s="2">
        <f t="shared" si="5"/>
        <v>1000</v>
      </c>
    </row>
    <row r="337" spans="1:4" x14ac:dyDescent="0.3">
      <c r="A337" s="3" t="s">
        <v>342</v>
      </c>
      <c r="B337" s="2" t="s">
        <v>1037</v>
      </c>
      <c r="C337" s="3" t="s">
        <v>1007</v>
      </c>
      <c r="D337" s="2">
        <f t="shared" si="5"/>
        <v>10000</v>
      </c>
    </row>
    <row r="338" spans="1:4" x14ac:dyDescent="0.3">
      <c r="A338" s="3" t="s">
        <v>343</v>
      </c>
      <c r="B338" s="2" t="s">
        <v>1018</v>
      </c>
      <c r="C338" s="3" t="s">
        <v>1012</v>
      </c>
      <c r="D338" s="2">
        <f t="shared" si="5"/>
        <v>3000</v>
      </c>
    </row>
    <row r="339" spans="1:4" x14ac:dyDescent="0.3">
      <c r="A339" s="3" t="s">
        <v>344</v>
      </c>
      <c r="B339" s="2" t="s">
        <v>1038</v>
      </c>
      <c r="C339" s="3" t="s">
        <v>1007</v>
      </c>
      <c r="D339" s="2">
        <f t="shared" si="5"/>
        <v>5000</v>
      </c>
    </row>
    <row r="340" spans="1:4" x14ac:dyDescent="0.3">
      <c r="A340" s="3" t="s">
        <v>345</v>
      </c>
      <c r="B340" s="2" t="s">
        <v>1082</v>
      </c>
      <c r="C340" s="3" t="s">
        <v>1011</v>
      </c>
      <c r="D340" s="2">
        <f t="shared" si="5"/>
        <v>2000</v>
      </c>
    </row>
    <row r="341" spans="1:4" x14ac:dyDescent="0.3">
      <c r="A341" s="3" t="s">
        <v>346</v>
      </c>
      <c r="B341" s="2" t="s">
        <v>1066</v>
      </c>
      <c r="C341" s="3" t="s">
        <v>1009</v>
      </c>
      <c r="D341" s="2">
        <f t="shared" si="5"/>
        <v>800</v>
      </c>
    </row>
    <row r="342" spans="1:4" x14ac:dyDescent="0.3">
      <c r="A342" s="3" t="s">
        <v>347</v>
      </c>
      <c r="B342" s="2" t="s">
        <v>1035</v>
      </c>
      <c r="C342" s="3" t="s">
        <v>1007</v>
      </c>
      <c r="D342" s="2">
        <f t="shared" si="5"/>
        <v>15000</v>
      </c>
    </row>
    <row r="343" spans="1:4" x14ac:dyDescent="0.3">
      <c r="A343" s="3" t="s">
        <v>348</v>
      </c>
      <c r="B343" s="2" t="s">
        <v>1078</v>
      </c>
      <c r="C343" s="3" t="s">
        <v>1011</v>
      </c>
      <c r="D343" s="2">
        <f t="shared" si="5"/>
        <v>200</v>
      </c>
    </row>
    <row r="344" spans="1:4" x14ac:dyDescent="0.3">
      <c r="A344" s="3" t="s">
        <v>349</v>
      </c>
      <c r="B344" s="2" t="s">
        <v>1021</v>
      </c>
      <c r="C344" s="3" t="s">
        <v>1008</v>
      </c>
      <c r="D344" s="2">
        <f t="shared" si="5"/>
        <v>20000</v>
      </c>
    </row>
    <row r="345" spans="1:4" x14ac:dyDescent="0.3">
      <c r="A345" s="3" t="s">
        <v>350</v>
      </c>
      <c r="B345" s="2" t="s">
        <v>1024</v>
      </c>
      <c r="C345" s="3" t="s">
        <v>1008</v>
      </c>
      <c r="D345" s="2">
        <f t="shared" si="5"/>
        <v>150000</v>
      </c>
    </row>
    <row r="346" spans="1:4" x14ac:dyDescent="0.3">
      <c r="A346" s="3" t="s">
        <v>351</v>
      </c>
      <c r="B346" s="2" t="s">
        <v>1084</v>
      </c>
      <c r="C346" s="3" t="s">
        <v>1011</v>
      </c>
      <c r="D346" s="2">
        <f t="shared" si="5"/>
        <v>2000</v>
      </c>
    </row>
    <row r="347" spans="1:4" x14ac:dyDescent="0.3">
      <c r="A347" s="3" t="s">
        <v>352</v>
      </c>
      <c r="B347" s="2" t="s">
        <v>1060</v>
      </c>
      <c r="C347" s="3" t="s">
        <v>1012</v>
      </c>
      <c r="D347" s="2">
        <f t="shared" si="5"/>
        <v>1500</v>
      </c>
    </row>
    <row r="348" spans="1:4" x14ac:dyDescent="0.3">
      <c r="A348" s="3" t="s">
        <v>353</v>
      </c>
      <c r="B348" s="2" t="s">
        <v>1058</v>
      </c>
      <c r="C348" s="3" t="s">
        <v>1012</v>
      </c>
      <c r="D348" s="2">
        <f t="shared" si="5"/>
        <v>500</v>
      </c>
    </row>
    <row r="349" spans="1:4" x14ac:dyDescent="0.3">
      <c r="A349" s="3" t="s">
        <v>354</v>
      </c>
      <c r="B349" s="2" t="s">
        <v>1072</v>
      </c>
      <c r="C349" s="3" t="s">
        <v>1009</v>
      </c>
      <c r="D349" s="2">
        <f t="shared" si="5"/>
        <v>50</v>
      </c>
    </row>
    <row r="350" spans="1:4" x14ac:dyDescent="0.3">
      <c r="A350" s="3" t="s">
        <v>355</v>
      </c>
      <c r="B350" s="2" t="s">
        <v>1082</v>
      </c>
      <c r="C350" s="3" t="s">
        <v>1011</v>
      </c>
      <c r="D350" s="2">
        <f t="shared" si="5"/>
        <v>2000</v>
      </c>
    </row>
    <row r="351" spans="1:4" x14ac:dyDescent="0.3">
      <c r="A351" s="3" t="s">
        <v>356</v>
      </c>
      <c r="B351" s="2" t="s">
        <v>1057</v>
      </c>
      <c r="C351" s="3" t="s">
        <v>1012</v>
      </c>
      <c r="D351" s="2">
        <f t="shared" si="5"/>
        <v>500</v>
      </c>
    </row>
    <row r="352" spans="1:4" x14ac:dyDescent="0.3">
      <c r="A352" s="3" t="s">
        <v>357</v>
      </c>
      <c r="B352" s="2" t="s">
        <v>1030</v>
      </c>
      <c r="C352" s="3" t="s">
        <v>1008</v>
      </c>
      <c r="D352" s="2">
        <f t="shared" si="5"/>
        <v>70000</v>
      </c>
    </row>
    <row r="353" spans="1:4" x14ac:dyDescent="0.3">
      <c r="A353" s="3" t="s">
        <v>358</v>
      </c>
      <c r="B353" s="2" t="s">
        <v>1053</v>
      </c>
      <c r="C353" s="3" t="s">
        <v>1010</v>
      </c>
      <c r="D353" s="2">
        <f t="shared" si="5"/>
        <v>10</v>
      </c>
    </row>
    <row r="354" spans="1:4" x14ac:dyDescent="0.3">
      <c r="A354" s="3" t="s">
        <v>359</v>
      </c>
      <c r="B354" s="2" t="s">
        <v>1045</v>
      </c>
      <c r="C354" s="3" t="s">
        <v>1010</v>
      </c>
      <c r="D354" s="2">
        <f t="shared" si="5"/>
        <v>100</v>
      </c>
    </row>
    <row r="355" spans="1:4" x14ac:dyDescent="0.3">
      <c r="A355" s="3" t="s">
        <v>360</v>
      </c>
      <c r="B355" s="2" t="s">
        <v>1051</v>
      </c>
      <c r="C355" s="3" t="s">
        <v>1010</v>
      </c>
      <c r="D355" s="2">
        <f t="shared" si="5"/>
        <v>50</v>
      </c>
    </row>
    <row r="356" spans="1:4" x14ac:dyDescent="0.3">
      <c r="A356" s="3" t="s">
        <v>361</v>
      </c>
      <c r="B356" s="2" t="s">
        <v>1043</v>
      </c>
      <c r="C356" s="3" t="s">
        <v>1010</v>
      </c>
      <c r="D356" s="2">
        <f t="shared" si="5"/>
        <v>50</v>
      </c>
    </row>
    <row r="357" spans="1:4" x14ac:dyDescent="0.3">
      <c r="A357" s="3" t="s">
        <v>362</v>
      </c>
      <c r="B357" s="2" t="s">
        <v>1059</v>
      </c>
      <c r="C357" s="3" t="s">
        <v>1012</v>
      </c>
      <c r="D357" s="2">
        <f t="shared" si="5"/>
        <v>200</v>
      </c>
    </row>
    <row r="358" spans="1:4" x14ac:dyDescent="0.3">
      <c r="A358" s="3" t="s">
        <v>363</v>
      </c>
      <c r="B358" s="2" t="s">
        <v>1046</v>
      </c>
      <c r="C358" s="3" t="s">
        <v>1010</v>
      </c>
      <c r="D358" s="2">
        <f t="shared" si="5"/>
        <v>100</v>
      </c>
    </row>
    <row r="359" spans="1:4" x14ac:dyDescent="0.3">
      <c r="A359" s="3" t="s">
        <v>364</v>
      </c>
      <c r="B359" s="2" t="s">
        <v>1044</v>
      </c>
      <c r="C359" s="3" t="s">
        <v>1010</v>
      </c>
      <c r="D359" s="2">
        <f t="shared" si="5"/>
        <v>100</v>
      </c>
    </row>
    <row r="360" spans="1:4" x14ac:dyDescent="0.3">
      <c r="A360" s="3" t="s">
        <v>365</v>
      </c>
      <c r="B360" s="2" t="s">
        <v>1047</v>
      </c>
      <c r="C360" s="3" t="s">
        <v>1010</v>
      </c>
      <c r="D360" s="2">
        <f t="shared" si="5"/>
        <v>500</v>
      </c>
    </row>
    <row r="361" spans="1:4" x14ac:dyDescent="0.3">
      <c r="A361" s="3" t="s">
        <v>366</v>
      </c>
      <c r="B361" s="2" t="s">
        <v>1035</v>
      </c>
      <c r="C361" s="3" t="s">
        <v>1007</v>
      </c>
      <c r="D361" s="2">
        <f t="shared" si="5"/>
        <v>15000</v>
      </c>
    </row>
    <row r="362" spans="1:4" x14ac:dyDescent="0.3">
      <c r="A362" s="3" t="s">
        <v>367</v>
      </c>
      <c r="B362" s="2" t="s">
        <v>1074</v>
      </c>
      <c r="C362" s="3" t="s">
        <v>1009</v>
      </c>
      <c r="D362" s="2">
        <f t="shared" si="5"/>
        <v>500</v>
      </c>
    </row>
    <row r="363" spans="1:4" x14ac:dyDescent="0.3">
      <c r="A363" s="3" t="s">
        <v>368</v>
      </c>
      <c r="B363" s="2" t="s">
        <v>1079</v>
      </c>
      <c r="C363" s="3" t="s">
        <v>1011</v>
      </c>
      <c r="D363" s="2">
        <f t="shared" si="5"/>
        <v>5000</v>
      </c>
    </row>
    <row r="364" spans="1:4" x14ac:dyDescent="0.3">
      <c r="A364" s="3" t="s">
        <v>369</v>
      </c>
      <c r="B364" s="2" t="s">
        <v>1029</v>
      </c>
      <c r="C364" s="3" t="s">
        <v>1008</v>
      </c>
      <c r="D364" s="2">
        <f t="shared" si="5"/>
        <v>3000</v>
      </c>
    </row>
    <row r="365" spans="1:4" x14ac:dyDescent="0.3">
      <c r="A365" s="3" t="s">
        <v>370</v>
      </c>
      <c r="B365" s="2" t="s">
        <v>1040</v>
      </c>
      <c r="C365" s="3" t="s">
        <v>1007</v>
      </c>
      <c r="D365" s="2">
        <f t="shared" si="5"/>
        <v>5000</v>
      </c>
    </row>
    <row r="366" spans="1:4" x14ac:dyDescent="0.3">
      <c r="A366" s="3" t="s">
        <v>371</v>
      </c>
      <c r="B366" s="2" t="s">
        <v>1046</v>
      </c>
      <c r="C366" s="3" t="s">
        <v>1010</v>
      </c>
      <c r="D366" s="2">
        <f t="shared" si="5"/>
        <v>100</v>
      </c>
    </row>
    <row r="367" spans="1:4" x14ac:dyDescent="0.3">
      <c r="A367" s="3" t="s">
        <v>372</v>
      </c>
      <c r="B367" s="2" t="s">
        <v>1073</v>
      </c>
      <c r="C367" s="3" t="s">
        <v>1009</v>
      </c>
      <c r="D367" s="2">
        <f t="shared" si="5"/>
        <v>100</v>
      </c>
    </row>
    <row r="368" spans="1:4" x14ac:dyDescent="0.3">
      <c r="A368" s="3" t="s">
        <v>373</v>
      </c>
      <c r="B368" s="2" t="s">
        <v>1079</v>
      </c>
      <c r="C368" s="3" t="s">
        <v>1011</v>
      </c>
      <c r="D368" s="2">
        <f t="shared" si="5"/>
        <v>5000</v>
      </c>
    </row>
    <row r="369" spans="1:4" x14ac:dyDescent="0.3">
      <c r="A369" s="3" t="s">
        <v>374</v>
      </c>
      <c r="B369" s="2" t="s">
        <v>1045</v>
      </c>
      <c r="C369" s="3" t="s">
        <v>1010</v>
      </c>
      <c r="D369" s="2">
        <f t="shared" si="5"/>
        <v>100</v>
      </c>
    </row>
    <row r="370" spans="1:4" x14ac:dyDescent="0.3">
      <c r="A370" s="3" t="s">
        <v>375</v>
      </c>
      <c r="B370" s="2" t="s">
        <v>1049</v>
      </c>
      <c r="C370" s="3" t="s">
        <v>1010</v>
      </c>
      <c r="D370" s="2">
        <f t="shared" si="5"/>
        <v>20</v>
      </c>
    </row>
    <row r="371" spans="1:4" x14ac:dyDescent="0.3">
      <c r="A371" s="3" t="s">
        <v>376</v>
      </c>
      <c r="B371" s="2" t="s">
        <v>1051</v>
      </c>
      <c r="C371" s="3" t="s">
        <v>1010</v>
      </c>
      <c r="D371" s="2">
        <f t="shared" si="5"/>
        <v>50</v>
      </c>
    </row>
    <row r="372" spans="1:4" x14ac:dyDescent="0.3">
      <c r="A372" s="3" t="s">
        <v>377</v>
      </c>
      <c r="B372" s="2" t="s">
        <v>1070</v>
      </c>
      <c r="C372" s="3" t="s">
        <v>1009</v>
      </c>
      <c r="D372" s="2">
        <f t="shared" si="5"/>
        <v>1500</v>
      </c>
    </row>
    <row r="373" spans="1:4" x14ac:dyDescent="0.3">
      <c r="A373" s="3" t="s">
        <v>378</v>
      </c>
      <c r="B373" s="2" t="s">
        <v>1038</v>
      </c>
      <c r="C373" s="3" t="s">
        <v>1007</v>
      </c>
      <c r="D373" s="2">
        <f t="shared" si="5"/>
        <v>5000</v>
      </c>
    </row>
    <row r="374" spans="1:4" x14ac:dyDescent="0.3">
      <c r="A374" s="3" t="s">
        <v>379</v>
      </c>
      <c r="B374" s="2" t="s">
        <v>1056</v>
      </c>
      <c r="C374" s="3" t="s">
        <v>1012</v>
      </c>
      <c r="D374" s="2">
        <f t="shared" si="5"/>
        <v>100</v>
      </c>
    </row>
    <row r="375" spans="1:4" x14ac:dyDescent="0.3">
      <c r="A375" s="3" t="s">
        <v>380</v>
      </c>
      <c r="B375" s="2" t="s">
        <v>1061</v>
      </c>
      <c r="C375" s="3" t="s">
        <v>1012</v>
      </c>
      <c r="D375" s="2">
        <f t="shared" si="5"/>
        <v>500</v>
      </c>
    </row>
    <row r="376" spans="1:4" x14ac:dyDescent="0.3">
      <c r="A376" s="3" t="s">
        <v>381</v>
      </c>
      <c r="B376" s="2" t="s">
        <v>1059</v>
      </c>
      <c r="C376" s="3" t="s">
        <v>1012</v>
      </c>
      <c r="D376" s="2">
        <f t="shared" si="5"/>
        <v>200</v>
      </c>
    </row>
    <row r="377" spans="1:4" x14ac:dyDescent="0.3">
      <c r="A377" s="3" t="s">
        <v>382</v>
      </c>
      <c r="B377" s="2" t="s">
        <v>1059</v>
      </c>
      <c r="C377" s="3" t="s">
        <v>1012</v>
      </c>
      <c r="D377" s="2">
        <f t="shared" si="5"/>
        <v>200</v>
      </c>
    </row>
    <row r="378" spans="1:4" x14ac:dyDescent="0.3">
      <c r="A378" s="3" t="s">
        <v>383</v>
      </c>
      <c r="B378" s="2" t="s">
        <v>1080</v>
      </c>
      <c r="C378" s="3" t="s">
        <v>1011</v>
      </c>
      <c r="D378" s="2">
        <f t="shared" si="5"/>
        <v>2500</v>
      </c>
    </row>
    <row r="379" spans="1:4" x14ac:dyDescent="0.3">
      <c r="A379" s="3" t="s">
        <v>384</v>
      </c>
      <c r="B379" s="2" t="s">
        <v>1063</v>
      </c>
      <c r="C379" s="3" t="s">
        <v>1009</v>
      </c>
      <c r="D379" s="2">
        <f t="shared" si="5"/>
        <v>4500</v>
      </c>
    </row>
    <row r="380" spans="1:4" x14ac:dyDescent="0.3">
      <c r="A380" s="3" t="s">
        <v>385</v>
      </c>
      <c r="B380" s="2" t="s">
        <v>1079</v>
      </c>
      <c r="C380" s="3" t="s">
        <v>1011</v>
      </c>
      <c r="D380" s="2">
        <f t="shared" si="5"/>
        <v>5000</v>
      </c>
    </row>
    <row r="381" spans="1:4" x14ac:dyDescent="0.3">
      <c r="A381" s="3" t="s">
        <v>386</v>
      </c>
      <c r="B381" s="2" t="s">
        <v>1082</v>
      </c>
      <c r="C381" s="3" t="s">
        <v>1011</v>
      </c>
      <c r="D381" s="2">
        <f t="shared" si="5"/>
        <v>2000</v>
      </c>
    </row>
    <row r="382" spans="1:4" x14ac:dyDescent="0.3">
      <c r="A382" s="3" t="s">
        <v>387</v>
      </c>
      <c r="B382" s="2" t="s">
        <v>1078</v>
      </c>
      <c r="C382" s="3" t="s">
        <v>1011</v>
      </c>
      <c r="D382" s="2">
        <f t="shared" si="5"/>
        <v>200</v>
      </c>
    </row>
    <row r="383" spans="1:4" x14ac:dyDescent="0.3">
      <c r="A383" s="3" t="s">
        <v>388</v>
      </c>
      <c r="B383" s="2" t="s">
        <v>1029</v>
      </c>
      <c r="C383" s="3" t="s">
        <v>1008</v>
      </c>
      <c r="D383" s="2">
        <f t="shared" si="5"/>
        <v>3000</v>
      </c>
    </row>
    <row r="384" spans="1:4" x14ac:dyDescent="0.3">
      <c r="A384" s="3" t="s">
        <v>389</v>
      </c>
      <c r="B384" s="2" t="s">
        <v>1035</v>
      </c>
      <c r="C384" s="3" t="s">
        <v>1007</v>
      </c>
      <c r="D384" s="2">
        <f t="shared" si="5"/>
        <v>15000</v>
      </c>
    </row>
    <row r="385" spans="1:4" x14ac:dyDescent="0.3">
      <c r="A385" s="3" t="s">
        <v>390</v>
      </c>
      <c r="B385" s="2" t="s">
        <v>1045</v>
      </c>
      <c r="C385" s="3" t="s">
        <v>1010</v>
      </c>
      <c r="D385" s="2">
        <f t="shared" si="5"/>
        <v>100</v>
      </c>
    </row>
    <row r="386" spans="1:4" x14ac:dyDescent="0.3">
      <c r="A386" s="3" t="s">
        <v>391</v>
      </c>
      <c r="B386" s="2" t="s">
        <v>1057</v>
      </c>
      <c r="C386" s="3" t="s">
        <v>1012</v>
      </c>
      <c r="D386" s="2">
        <f t="shared" si="5"/>
        <v>500</v>
      </c>
    </row>
    <row r="387" spans="1:4" x14ac:dyDescent="0.3">
      <c r="A387" s="3" t="s">
        <v>392</v>
      </c>
      <c r="B387" s="2" t="s">
        <v>1086</v>
      </c>
      <c r="C387" s="3" t="s">
        <v>1011</v>
      </c>
      <c r="D387" s="2">
        <f t="shared" ref="D387:D450" si="6">_xlfn.XLOOKUP(B387, $H$11:$H$24, $I$11:$I$24, _xlfn.XLOOKUP(B387, $J$11:$J$24, $K$11:$K$24,_xlfn.XLOOKUP(B387, $L$11:$L$23,$M$11:$M$23,_xlfn.XLOOKUP(B387, $N$11:$N$18,$O$11:$O$18,_xlfn.XLOOKUP(B387, $P$11:$P$26,$Q$11:$Q$26,_xlfn.XLOOKUP(B387, $R$11:$R$21,$S$11:$S$21,0))))))</f>
        <v>4500</v>
      </c>
    </row>
    <row r="388" spans="1:4" x14ac:dyDescent="0.3">
      <c r="A388" s="3" t="s">
        <v>393</v>
      </c>
      <c r="B388" s="2" t="s">
        <v>1055</v>
      </c>
      <c r="C388" s="3" t="s">
        <v>1010</v>
      </c>
      <c r="D388" s="2">
        <f t="shared" si="6"/>
        <v>50</v>
      </c>
    </row>
    <row r="389" spans="1:4" x14ac:dyDescent="0.3">
      <c r="A389" s="3" t="s">
        <v>394</v>
      </c>
      <c r="B389" s="2" t="s">
        <v>1044</v>
      </c>
      <c r="C389" s="3" t="s">
        <v>1010</v>
      </c>
      <c r="D389" s="2">
        <f t="shared" si="6"/>
        <v>100</v>
      </c>
    </row>
    <row r="390" spans="1:4" x14ac:dyDescent="0.3">
      <c r="A390" s="3" t="s">
        <v>395</v>
      </c>
      <c r="B390" s="2" t="s">
        <v>1042</v>
      </c>
      <c r="C390" s="3" t="s">
        <v>1007</v>
      </c>
      <c r="D390" s="2">
        <f t="shared" si="6"/>
        <v>3000</v>
      </c>
    </row>
    <row r="391" spans="1:4" x14ac:dyDescent="0.3">
      <c r="A391" s="3" t="s">
        <v>396</v>
      </c>
      <c r="B391" s="2" t="s">
        <v>1081</v>
      </c>
      <c r="C391" s="3" t="s">
        <v>1011</v>
      </c>
      <c r="D391" s="2">
        <f t="shared" si="6"/>
        <v>1000</v>
      </c>
    </row>
    <row r="392" spans="1:4" x14ac:dyDescent="0.3">
      <c r="A392" s="3" t="s">
        <v>397</v>
      </c>
      <c r="B392" s="2" t="s">
        <v>1033</v>
      </c>
      <c r="C392" s="3" t="s">
        <v>1008</v>
      </c>
      <c r="D392" s="2">
        <f t="shared" si="6"/>
        <v>4000</v>
      </c>
    </row>
    <row r="393" spans="1:4" x14ac:dyDescent="0.3">
      <c r="A393" s="3" t="s">
        <v>398</v>
      </c>
      <c r="B393" s="2" t="s">
        <v>1060</v>
      </c>
      <c r="C393" s="3" t="s">
        <v>1012</v>
      </c>
      <c r="D393" s="2">
        <f t="shared" si="6"/>
        <v>1500</v>
      </c>
    </row>
    <row r="394" spans="1:4" x14ac:dyDescent="0.3">
      <c r="A394" s="3" t="s">
        <v>399</v>
      </c>
      <c r="B394" s="2" t="s">
        <v>1048</v>
      </c>
      <c r="C394" s="3" t="s">
        <v>1010</v>
      </c>
      <c r="D394" s="2">
        <f t="shared" si="6"/>
        <v>50</v>
      </c>
    </row>
    <row r="395" spans="1:4" x14ac:dyDescent="0.3">
      <c r="A395" s="3" t="s">
        <v>400</v>
      </c>
      <c r="B395" s="2" t="s">
        <v>1047</v>
      </c>
      <c r="C395" s="3" t="s">
        <v>1010</v>
      </c>
      <c r="D395" s="2">
        <f t="shared" si="6"/>
        <v>500</v>
      </c>
    </row>
    <row r="396" spans="1:4" x14ac:dyDescent="0.3">
      <c r="A396" s="3" t="s">
        <v>401</v>
      </c>
      <c r="B396" s="2" t="s">
        <v>1077</v>
      </c>
      <c r="C396" s="3" t="s">
        <v>1011</v>
      </c>
      <c r="D396" s="2">
        <f t="shared" si="6"/>
        <v>5000</v>
      </c>
    </row>
    <row r="397" spans="1:4" x14ac:dyDescent="0.3">
      <c r="A397" s="3" t="s">
        <v>402</v>
      </c>
      <c r="B397" s="2" t="s">
        <v>1084</v>
      </c>
      <c r="C397" s="3" t="s">
        <v>1011</v>
      </c>
      <c r="D397" s="2">
        <f t="shared" si="6"/>
        <v>2000</v>
      </c>
    </row>
    <row r="398" spans="1:4" x14ac:dyDescent="0.3">
      <c r="A398" s="3" t="s">
        <v>403</v>
      </c>
      <c r="B398" s="2" t="s">
        <v>1071</v>
      </c>
      <c r="C398" s="3" t="s">
        <v>1009</v>
      </c>
      <c r="D398" s="2">
        <f t="shared" si="6"/>
        <v>200</v>
      </c>
    </row>
    <row r="399" spans="1:4" x14ac:dyDescent="0.3">
      <c r="A399" s="3" t="s">
        <v>404</v>
      </c>
      <c r="B399" s="2" t="s">
        <v>1028</v>
      </c>
      <c r="C399" s="3" t="s">
        <v>1008</v>
      </c>
      <c r="D399" s="2">
        <f t="shared" si="6"/>
        <v>15000</v>
      </c>
    </row>
    <row r="400" spans="1:4" x14ac:dyDescent="0.3">
      <c r="A400" s="3" t="s">
        <v>405</v>
      </c>
      <c r="B400" s="2" t="s">
        <v>1023</v>
      </c>
      <c r="C400" s="3" t="s">
        <v>1008</v>
      </c>
      <c r="D400" s="2">
        <f t="shared" si="6"/>
        <v>20000</v>
      </c>
    </row>
    <row r="401" spans="1:4" x14ac:dyDescent="0.3">
      <c r="A401" s="3" t="s">
        <v>406</v>
      </c>
      <c r="B401" s="2" t="s">
        <v>1046</v>
      </c>
      <c r="C401" s="3" t="s">
        <v>1010</v>
      </c>
      <c r="D401" s="2">
        <f t="shared" si="6"/>
        <v>100</v>
      </c>
    </row>
    <row r="402" spans="1:4" x14ac:dyDescent="0.3">
      <c r="A402" s="3" t="s">
        <v>407</v>
      </c>
      <c r="B402" s="2" t="s">
        <v>1039</v>
      </c>
      <c r="C402" s="3" t="s">
        <v>1007</v>
      </c>
      <c r="D402" s="2">
        <f t="shared" si="6"/>
        <v>12000</v>
      </c>
    </row>
    <row r="403" spans="1:4" x14ac:dyDescent="0.3">
      <c r="A403" s="3" t="s">
        <v>408</v>
      </c>
      <c r="B403" s="2" t="s">
        <v>1054</v>
      </c>
      <c r="C403" s="3" t="s">
        <v>1010</v>
      </c>
      <c r="D403" s="2">
        <f t="shared" si="6"/>
        <v>30</v>
      </c>
    </row>
    <row r="404" spans="1:4" x14ac:dyDescent="0.3">
      <c r="A404" s="3" t="s">
        <v>409</v>
      </c>
      <c r="B404" s="2" t="s">
        <v>1071</v>
      </c>
      <c r="C404" s="3" t="s">
        <v>1009</v>
      </c>
      <c r="D404" s="2">
        <f t="shared" si="6"/>
        <v>200</v>
      </c>
    </row>
    <row r="405" spans="1:4" x14ac:dyDescent="0.3">
      <c r="A405" s="3" t="s">
        <v>410</v>
      </c>
      <c r="B405" s="2" t="s">
        <v>1021</v>
      </c>
      <c r="C405" s="3" t="s">
        <v>1008</v>
      </c>
      <c r="D405" s="2">
        <f t="shared" si="6"/>
        <v>20000</v>
      </c>
    </row>
    <row r="406" spans="1:4" x14ac:dyDescent="0.3">
      <c r="A406" s="3" t="s">
        <v>411</v>
      </c>
      <c r="B406" s="2" t="s">
        <v>1077</v>
      </c>
      <c r="C406" s="3" t="s">
        <v>1011</v>
      </c>
      <c r="D406" s="2">
        <f t="shared" si="6"/>
        <v>5000</v>
      </c>
    </row>
    <row r="407" spans="1:4" x14ac:dyDescent="0.3">
      <c r="A407" s="3" t="s">
        <v>412</v>
      </c>
      <c r="B407" s="2" t="s">
        <v>1076</v>
      </c>
      <c r="C407" s="3" t="s">
        <v>1009</v>
      </c>
      <c r="D407" s="2">
        <f t="shared" si="6"/>
        <v>100</v>
      </c>
    </row>
    <row r="408" spans="1:4" x14ac:dyDescent="0.3">
      <c r="A408" s="3" t="s">
        <v>413</v>
      </c>
      <c r="B408" s="2" t="s">
        <v>1041</v>
      </c>
      <c r="C408" s="3" t="s">
        <v>1007</v>
      </c>
      <c r="D408" s="2">
        <f t="shared" si="6"/>
        <v>2000</v>
      </c>
    </row>
    <row r="409" spans="1:4" x14ac:dyDescent="0.3">
      <c r="A409" s="3" t="s">
        <v>414</v>
      </c>
      <c r="B409" s="2" t="s">
        <v>1081</v>
      </c>
      <c r="C409" s="3" t="s">
        <v>1011</v>
      </c>
      <c r="D409" s="2">
        <f t="shared" si="6"/>
        <v>1000</v>
      </c>
    </row>
    <row r="410" spans="1:4" x14ac:dyDescent="0.3">
      <c r="A410" s="3" t="s">
        <v>415</v>
      </c>
      <c r="B410" s="2" t="s">
        <v>1018</v>
      </c>
      <c r="C410" s="3" t="s">
        <v>1012</v>
      </c>
      <c r="D410" s="2">
        <f t="shared" si="6"/>
        <v>3000</v>
      </c>
    </row>
    <row r="411" spans="1:4" x14ac:dyDescent="0.3">
      <c r="A411" s="3" t="s">
        <v>416</v>
      </c>
      <c r="B411" s="2" t="s">
        <v>1059</v>
      </c>
      <c r="C411" s="3" t="s">
        <v>1012</v>
      </c>
      <c r="D411" s="2">
        <f t="shared" si="6"/>
        <v>200</v>
      </c>
    </row>
    <row r="412" spans="1:4" x14ac:dyDescent="0.3">
      <c r="A412" s="3" t="s">
        <v>417</v>
      </c>
      <c r="B412" s="2" t="s">
        <v>1067</v>
      </c>
      <c r="C412" s="3" t="s">
        <v>1009</v>
      </c>
      <c r="D412" s="2">
        <f t="shared" si="6"/>
        <v>100</v>
      </c>
    </row>
    <row r="413" spans="1:4" x14ac:dyDescent="0.3">
      <c r="A413" s="3" t="s">
        <v>418</v>
      </c>
      <c r="B413" s="2" t="s">
        <v>1035</v>
      </c>
      <c r="C413" s="3" t="s">
        <v>1007</v>
      </c>
      <c r="D413" s="2">
        <f t="shared" si="6"/>
        <v>15000</v>
      </c>
    </row>
    <row r="414" spans="1:4" x14ac:dyDescent="0.3">
      <c r="A414" s="3" t="s">
        <v>419</v>
      </c>
      <c r="B414" s="2" t="s">
        <v>1084</v>
      </c>
      <c r="C414" s="3" t="s">
        <v>1011</v>
      </c>
      <c r="D414" s="2">
        <f t="shared" si="6"/>
        <v>2000</v>
      </c>
    </row>
    <row r="415" spans="1:4" x14ac:dyDescent="0.3">
      <c r="A415" s="3" t="s">
        <v>420</v>
      </c>
      <c r="B415" s="2" t="s">
        <v>1059</v>
      </c>
      <c r="C415" s="3" t="s">
        <v>1012</v>
      </c>
      <c r="D415" s="2">
        <f t="shared" si="6"/>
        <v>200</v>
      </c>
    </row>
    <row r="416" spans="1:4" x14ac:dyDescent="0.3">
      <c r="A416" s="3" t="s">
        <v>421</v>
      </c>
      <c r="B416" s="2" t="s">
        <v>1067</v>
      </c>
      <c r="C416" s="3" t="s">
        <v>1009</v>
      </c>
      <c r="D416" s="2">
        <f t="shared" si="6"/>
        <v>100</v>
      </c>
    </row>
    <row r="417" spans="1:4" x14ac:dyDescent="0.3">
      <c r="A417" s="3" t="s">
        <v>422</v>
      </c>
      <c r="B417" s="2" t="s">
        <v>1038</v>
      </c>
      <c r="C417" s="3" t="s">
        <v>1007</v>
      </c>
      <c r="D417" s="2">
        <f t="shared" si="6"/>
        <v>5000</v>
      </c>
    </row>
    <row r="418" spans="1:4" x14ac:dyDescent="0.3">
      <c r="A418" s="3" t="s">
        <v>423</v>
      </c>
      <c r="B418" s="2" t="s">
        <v>1042</v>
      </c>
      <c r="C418" s="3" t="s">
        <v>1007</v>
      </c>
      <c r="D418" s="2">
        <f t="shared" si="6"/>
        <v>3000</v>
      </c>
    </row>
    <row r="419" spans="1:4" x14ac:dyDescent="0.3">
      <c r="A419" s="3" t="s">
        <v>424</v>
      </c>
      <c r="B419" s="2" t="s">
        <v>1070</v>
      </c>
      <c r="C419" s="3" t="s">
        <v>1009</v>
      </c>
      <c r="D419" s="2">
        <f t="shared" si="6"/>
        <v>1500</v>
      </c>
    </row>
    <row r="420" spans="1:4" x14ac:dyDescent="0.3">
      <c r="A420" s="3" t="s">
        <v>425</v>
      </c>
      <c r="B420" s="2" t="s">
        <v>1045</v>
      </c>
      <c r="C420" s="3" t="s">
        <v>1010</v>
      </c>
      <c r="D420" s="2">
        <f t="shared" si="6"/>
        <v>100</v>
      </c>
    </row>
    <row r="421" spans="1:4" x14ac:dyDescent="0.3">
      <c r="A421" s="3" t="s">
        <v>426</v>
      </c>
      <c r="B421" s="2" t="s">
        <v>1048</v>
      </c>
      <c r="C421" s="3" t="s">
        <v>1010</v>
      </c>
      <c r="D421" s="2">
        <f t="shared" si="6"/>
        <v>50</v>
      </c>
    </row>
    <row r="422" spans="1:4" x14ac:dyDescent="0.3">
      <c r="A422" s="3" t="s">
        <v>427</v>
      </c>
      <c r="B422" s="2" t="s">
        <v>1083</v>
      </c>
      <c r="C422" s="3" t="s">
        <v>1011</v>
      </c>
      <c r="D422" s="2">
        <f t="shared" si="6"/>
        <v>3000</v>
      </c>
    </row>
    <row r="423" spans="1:4" x14ac:dyDescent="0.3">
      <c r="A423" s="3" t="s">
        <v>428</v>
      </c>
      <c r="B423" s="2" t="s">
        <v>1055</v>
      </c>
      <c r="C423" s="3" t="s">
        <v>1010</v>
      </c>
      <c r="D423" s="2">
        <f t="shared" si="6"/>
        <v>50</v>
      </c>
    </row>
    <row r="424" spans="1:4" x14ac:dyDescent="0.3">
      <c r="A424" s="3" t="s">
        <v>429</v>
      </c>
      <c r="B424" s="2" t="s">
        <v>1018</v>
      </c>
      <c r="C424" s="3" t="s">
        <v>1012</v>
      </c>
      <c r="D424" s="2">
        <f t="shared" si="6"/>
        <v>3000</v>
      </c>
    </row>
    <row r="425" spans="1:4" x14ac:dyDescent="0.3">
      <c r="A425" s="3" t="s">
        <v>430</v>
      </c>
      <c r="B425" s="2" t="s">
        <v>1077</v>
      </c>
      <c r="C425" s="3" t="s">
        <v>1011</v>
      </c>
      <c r="D425" s="2">
        <f t="shared" si="6"/>
        <v>5000</v>
      </c>
    </row>
    <row r="426" spans="1:4" x14ac:dyDescent="0.3">
      <c r="A426" s="3" t="s">
        <v>431</v>
      </c>
      <c r="B426" s="2" t="s">
        <v>1084</v>
      </c>
      <c r="C426" s="3" t="s">
        <v>1011</v>
      </c>
      <c r="D426" s="2">
        <f t="shared" si="6"/>
        <v>2000</v>
      </c>
    </row>
    <row r="427" spans="1:4" x14ac:dyDescent="0.3">
      <c r="A427" s="3" t="s">
        <v>432</v>
      </c>
      <c r="B427" s="2" t="s">
        <v>1029</v>
      </c>
      <c r="C427" s="3" t="s">
        <v>1008</v>
      </c>
      <c r="D427" s="2">
        <f t="shared" si="6"/>
        <v>3000</v>
      </c>
    </row>
    <row r="428" spans="1:4" x14ac:dyDescent="0.3">
      <c r="A428" s="3" t="s">
        <v>433</v>
      </c>
      <c r="B428" s="2" t="s">
        <v>1044</v>
      </c>
      <c r="C428" s="3" t="s">
        <v>1010</v>
      </c>
      <c r="D428" s="2">
        <f t="shared" si="6"/>
        <v>100</v>
      </c>
    </row>
    <row r="429" spans="1:4" x14ac:dyDescent="0.3">
      <c r="A429" s="3" t="s">
        <v>434</v>
      </c>
      <c r="B429" s="2" t="s">
        <v>1032</v>
      </c>
      <c r="C429" s="3" t="s">
        <v>1008</v>
      </c>
      <c r="D429" s="2">
        <f t="shared" si="6"/>
        <v>2000</v>
      </c>
    </row>
    <row r="430" spans="1:4" x14ac:dyDescent="0.3">
      <c r="A430" s="3" t="s">
        <v>435</v>
      </c>
      <c r="B430" s="2" t="s">
        <v>1081</v>
      </c>
      <c r="C430" s="3" t="s">
        <v>1011</v>
      </c>
      <c r="D430" s="2">
        <f t="shared" si="6"/>
        <v>1000</v>
      </c>
    </row>
    <row r="431" spans="1:4" x14ac:dyDescent="0.3">
      <c r="A431" s="3" t="s">
        <v>436</v>
      </c>
      <c r="B431" s="2" t="s">
        <v>1041</v>
      </c>
      <c r="C431" s="3" t="s">
        <v>1007</v>
      </c>
      <c r="D431" s="2">
        <f t="shared" si="6"/>
        <v>2000</v>
      </c>
    </row>
    <row r="432" spans="1:4" x14ac:dyDescent="0.3">
      <c r="A432" s="3" t="s">
        <v>437</v>
      </c>
      <c r="B432" s="2" t="s">
        <v>1024</v>
      </c>
      <c r="C432" s="3" t="s">
        <v>1008</v>
      </c>
      <c r="D432" s="2">
        <f t="shared" si="6"/>
        <v>150000</v>
      </c>
    </row>
    <row r="433" spans="1:4" x14ac:dyDescent="0.3">
      <c r="A433" s="3" t="s">
        <v>438</v>
      </c>
      <c r="B433" s="2" t="s">
        <v>1038</v>
      </c>
      <c r="C433" s="3" t="s">
        <v>1007</v>
      </c>
      <c r="D433" s="2">
        <f t="shared" si="6"/>
        <v>5000</v>
      </c>
    </row>
    <row r="434" spans="1:4" x14ac:dyDescent="0.3">
      <c r="A434" s="3" t="s">
        <v>439</v>
      </c>
      <c r="B434" s="2" t="s">
        <v>1065</v>
      </c>
      <c r="C434" s="3" t="s">
        <v>1009</v>
      </c>
      <c r="D434" s="2">
        <f t="shared" si="6"/>
        <v>200</v>
      </c>
    </row>
    <row r="435" spans="1:4" x14ac:dyDescent="0.3">
      <c r="A435" s="3" t="s">
        <v>440</v>
      </c>
      <c r="B435" s="2" t="s">
        <v>1035</v>
      </c>
      <c r="C435" s="3" t="s">
        <v>1007</v>
      </c>
      <c r="D435" s="2">
        <f t="shared" si="6"/>
        <v>15000</v>
      </c>
    </row>
    <row r="436" spans="1:4" x14ac:dyDescent="0.3">
      <c r="A436" s="3" t="s">
        <v>441</v>
      </c>
      <c r="B436" s="2" t="s">
        <v>1084</v>
      </c>
      <c r="C436" s="3" t="s">
        <v>1011</v>
      </c>
      <c r="D436" s="2">
        <f t="shared" si="6"/>
        <v>2000</v>
      </c>
    </row>
    <row r="437" spans="1:4" x14ac:dyDescent="0.3">
      <c r="A437" s="3" t="s">
        <v>442</v>
      </c>
      <c r="B437" s="2" t="s">
        <v>1039</v>
      </c>
      <c r="C437" s="3" t="s">
        <v>1007</v>
      </c>
      <c r="D437" s="2">
        <f t="shared" si="6"/>
        <v>12000</v>
      </c>
    </row>
    <row r="438" spans="1:4" x14ac:dyDescent="0.3">
      <c r="A438" s="3" t="s">
        <v>443</v>
      </c>
      <c r="B438" s="2" t="s">
        <v>1030</v>
      </c>
      <c r="C438" s="3" t="s">
        <v>1008</v>
      </c>
      <c r="D438" s="2">
        <f t="shared" si="6"/>
        <v>70000</v>
      </c>
    </row>
    <row r="439" spans="1:4" x14ac:dyDescent="0.3">
      <c r="A439" s="3" t="s">
        <v>444</v>
      </c>
      <c r="B439" s="2" t="s">
        <v>1048</v>
      </c>
      <c r="C439" s="3" t="s">
        <v>1010</v>
      </c>
      <c r="D439" s="2">
        <f t="shared" si="6"/>
        <v>50</v>
      </c>
    </row>
    <row r="440" spans="1:4" x14ac:dyDescent="0.3">
      <c r="A440" s="3" t="s">
        <v>445</v>
      </c>
      <c r="B440" s="2" t="s">
        <v>1038</v>
      </c>
      <c r="C440" s="3" t="s">
        <v>1007</v>
      </c>
      <c r="D440" s="2">
        <f t="shared" si="6"/>
        <v>5000</v>
      </c>
    </row>
    <row r="441" spans="1:4" x14ac:dyDescent="0.3">
      <c r="A441" s="3" t="s">
        <v>446</v>
      </c>
      <c r="B441" s="2" t="s">
        <v>1017</v>
      </c>
      <c r="C441" s="3" t="s">
        <v>1012</v>
      </c>
      <c r="D441" s="2">
        <f t="shared" si="6"/>
        <v>200</v>
      </c>
    </row>
    <row r="442" spans="1:4" x14ac:dyDescent="0.3">
      <c r="A442" s="3" t="s">
        <v>447</v>
      </c>
      <c r="B442" s="2" t="s">
        <v>1034</v>
      </c>
      <c r="C442" s="3" t="s">
        <v>1008</v>
      </c>
      <c r="D442" s="2">
        <f t="shared" si="6"/>
        <v>50000</v>
      </c>
    </row>
    <row r="443" spans="1:4" x14ac:dyDescent="0.3">
      <c r="A443" s="3" t="s">
        <v>448</v>
      </c>
      <c r="B443" s="2" t="s">
        <v>1055</v>
      </c>
      <c r="C443" s="3" t="s">
        <v>1010</v>
      </c>
      <c r="D443" s="2">
        <f t="shared" si="6"/>
        <v>50</v>
      </c>
    </row>
    <row r="444" spans="1:4" x14ac:dyDescent="0.3">
      <c r="A444" s="3" t="s">
        <v>449</v>
      </c>
      <c r="B444" s="2" t="s">
        <v>1036</v>
      </c>
      <c r="C444" s="3" t="s">
        <v>1007</v>
      </c>
      <c r="D444" s="2">
        <f t="shared" si="6"/>
        <v>8000</v>
      </c>
    </row>
    <row r="445" spans="1:4" x14ac:dyDescent="0.3">
      <c r="A445" s="3" t="s">
        <v>450</v>
      </c>
      <c r="B445" s="2" t="s">
        <v>1025</v>
      </c>
      <c r="C445" s="3" t="s">
        <v>1008</v>
      </c>
      <c r="D445" s="2">
        <f t="shared" si="6"/>
        <v>30000</v>
      </c>
    </row>
    <row r="446" spans="1:4" x14ac:dyDescent="0.3">
      <c r="A446" s="3" t="s">
        <v>451</v>
      </c>
      <c r="B446" s="2" t="s">
        <v>1036</v>
      </c>
      <c r="C446" s="3" t="s">
        <v>1007</v>
      </c>
      <c r="D446" s="2">
        <f t="shared" si="6"/>
        <v>8000</v>
      </c>
    </row>
    <row r="447" spans="1:4" x14ac:dyDescent="0.3">
      <c r="A447" s="3" t="s">
        <v>452</v>
      </c>
      <c r="B447" s="2" t="s">
        <v>1060</v>
      </c>
      <c r="C447" s="3" t="s">
        <v>1012</v>
      </c>
      <c r="D447" s="2">
        <f t="shared" si="6"/>
        <v>1500</v>
      </c>
    </row>
    <row r="448" spans="1:4" x14ac:dyDescent="0.3">
      <c r="A448" s="3" t="s">
        <v>453</v>
      </c>
      <c r="B448" s="2" t="s">
        <v>1066</v>
      </c>
      <c r="C448" s="3" t="s">
        <v>1009</v>
      </c>
      <c r="D448" s="2">
        <f t="shared" si="6"/>
        <v>800</v>
      </c>
    </row>
    <row r="449" spans="1:4" x14ac:dyDescent="0.3">
      <c r="A449" s="3" t="s">
        <v>454</v>
      </c>
      <c r="B449" s="2" t="s">
        <v>1087</v>
      </c>
      <c r="C449" s="3" t="s">
        <v>1011</v>
      </c>
      <c r="D449" s="2">
        <f t="shared" si="6"/>
        <v>5000</v>
      </c>
    </row>
    <row r="450" spans="1:4" x14ac:dyDescent="0.3">
      <c r="A450" s="3" t="s">
        <v>455</v>
      </c>
      <c r="B450" s="2" t="s">
        <v>1050</v>
      </c>
      <c r="C450" s="3" t="s">
        <v>1010</v>
      </c>
      <c r="D450" s="2">
        <f t="shared" si="6"/>
        <v>30</v>
      </c>
    </row>
    <row r="451" spans="1:4" x14ac:dyDescent="0.3">
      <c r="A451" s="3" t="s">
        <v>456</v>
      </c>
      <c r="B451" s="2" t="s">
        <v>1052</v>
      </c>
      <c r="C451" s="3" t="s">
        <v>1010</v>
      </c>
      <c r="D451" s="2">
        <f t="shared" ref="D451:D514" si="7">_xlfn.XLOOKUP(B451, $H$11:$H$24, $I$11:$I$24, _xlfn.XLOOKUP(B451, $J$11:$J$24, $K$11:$K$24,_xlfn.XLOOKUP(B451, $L$11:$L$23,$M$11:$M$23,_xlfn.XLOOKUP(B451, $N$11:$N$18,$O$11:$O$18,_xlfn.XLOOKUP(B451, $P$11:$P$26,$Q$11:$Q$26,_xlfn.XLOOKUP(B451, $R$11:$R$21,$S$11:$S$21,0))))))</f>
        <v>100</v>
      </c>
    </row>
    <row r="452" spans="1:4" x14ac:dyDescent="0.3">
      <c r="A452" s="3" t="s">
        <v>457</v>
      </c>
      <c r="B452" s="2" t="s">
        <v>1047</v>
      </c>
      <c r="C452" s="3" t="s">
        <v>1010</v>
      </c>
      <c r="D452" s="2">
        <f t="shared" si="7"/>
        <v>500</v>
      </c>
    </row>
    <row r="453" spans="1:4" x14ac:dyDescent="0.3">
      <c r="A453" s="3" t="s">
        <v>458</v>
      </c>
      <c r="B453" s="2" t="s">
        <v>1064</v>
      </c>
      <c r="C453" s="3" t="s">
        <v>1009</v>
      </c>
      <c r="D453" s="2">
        <f t="shared" si="7"/>
        <v>15000</v>
      </c>
    </row>
    <row r="454" spans="1:4" x14ac:dyDescent="0.3">
      <c r="A454" s="3" t="s">
        <v>459</v>
      </c>
      <c r="B454" s="2" t="s">
        <v>1079</v>
      </c>
      <c r="C454" s="3" t="s">
        <v>1011</v>
      </c>
      <c r="D454" s="2">
        <f t="shared" si="7"/>
        <v>5000</v>
      </c>
    </row>
    <row r="455" spans="1:4" x14ac:dyDescent="0.3">
      <c r="A455" s="3" t="s">
        <v>460</v>
      </c>
      <c r="B455" s="2" t="s">
        <v>1051</v>
      </c>
      <c r="C455" s="3" t="s">
        <v>1010</v>
      </c>
      <c r="D455" s="2">
        <f t="shared" si="7"/>
        <v>50</v>
      </c>
    </row>
    <row r="456" spans="1:4" x14ac:dyDescent="0.3">
      <c r="A456" s="3" t="s">
        <v>461</v>
      </c>
      <c r="B456" s="2" t="s">
        <v>1039</v>
      </c>
      <c r="C456" s="3" t="s">
        <v>1007</v>
      </c>
      <c r="D456" s="2">
        <f t="shared" si="7"/>
        <v>12000</v>
      </c>
    </row>
    <row r="457" spans="1:4" x14ac:dyDescent="0.3">
      <c r="A457" s="3" t="s">
        <v>462</v>
      </c>
      <c r="B457" s="2" t="s">
        <v>1054</v>
      </c>
      <c r="C457" s="3" t="s">
        <v>1010</v>
      </c>
      <c r="D457" s="2">
        <f t="shared" si="7"/>
        <v>30</v>
      </c>
    </row>
    <row r="458" spans="1:4" x14ac:dyDescent="0.3">
      <c r="A458" s="3" t="s">
        <v>463</v>
      </c>
      <c r="B458" s="2" t="s">
        <v>1057</v>
      </c>
      <c r="C458" s="3" t="s">
        <v>1012</v>
      </c>
      <c r="D458" s="2">
        <f t="shared" si="7"/>
        <v>500</v>
      </c>
    </row>
    <row r="459" spans="1:4" x14ac:dyDescent="0.3">
      <c r="A459" s="3" t="s">
        <v>464</v>
      </c>
      <c r="B459" s="2" t="s">
        <v>1053</v>
      </c>
      <c r="C459" s="3" t="s">
        <v>1010</v>
      </c>
      <c r="D459" s="2">
        <f t="shared" si="7"/>
        <v>10</v>
      </c>
    </row>
    <row r="460" spans="1:4" x14ac:dyDescent="0.3">
      <c r="A460" s="3" t="s">
        <v>465</v>
      </c>
      <c r="B460" s="2" t="s">
        <v>1069</v>
      </c>
      <c r="C460" s="3" t="s">
        <v>1009</v>
      </c>
      <c r="D460" s="2">
        <f t="shared" si="7"/>
        <v>200</v>
      </c>
    </row>
    <row r="461" spans="1:4" x14ac:dyDescent="0.3">
      <c r="A461" s="3" t="s">
        <v>466</v>
      </c>
      <c r="B461" s="2" t="s">
        <v>1030</v>
      </c>
      <c r="C461" s="3" t="s">
        <v>1008</v>
      </c>
      <c r="D461" s="2">
        <f t="shared" si="7"/>
        <v>70000</v>
      </c>
    </row>
    <row r="462" spans="1:4" x14ac:dyDescent="0.3">
      <c r="A462" s="3" t="s">
        <v>467</v>
      </c>
      <c r="B462" s="2" t="s">
        <v>1046</v>
      </c>
      <c r="C462" s="3" t="s">
        <v>1010</v>
      </c>
      <c r="D462" s="2">
        <f t="shared" si="7"/>
        <v>100</v>
      </c>
    </row>
    <row r="463" spans="1:4" x14ac:dyDescent="0.3">
      <c r="A463" s="3" t="s">
        <v>468</v>
      </c>
      <c r="B463" s="2" t="s">
        <v>1034</v>
      </c>
      <c r="C463" s="3" t="s">
        <v>1008</v>
      </c>
      <c r="D463" s="2">
        <f t="shared" si="7"/>
        <v>50000</v>
      </c>
    </row>
    <row r="464" spans="1:4" x14ac:dyDescent="0.3">
      <c r="A464" s="3" t="s">
        <v>469</v>
      </c>
      <c r="B464" s="2" t="s">
        <v>1076</v>
      </c>
      <c r="C464" s="3" t="s">
        <v>1009</v>
      </c>
      <c r="D464" s="2">
        <f t="shared" si="7"/>
        <v>100</v>
      </c>
    </row>
    <row r="465" spans="1:4" x14ac:dyDescent="0.3">
      <c r="A465" s="3" t="s">
        <v>470</v>
      </c>
      <c r="B465" s="2" t="s">
        <v>1046</v>
      </c>
      <c r="C465" s="3" t="s">
        <v>1010</v>
      </c>
      <c r="D465" s="2">
        <f t="shared" si="7"/>
        <v>100</v>
      </c>
    </row>
    <row r="466" spans="1:4" x14ac:dyDescent="0.3">
      <c r="A466" s="3" t="s">
        <v>471</v>
      </c>
      <c r="B466" s="2" t="s">
        <v>1042</v>
      </c>
      <c r="C466" s="3" t="s">
        <v>1007</v>
      </c>
      <c r="D466" s="2">
        <f t="shared" si="7"/>
        <v>3000</v>
      </c>
    </row>
    <row r="467" spans="1:4" x14ac:dyDescent="0.3">
      <c r="A467" s="3" t="s">
        <v>472</v>
      </c>
      <c r="B467" s="2" t="s">
        <v>1040</v>
      </c>
      <c r="C467" s="3" t="s">
        <v>1007</v>
      </c>
      <c r="D467" s="2">
        <f t="shared" si="7"/>
        <v>5000</v>
      </c>
    </row>
    <row r="468" spans="1:4" x14ac:dyDescent="0.3">
      <c r="A468" s="3" t="s">
        <v>473</v>
      </c>
      <c r="B468" s="2" t="s">
        <v>1086</v>
      </c>
      <c r="C468" s="3" t="s">
        <v>1011</v>
      </c>
      <c r="D468" s="2">
        <f t="shared" si="7"/>
        <v>4500</v>
      </c>
    </row>
    <row r="469" spans="1:4" x14ac:dyDescent="0.3">
      <c r="A469" s="3" t="s">
        <v>474</v>
      </c>
      <c r="B469" s="2" t="s">
        <v>1036</v>
      </c>
      <c r="C469" s="3" t="s">
        <v>1007</v>
      </c>
      <c r="D469" s="2">
        <f t="shared" si="7"/>
        <v>8000</v>
      </c>
    </row>
    <row r="470" spans="1:4" x14ac:dyDescent="0.3">
      <c r="A470" s="3" t="s">
        <v>475</v>
      </c>
      <c r="B470" s="2" t="s">
        <v>1025</v>
      </c>
      <c r="C470" s="3" t="s">
        <v>1008</v>
      </c>
      <c r="D470" s="2">
        <f t="shared" si="7"/>
        <v>30000</v>
      </c>
    </row>
    <row r="471" spans="1:4" x14ac:dyDescent="0.3">
      <c r="A471" s="3" t="s">
        <v>476</v>
      </c>
      <c r="B471" s="2" t="s">
        <v>1037</v>
      </c>
      <c r="C471" s="3" t="s">
        <v>1007</v>
      </c>
      <c r="D471" s="2">
        <f t="shared" si="7"/>
        <v>10000</v>
      </c>
    </row>
    <row r="472" spans="1:4" x14ac:dyDescent="0.3">
      <c r="A472" s="3" t="s">
        <v>477</v>
      </c>
      <c r="B472" s="2" t="s">
        <v>1057</v>
      </c>
      <c r="C472" s="3" t="s">
        <v>1012</v>
      </c>
      <c r="D472" s="2">
        <f t="shared" si="7"/>
        <v>500</v>
      </c>
    </row>
    <row r="473" spans="1:4" x14ac:dyDescent="0.3">
      <c r="A473" s="3" t="s">
        <v>478</v>
      </c>
      <c r="B473" s="2" t="s">
        <v>1057</v>
      </c>
      <c r="C473" s="3" t="s">
        <v>1012</v>
      </c>
      <c r="D473" s="2">
        <f t="shared" si="7"/>
        <v>500</v>
      </c>
    </row>
    <row r="474" spans="1:4" x14ac:dyDescent="0.3">
      <c r="A474" s="3" t="s">
        <v>479</v>
      </c>
      <c r="B474" s="2" t="s">
        <v>1037</v>
      </c>
      <c r="C474" s="3" t="s">
        <v>1007</v>
      </c>
      <c r="D474" s="2">
        <f t="shared" si="7"/>
        <v>10000</v>
      </c>
    </row>
    <row r="475" spans="1:4" x14ac:dyDescent="0.3">
      <c r="A475" s="3" t="s">
        <v>480</v>
      </c>
      <c r="B475" s="2" t="s">
        <v>1032</v>
      </c>
      <c r="C475" s="3" t="s">
        <v>1008</v>
      </c>
      <c r="D475" s="2">
        <f t="shared" si="7"/>
        <v>2000</v>
      </c>
    </row>
    <row r="476" spans="1:4" x14ac:dyDescent="0.3">
      <c r="A476" s="3" t="s">
        <v>481</v>
      </c>
      <c r="B476" s="2" t="s">
        <v>1037</v>
      </c>
      <c r="C476" s="3" t="s">
        <v>1007</v>
      </c>
      <c r="D476" s="2">
        <f t="shared" si="7"/>
        <v>10000</v>
      </c>
    </row>
    <row r="477" spans="1:4" x14ac:dyDescent="0.3">
      <c r="A477" s="3" t="s">
        <v>482</v>
      </c>
      <c r="B477" s="2" t="s">
        <v>1038</v>
      </c>
      <c r="C477" s="3" t="s">
        <v>1007</v>
      </c>
      <c r="D477" s="2">
        <f t="shared" si="7"/>
        <v>5000</v>
      </c>
    </row>
    <row r="478" spans="1:4" x14ac:dyDescent="0.3">
      <c r="A478" s="3" t="s">
        <v>483</v>
      </c>
      <c r="B478" s="2" t="s">
        <v>1042</v>
      </c>
      <c r="C478" s="3" t="s">
        <v>1007</v>
      </c>
      <c r="D478" s="2">
        <f t="shared" si="7"/>
        <v>3000</v>
      </c>
    </row>
    <row r="479" spans="1:4" x14ac:dyDescent="0.3">
      <c r="A479" s="3" t="s">
        <v>484</v>
      </c>
      <c r="B479" s="2" t="s">
        <v>1066</v>
      </c>
      <c r="C479" s="3" t="s">
        <v>1009</v>
      </c>
      <c r="D479" s="2">
        <f t="shared" si="7"/>
        <v>800</v>
      </c>
    </row>
    <row r="480" spans="1:4" x14ac:dyDescent="0.3">
      <c r="A480" s="3" t="s">
        <v>485</v>
      </c>
      <c r="B480" s="2" t="s">
        <v>1040</v>
      </c>
      <c r="C480" s="3" t="s">
        <v>1007</v>
      </c>
      <c r="D480" s="2">
        <f t="shared" si="7"/>
        <v>5000</v>
      </c>
    </row>
    <row r="481" spans="1:4" x14ac:dyDescent="0.3">
      <c r="A481" s="3" t="s">
        <v>486</v>
      </c>
      <c r="B481" s="2" t="s">
        <v>1062</v>
      </c>
      <c r="C481" s="3" t="s">
        <v>1009</v>
      </c>
      <c r="D481" s="2">
        <f t="shared" si="7"/>
        <v>100</v>
      </c>
    </row>
    <row r="482" spans="1:4" x14ac:dyDescent="0.3">
      <c r="A482" s="3" t="s">
        <v>487</v>
      </c>
      <c r="B482" s="2" t="s">
        <v>1083</v>
      </c>
      <c r="C482" s="3" t="s">
        <v>1011</v>
      </c>
      <c r="D482" s="2">
        <f t="shared" si="7"/>
        <v>3000</v>
      </c>
    </row>
    <row r="483" spans="1:4" x14ac:dyDescent="0.3">
      <c r="A483" s="3" t="s">
        <v>488</v>
      </c>
      <c r="B483" s="2" t="s">
        <v>1079</v>
      </c>
      <c r="C483" s="3" t="s">
        <v>1011</v>
      </c>
      <c r="D483" s="2">
        <f t="shared" si="7"/>
        <v>5000</v>
      </c>
    </row>
    <row r="484" spans="1:4" x14ac:dyDescent="0.3">
      <c r="A484" s="3" t="s">
        <v>489</v>
      </c>
      <c r="B484" s="2" t="s">
        <v>1058</v>
      </c>
      <c r="C484" s="3" t="s">
        <v>1012</v>
      </c>
      <c r="D484" s="2">
        <f t="shared" si="7"/>
        <v>500</v>
      </c>
    </row>
    <row r="485" spans="1:4" x14ac:dyDescent="0.3">
      <c r="A485" s="3" t="s">
        <v>490</v>
      </c>
      <c r="B485" s="2" t="s">
        <v>1059</v>
      </c>
      <c r="C485" s="3" t="s">
        <v>1012</v>
      </c>
      <c r="D485" s="2">
        <f t="shared" si="7"/>
        <v>200</v>
      </c>
    </row>
    <row r="486" spans="1:4" x14ac:dyDescent="0.3">
      <c r="A486" s="3" t="s">
        <v>491</v>
      </c>
      <c r="B486" s="2" t="s">
        <v>1081</v>
      </c>
      <c r="C486" s="3" t="s">
        <v>1011</v>
      </c>
      <c r="D486" s="2">
        <f t="shared" si="7"/>
        <v>1000</v>
      </c>
    </row>
    <row r="487" spans="1:4" x14ac:dyDescent="0.3">
      <c r="A487" s="3" t="s">
        <v>492</v>
      </c>
      <c r="B487" s="2" t="s">
        <v>1055</v>
      </c>
      <c r="C487" s="3" t="s">
        <v>1010</v>
      </c>
      <c r="D487" s="2">
        <f t="shared" si="7"/>
        <v>50</v>
      </c>
    </row>
    <row r="488" spans="1:4" x14ac:dyDescent="0.3">
      <c r="A488" s="3" t="s">
        <v>493</v>
      </c>
      <c r="B488" s="2" t="s">
        <v>1038</v>
      </c>
      <c r="C488" s="3" t="s">
        <v>1007</v>
      </c>
      <c r="D488" s="2">
        <f t="shared" si="7"/>
        <v>5000</v>
      </c>
    </row>
    <row r="489" spans="1:4" x14ac:dyDescent="0.3">
      <c r="A489" s="3" t="s">
        <v>494</v>
      </c>
      <c r="B489" s="2" t="s">
        <v>1028</v>
      </c>
      <c r="C489" s="3" t="s">
        <v>1008</v>
      </c>
      <c r="D489" s="2">
        <f t="shared" si="7"/>
        <v>15000</v>
      </c>
    </row>
    <row r="490" spans="1:4" x14ac:dyDescent="0.3">
      <c r="A490" s="3" t="s">
        <v>495</v>
      </c>
      <c r="B490" s="2" t="s">
        <v>1055</v>
      </c>
      <c r="C490" s="3" t="s">
        <v>1010</v>
      </c>
      <c r="D490" s="2">
        <f t="shared" si="7"/>
        <v>50</v>
      </c>
    </row>
    <row r="491" spans="1:4" x14ac:dyDescent="0.3">
      <c r="A491" s="3" t="s">
        <v>496</v>
      </c>
      <c r="B491" s="2" t="s">
        <v>1037</v>
      </c>
      <c r="C491" s="3" t="s">
        <v>1007</v>
      </c>
      <c r="D491" s="2">
        <f t="shared" si="7"/>
        <v>10000</v>
      </c>
    </row>
    <row r="492" spans="1:4" x14ac:dyDescent="0.3">
      <c r="A492" s="3" t="s">
        <v>497</v>
      </c>
      <c r="B492" s="2" t="s">
        <v>1036</v>
      </c>
      <c r="C492" s="3" t="s">
        <v>1007</v>
      </c>
      <c r="D492" s="2">
        <f t="shared" si="7"/>
        <v>8000</v>
      </c>
    </row>
    <row r="493" spans="1:4" x14ac:dyDescent="0.3">
      <c r="A493" s="3" t="s">
        <v>498</v>
      </c>
      <c r="B493" s="2" t="s">
        <v>1018</v>
      </c>
      <c r="C493" s="3" t="s">
        <v>1012</v>
      </c>
      <c r="D493" s="2">
        <f t="shared" si="7"/>
        <v>3000</v>
      </c>
    </row>
    <row r="494" spans="1:4" x14ac:dyDescent="0.3">
      <c r="A494" s="3" t="s">
        <v>499</v>
      </c>
      <c r="B494" s="2" t="s">
        <v>1076</v>
      </c>
      <c r="C494" s="3" t="s">
        <v>1009</v>
      </c>
      <c r="D494" s="2">
        <f t="shared" si="7"/>
        <v>100</v>
      </c>
    </row>
    <row r="495" spans="1:4" x14ac:dyDescent="0.3">
      <c r="A495" s="3" t="s">
        <v>500</v>
      </c>
      <c r="B495" s="2" t="s">
        <v>1071</v>
      </c>
      <c r="C495" s="3" t="s">
        <v>1009</v>
      </c>
      <c r="D495" s="2">
        <f t="shared" si="7"/>
        <v>200</v>
      </c>
    </row>
    <row r="496" spans="1:4" x14ac:dyDescent="0.3">
      <c r="A496" s="3" t="s">
        <v>501</v>
      </c>
      <c r="B496" s="2" t="s">
        <v>1081</v>
      </c>
      <c r="C496" s="3" t="s">
        <v>1011</v>
      </c>
      <c r="D496" s="2">
        <f t="shared" si="7"/>
        <v>1000</v>
      </c>
    </row>
    <row r="497" spans="1:4" x14ac:dyDescent="0.3">
      <c r="A497" s="3" t="s">
        <v>502</v>
      </c>
      <c r="B497" s="2" t="s">
        <v>1044</v>
      </c>
      <c r="C497" s="3" t="s">
        <v>1010</v>
      </c>
      <c r="D497" s="2">
        <f t="shared" si="7"/>
        <v>100</v>
      </c>
    </row>
    <row r="498" spans="1:4" x14ac:dyDescent="0.3">
      <c r="A498" s="3" t="s">
        <v>503</v>
      </c>
      <c r="B498" s="2" t="s">
        <v>1067</v>
      </c>
      <c r="C498" s="3" t="s">
        <v>1009</v>
      </c>
      <c r="D498" s="2">
        <f t="shared" si="7"/>
        <v>100</v>
      </c>
    </row>
    <row r="499" spans="1:4" x14ac:dyDescent="0.3">
      <c r="A499" s="3" t="s">
        <v>504</v>
      </c>
      <c r="B499" s="2" t="s">
        <v>1049</v>
      </c>
      <c r="C499" s="3" t="s">
        <v>1010</v>
      </c>
      <c r="D499" s="2">
        <f t="shared" si="7"/>
        <v>20</v>
      </c>
    </row>
    <row r="500" spans="1:4" x14ac:dyDescent="0.3">
      <c r="A500" s="3" t="s">
        <v>505</v>
      </c>
      <c r="B500" s="2" t="s">
        <v>1075</v>
      </c>
      <c r="C500" s="3" t="s">
        <v>1009</v>
      </c>
      <c r="D500" s="2">
        <f t="shared" si="7"/>
        <v>2000</v>
      </c>
    </row>
    <row r="501" spans="1:4" x14ac:dyDescent="0.3">
      <c r="A501" s="3" t="s">
        <v>506</v>
      </c>
      <c r="B501" s="2" t="s">
        <v>1032</v>
      </c>
      <c r="C501" s="3" t="s">
        <v>1008</v>
      </c>
      <c r="D501" s="2">
        <f t="shared" si="7"/>
        <v>2000</v>
      </c>
    </row>
    <row r="502" spans="1:4" x14ac:dyDescent="0.3">
      <c r="A502" s="3" t="s">
        <v>507</v>
      </c>
      <c r="B502" s="2" t="s">
        <v>1030</v>
      </c>
      <c r="C502" s="3" t="s">
        <v>1008</v>
      </c>
      <c r="D502" s="2">
        <f t="shared" si="7"/>
        <v>70000</v>
      </c>
    </row>
    <row r="503" spans="1:4" x14ac:dyDescent="0.3">
      <c r="A503" s="3" t="s">
        <v>508</v>
      </c>
      <c r="B503" s="2" t="s">
        <v>1027</v>
      </c>
      <c r="C503" s="3" t="s">
        <v>1008</v>
      </c>
      <c r="D503" s="2">
        <f t="shared" si="7"/>
        <v>30000</v>
      </c>
    </row>
    <row r="504" spans="1:4" x14ac:dyDescent="0.3">
      <c r="A504" s="3" t="s">
        <v>509</v>
      </c>
      <c r="B504" s="2" t="s">
        <v>1085</v>
      </c>
      <c r="C504" s="3" t="s">
        <v>1011</v>
      </c>
      <c r="D504" s="2">
        <f t="shared" si="7"/>
        <v>1500</v>
      </c>
    </row>
    <row r="505" spans="1:4" x14ac:dyDescent="0.3">
      <c r="A505" s="3" t="s">
        <v>510</v>
      </c>
      <c r="B505" s="2" t="s">
        <v>1056</v>
      </c>
      <c r="C505" s="3" t="s">
        <v>1012</v>
      </c>
      <c r="D505" s="2">
        <f t="shared" si="7"/>
        <v>100</v>
      </c>
    </row>
    <row r="506" spans="1:4" x14ac:dyDescent="0.3">
      <c r="A506" s="3" t="s">
        <v>511</v>
      </c>
      <c r="B506" s="2" t="s">
        <v>1083</v>
      </c>
      <c r="C506" s="3" t="s">
        <v>1011</v>
      </c>
      <c r="D506" s="2">
        <f t="shared" si="7"/>
        <v>3000</v>
      </c>
    </row>
    <row r="507" spans="1:4" x14ac:dyDescent="0.3">
      <c r="A507" s="3" t="s">
        <v>512</v>
      </c>
      <c r="B507" s="2" t="s">
        <v>1076</v>
      </c>
      <c r="C507" s="3" t="s">
        <v>1009</v>
      </c>
      <c r="D507" s="2">
        <f t="shared" si="7"/>
        <v>100</v>
      </c>
    </row>
    <row r="508" spans="1:4" x14ac:dyDescent="0.3">
      <c r="A508" s="3" t="s">
        <v>513</v>
      </c>
      <c r="B508" s="2" t="s">
        <v>1038</v>
      </c>
      <c r="C508" s="3" t="s">
        <v>1007</v>
      </c>
      <c r="D508" s="2">
        <f t="shared" si="7"/>
        <v>5000</v>
      </c>
    </row>
    <row r="509" spans="1:4" x14ac:dyDescent="0.3">
      <c r="A509" s="3" t="s">
        <v>514</v>
      </c>
      <c r="B509" s="2" t="s">
        <v>1076</v>
      </c>
      <c r="C509" s="3" t="s">
        <v>1009</v>
      </c>
      <c r="D509" s="2">
        <f t="shared" si="7"/>
        <v>100</v>
      </c>
    </row>
    <row r="510" spans="1:4" x14ac:dyDescent="0.3">
      <c r="A510" s="3" t="s">
        <v>515</v>
      </c>
      <c r="B510" s="2" t="s">
        <v>1053</v>
      </c>
      <c r="C510" s="3" t="s">
        <v>1010</v>
      </c>
      <c r="D510" s="2">
        <f t="shared" si="7"/>
        <v>10</v>
      </c>
    </row>
    <row r="511" spans="1:4" x14ac:dyDescent="0.3">
      <c r="A511" s="3" t="s">
        <v>516</v>
      </c>
      <c r="B511" s="2" t="s">
        <v>1038</v>
      </c>
      <c r="C511" s="3" t="s">
        <v>1007</v>
      </c>
      <c r="D511" s="2">
        <f t="shared" si="7"/>
        <v>5000</v>
      </c>
    </row>
    <row r="512" spans="1:4" x14ac:dyDescent="0.3">
      <c r="A512" s="3" t="s">
        <v>517</v>
      </c>
      <c r="B512" s="2" t="s">
        <v>1060</v>
      </c>
      <c r="C512" s="3" t="s">
        <v>1012</v>
      </c>
      <c r="D512" s="2">
        <f t="shared" si="7"/>
        <v>1500</v>
      </c>
    </row>
    <row r="513" spans="1:4" x14ac:dyDescent="0.3">
      <c r="A513" s="3" t="s">
        <v>518</v>
      </c>
      <c r="B513" s="2" t="s">
        <v>1047</v>
      </c>
      <c r="C513" s="3" t="s">
        <v>1010</v>
      </c>
      <c r="D513" s="2">
        <f t="shared" si="7"/>
        <v>500</v>
      </c>
    </row>
    <row r="514" spans="1:4" x14ac:dyDescent="0.3">
      <c r="A514" s="3" t="s">
        <v>519</v>
      </c>
      <c r="B514" s="2" t="s">
        <v>1061</v>
      </c>
      <c r="C514" s="3" t="s">
        <v>1012</v>
      </c>
      <c r="D514" s="2">
        <f t="shared" si="7"/>
        <v>500</v>
      </c>
    </row>
    <row r="515" spans="1:4" x14ac:dyDescent="0.3">
      <c r="A515" s="3" t="s">
        <v>520</v>
      </c>
      <c r="B515" s="2" t="s">
        <v>1081</v>
      </c>
      <c r="C515" s="3" t="s">
        <v>1011</v>
      </c>
      <c r="D515" s="2">
        <f t="shared" ref="D515:D578" si="8">_xlfn.XLOOKUP(B515, $H$11:$H$24, $I$11:$I$24, _xlfn.XLOOKUP(B515, $J$11:$J$24, $K$11:$K$24,_xlfn.XLOOKUP(B515, $L$11:$L$23,$M$11:$M$23,_xlfn.XLOOKUP(B515, $N$11:$N$18,$O$11:$O$18,_xlfn.XLOOKUP(B515, $P$11:$P$26,$Q$11:$Q$26,_xlfn.XLOOKUP(B515, $R$11:$R$21,$S$11:$S$21,0))))))</f>
        <v>1000</v>
      </c>
    </row>
    <row r="516" spans="1:4" x14ac:dyDescent="0.3">
      <c r="A516" s="3" t="s">
        <v>521</v>
      </c>
      <c r="B516" s="2" t="s">
        <v>1044</v>
      </c>
      <c r="C516" s="3" t="s">
        <v>1010</v>
      </c>
      <c r="D516" s="2">
        <f t="shared" si="8"/>
        <v>100</v>
      </c>
    </row>
    <row r="517" spans="1:4" x14ac:dyDescent="0.3">
      <c r="A517" s="3" t="s">
        <v>522</v>
      </c>
      <c r="B517" s="2" t="s">
        <v>1066</v>
      </c>
      <c r="C517" s="3" t="s">
        <v>1009</v>
      </c>
      <c r="D517" s="2">
        <f t="shared" si="8"/>
        <v>800</v>
      </c>
    </row>
    <row r="518" spans="1:4" x14ac:dyDescent="0.3">
      <c r="A518" s="3" t="s">
        <v>523</v>
      </c>
      <c r="B518" s="2" t="s">
        <v>1023</v>
      </c>
      <c r="C518" s="3" t="s">
        <v>1008</v>
      </c>
      <c r="D518" s="2">
        <f t="shared" si="8"/>
        <v>20000</v>
      </c>
    </row>
    <row r="519" spans="1:4" x14ac:dyDescent="0.3">
      <c r="A519" s="3" t="s">
        <v>524</v>
      </c>
      <c r="B519" s="2" t="s">
        <v>1060</v>
      </c>
      <c r="C519" s="3" t="s">
        <v>1012</v>
      </c>
      <c r="D519" s="2">
        <f t="shared" si="8"/>
        <v>1500</v>
      </c>
    </row>
    <row r="520" spans="1:4" x14ac:dyDescent="0.3">
      <c r="A520" s="3" t="s">
        <v>525</v>
      </c>
      <c r="B520" s="2" t="s">
        <v>1026</v>
      </c>
      <c r="C520" s="3" t="s">
        <v>1008</v>
      </c>
      <c r="D520" s="2">
        <f t="shared" si="8"/>
        <v>6000</v>
      </c>
    </row>
    <row r="521" spans="1:4" x14ac:dyDescent="0.3">
      <c r="A521" s="3" t="s">
        <v>526</v>
      </c>
      <c r="B521" s="2" t="s">
        <v>1040</v>
      </c>
      <c r="C521" s="3" t="s">
        <v>1007</v>
      </c>
      <c r="D521" s="2">
        <f t="shared" si="8"/>
        <v>5000</v>
      </c>
    </row>
    <row r="522" spans="1:4" x14ac:dyDescent="0.3">
      <c r="A522" s="3" t="s">
        <v>527</v>
      </c>
      <c r="B522" s="2" t="s">
        <v>1057</v>
      </c>
      <c r="C522" s="3" t="s">
        <v>1012</v>
      </c>
      <c r="D522" s="2">
        <f t="shared" si="8"/>
        <v>500</v>
      </c>
    </row>
    <row r="523" spans="1:4" x14ac:dyDescent="0.3">
      <c r="A523" s="3" t="s">
        <v>528</v>
      </c>
      <c r="B523" s="2" t="s">
        <v>1060</v>
      </c>
      <c r="C523" s="3" t="s">
        <v>1012</v>
      </c>
      <c r="D523" s="2">
        <f t="shared" si="8"/>
        <v>1500</v>
      </c>
    </row>
    <row r="524" spans="1:4" x14ac:dyDescent="0.3">
      <c r="A524" s="3" t="s">
        <v>529</v>
      </c>
      <c r="B524" s="2" t="s">
        <v>1034</v>
      </c>
      <c r="C524" s="3" t="s">
        <v>1008</v>
      </c>
      <c r="D524" s="2">
        <f t="shared" si="8"/>
        <v>50000</v>
      </c>
    </row>
    <row r="525" spans="1:4" x14ac:dyDescent="0.3">
      <c r="A525" s="3" t="s">
        <v>530</v>
      </c>
      <c r="B525" s="2" t="s">
        <v>1082</v>
      </c>
      <c r="C525" s="3" t="s">
        <v>1011</v>
      </c>
      <c r="D525" s="2">
        <f t="shared" si="8"/>
        <v>2000</v>
      </c>
    </row>
    <row r="526" spans="1:4" x14ac:dyDescent="0.3">
      <c r="A526" s="3" t="s">
        <v>531</v>
      </c>
      <c r="B526" s="2" t="s">
        <v>1075</v>
      </c>
      <c r="C526" s="3" t="s">
        <v>1009</v>
      </c>
      <c r="D526" s="2">
        <f t="shared" si="8"/>
        <v>2000</v>
      </c>
    </row>
    <row r="527" spans="1:4" x14ac:dyDescent="0.3">
      <c r="A527" s="3" t="s">
        <v>532</v>
      </c>
      <c r="B527" s="2" t="s">
        <v>1087</v>
      </c>
      <c r="C527" s="3" t="s">
        <v>1011</v>
      </c>
      <c r="D527" s="2">
        <f t="shared" si="8"/>
        <v>5000</v>
      </c>
    </row>
    <row r="528" spans="1:4" x14ac:dyDescent="0.3">
      <c r="A528" s="3" t="s">
        <v>533</v>
      </c>
      <c r="B528" s="2" t="s">
        <v>1082</v>
      </c>
      <c r="C528" s="3" t="s">
        <v>1011</v>
      </c>
      <c r="D528" s="2">
        <f t="shared" si="8"/>
        <v>2000</v>
      </c>
    </row>
    <row r="529" spans="1:4" x14ac:dyDescent="0.3">
      <c r="A529" s="3" t="s">
        <v>534</v>
      </c>
      <c r="B529" s="2" t="s">
        <v>1057</v>
      </c>
      <c r="C529" s="3" t="s">
        <v>1012</v>
      </c>
      <c r="D529" s="2">
        <f t="shared" si="8"/>
        <v>500</v>
      </c>
    </row>
    <row r="530" spans="1:4" x14ac:dyDescent="0.3">
      <c r="A530" s="3" t="s">
        <v>535</v>
      </c>
      <c r="B530" s="2" t="s">
        <v>1027</v>
      </c>
      <c r="C530" s="3" t="s">
        <v>1008</v>
      </c>
      <c r="D530" s="2">
        <f t="shared" si="8"/>
        <v>30000</v>
      </c>
    </row>
    <row r="531" spans="1:4" x14ac:dyDescent="0.3">
      <c r="A531" s="3" t="s">
        <v>536</v>
      </c>
      <c r="B531" s="2" t="s">
        <v>1087</v>
      </c>
      <c r="C531" s="3" t="s">
        <v>1011</v>
      </c>
      <c r="D531" s="2">
        <f t="shared" si="8"/>
        <v>5000</v>
      </c>
    </row>
    <row r="532" spans="1:4" x14ac:dyDescent="0.3">
      <c r="A532" s="3" t="s">
        <v>537</v>
      </c>
      <c r="B532" s="2" t="s">
        <v>1064</v>
      </c>
      <c r="C532" s="3" t="s">
        <v>1009</v>
      </c>
      <c r="D532" s="2">
        <f t="shared" si="8"/>
        <v>15000</v>
      </c>
    </row>
    <row r="533" spans="1:4" x14ac:dyDescent="0.3">
      <c r="A533" s="3" t="s">
        <v>538</v>
      </c>
      <c r="B533" s="2" t="s">
        <v>1080</v>
      </c>
      <c r="C533" s="3" t="s">
        <v>1011</v>
      </c>
      <c r="D533" s="2">
        <f t="shared" si="8"/>
        <v>2500</v>
      </c>
    </row>
    <row r="534" spans="1:4" x14ac:dyDescent="0.3">
      <c r="A534" s="3" t="s">
        <v>539</v>
      </c>
      <c r="B534" s="2" t="s">
        <v>1059</v>
      </c>
      <c r="C534" s="3" t="s">
        <v>1012</v>
      </c>
      <c r="D534" s="2">
        <f t="shared" si="8"/>
        <v>200</v>
      </c>
    </row>
    <row r="535" spans="1:4" x14ac:dyDescent="0.3">
      <c r="A535" s="3" t="s">
        <v>540</v>
      </c>
      <c r="B535" s="2" t="s">
        <v>1059</v>
      </c>
      <c r="C535" s="3" t="s">
        <v>1012</v>
      </c>
      <c r="D535" s="2">
        <f t="shared" si="8"/>
        <v>200</v>
      </c>
    </row>
    <row r="536" spans="1:4" x14ac:dyDescent="0.3">
      <c r="A536" s="3" t="s">
        <v>541</v>
      </c>
      <c r="B536" s="2" t="s">
        <v>1032</v>
      </c>
      <c r="C536" s="3" t="s">
        <v>1008</v>
      </c>
      <c r="D536" s="2">
        <f t="shared" si="8"/>
        <v>2000</v>
      </c>
    </row>
    <row r="537" spans="1:4" x14ac:dyDescent="0.3">
      <c r="A537" s="3" t="s">
        <v>542</v>
      </c>
      <c r="B537" s="2" t="s">
        <v>1071</v>
      </c>
      <c r="C537" s="3" t="s">
        <v>1009</v>
      </c>
      <c r="D537" s="2">
        <f t="shared" si="8"/>
        <v>200</v>
      </c>
    </row>
    <row r="538" spans="1:4" x14ac:dyDescent="0.3">
      <c r="A538" s="3" t="s">
        <v>543</v>
      </c>
      <c r="B538" s="2" t="s">
        <v>1025</v>
      </c>
      <c r="C538" s="3" t="s">
        <v>1008</v>
      </c>
      <c r="D538" s="2">
        <f t="shared" si="8"/>
        <v>30000</v>
      </c>
    </row>
    <row r="539" spans="1:4" x14ac:dyDescent="0.3">
      <c r="A539" s="3" t="s">
        <v>544</v>
      </c>
      <c r="B539" s="2" t="s">
        <v>1061</v>
      </c>
      <c r="C539" s="3" t="s">
        <v>1012</v>
      </c>
      <c r="D539" s="2">
        <f t="shared" si="8"/>
        <v>500</v>
      </c>
    </row>
    <row r="540" spans="1:4" x14ac:dyDescent="0.3">
      <c r="A540" s="3" t="s">
        <v>545</v>
      </c>
      <c r="B540" s="2" t="s">
        <v>1072</v>
      </c>
      <c r="C540" s="3" t="s">
        <v>1009</v>
      </c>
      <c r="D540" s="2">
        <f t="shared" si="8"/>
        <v>50</v>
      </c>
    </row>
    <row r="541" spans="1:4" x14ac:dyDescent="0.3">
      <c r="A541" s="3" t="s">
        <v>546</v>
      </c>
      <c r="B541" s="2" t="s">
        <v>1057</v>
      </c>
      <c r="C541" s="3" t="s">
        <v>1012</v>
      </c>
      <c r="D541" s="2">
        <f t="shared" si="8"/>
        <v>500</v>
      </c>
    </row>
    <row r="542" spans="1:4" x14ac:dyDescent="0.3">
      <c r="A542" s="3" t="s">
        <v>547</v>
      </c>
      <c r="B542" s="2" t="s">
        <v>1030</v>
      </c>
      <c r="C542" s="3" t="s">
        <v>1008</v>
      </c>
      <c r="D542" s="2">
        <f t="shared" si="8"/>
        <v>70000</v>
      </c>
    </row>
    <row r="543" spans="1:4" x14ac:dyDescent="0.3">
      <c r="A543" s="3" t="s">
        <v>548</v>
      </c>
      <c r="B543" s="2" t="s">
        <v>1035</v>
      </c>
      <c r="C543" s="3" t="s">
        <v>1007</v>
      </c>
      <c r="D543" s="2">
        <f t="shared" si="8"/>
        <v>15000</v>
      </c>
    </row>
    <row r="544" spans="1:4" x14ac:dyDescent="0.3">
      <c r="A544" s="3" t="s">
        <v>549</v>
      </c>
      <c r="B544" s="2" t="s">
        <v>1045</v>
      </c>
      <c r="C544" s="3" t="s">
        <v>1010</v>
      </c>
      <c r="D544" s="2">
        <f t="shared" si="8"/>
        <v>100</v>
      </c>
    </row>
    <row r="545" spans="1:4" x14ac:dyDescent="0.3">
      <c r="A545" s="3" t="s">
        <v>550</v>
      </c>
      <c r="B545" s="2" t="s">
        <v>1018</v>
      </c>
      <c r="C545" s="3" t="s">
        <v>1012</v>
      </c>
      <c r="D545" s="2">
        <f t="shared" si="8"/>
        <v>3000</v>
      </c>
    </row>
    <row r="546" spans="1:4" x14ac:dyDescent="0.3">
      <c r="A546" s="3" t="s">
        <v>551</v>
      </c>
      <c r="B546" s="2" t="s">
        <v>1030</v>
      </c>
      <c r="C546" s="3" t="s">
        <v>1008</v>
      </c>
      <c r="D546" s="2">
        <f t="shared" si="8"/>
        <v>70000</v>
      </c>
    </row>
    <row r="547" spans="1:4" x14ac:dyDescent="0.3">
      <c r="A547" s="3" t="s">
        <v>552</v>
      </c>
      <c r="B547" s="2" t="s">
        <v>1053</v>
      </c>
      <c r="C547" s="3" t="s">
        <v>1010</v>
      </c>
      <c r="D547" s="2">
        <f t="shared" si="8"/>
        <v>10</v>
      </c>
    </row>
    <row r="548" spans="1:4" x14ac:dyDescent="0.3">
      <c r="A548" s="3" t="s">
        <v>553</v>
      </c>
      <c r="B548" s="2" t="s">
        <v>1071</v>
      </c>
      <c r="C548" s="3" t="s">
        <v>1009</v>
      </c>
      <c r="D548" s="2">
        <f t="shared" si="8"/>
        <v>200</v>
      </c>
    </row>
    <row r="549" spans="1:4" x14ac:dyDescent="0.3">
      <c r="A549" s="3" t="s">
        <v>554</v>
      </c>
      <c r="B549" s="2" t="s">
        <v>1043</v>
      </c>
      <c r="C549" s="3" t="s">
        <v>1010</v>
      </c>
      <c r="D549" s="2">
        <f t="shared" si="8"/>
        <v>50</v>
      </c>
    </row>
    <row r="550" spans="1:4" x14ac:dyDescent="0.3">
      <c r="A550" s="3" t="s">
        <v>555</v>
      </c>
      <c r="B550" s="2" t="s">
        <v>1028</v>
      </c>
      <c r="C550" s="3" t="s">
        <v>1008</v>
      </c>
      <c r="D550" s="2">
        <f t="shared" si="8"/>
        <v>15000</v>
      </c>
    </row>
    <row r="551" spans="1:4" x14ac:dyDescent="0.3">
      <c r="A551" s="3" t="s">
        <v>556</v>
      </c>
      <c r="B551" s="2" t="s">
        <v>1079</v>
      </c>
      <c r="C551" s="3" t="s">
        <v>1011</v>
      </c>
      <c r="D551" s="2">
        <f t="shared" si="8"/>
        <v>5000</v>
      </c>
    </row>
    <row r="552" spans="1:4" x14ac:dyDescent="0.3">
      <c r="A552" s="3" t="s">
        <v>557</v>
      </c>
      <c r="B552" s="2" t="s">
        <v>1082</v>
      </c>
      <c r="C552" s="3" t="s">
        <v>1011</v>
      </c>
      <c r="D552" s="2">
        <f t="shared" si="8"/>
        <v>2000</v>
      </c>
    </row>
    <row r="553" spans="1:4" x14ac:dyDescent="0.3">
      <c r="A553" s="3" t="s">
        <v>558</v>
      </c>
      <c r="B553" s="2" t="s">
        <v>1022</v>
      </c>
      <c r="C553" s="3" t="s">
        <v>1008</v>
      </c>
      <c r="D553" s="2">
        <f t="shared" si="8"/>
        <v>0</v>
      </c>
    </row>
    <row r="554" spans="1:4" x14ac:dyDescent="0.3">
      <c r="A554" s="3" t="s">
        <v>559</v>
      </c>
      <c r="B554" s="2" t="s">
        <v>1083</v>
      </c>
      <c r="C554" s="3" t="s">
        <v>1011</v>
      </c>
      <c r="D554" s="2">
        <f t="shared" si="8"/>
        <v>3000</v>
      </c>
    </row>
    <row r="555" spans="1:4" x14ac:dyDescent="0.3">
      <c r="A555" s="3" t="s">
        <v>560</v>
      </c>
      <c r="B555" s="2" t="s">
        <v>1034</v>
      </c>
      <c r="C555" s="3" t="s">
        <v>1008</v>
      </c>
      <c r="D555" s="2">
        <f t="shared" si="8"/>
        <v>50000</v>
      </c>
    </row>
    <row r="556" spans="1:4" x14ac:dyDescent="0.3">
      <c r="A556" s="3" t="s">
        <v>561</v>
      </c>
      <c r="B556" s="2" t="s">
        <v>1070</v>
      </c>
      <c r="C556" s="3" t="s">
        <v>1009</v>
      </c>
      <c r="D556" s="2">
        <f t="shared" si="8"/>
        <v>1500</v>
      </c>
    </row>
    <row r="557" spans="1:4" x14ac:dyDescent="0.3">
      <c r="A557" s="3" t="s">
        <v>562</v>
      </c>
      <c r="B557" s="2" t="s">
        <v>1032</v>
      </c>
      <c r="C557" s="3" t="s">
        <v>1008</v>
      </c>
      <c r="D557" s="2">
        <f t="shared" si="8"/>
        <v>2000</v>
      </c>
    </row>
    <row r="558" spans="1:4" x14ac:dyDescent="0.3">
      <c r="A558" s="3" t="s">
        <v>563</v>
      </c>
      <c r="B558" s="2" t="s">
        <v>1084</v>
      </c>
      <c r="C558" s="3" t="s">
        <v>1011</v>
      </c>
      <c r="D558" s="2">
        <f t="shared" si="8"/>
        <v>2000</v>
      </c>
    </row>
    <row r="559" spans="1:4" x14ac:dyDescent="0.3">
      <c r="A559" s="3" t="s">
        <v>564</v>
      </c>
      <c r="B559" s="2" t="s">
        <v>1040</v>
      </c>
      <c r="C559" s="3" t="s">
        <v>1007</v>
      </c>
      <c r="D559" s="2">
        <f t="shared" si="8"/>
        <v>5000</v>
      </c>
    </row>
    <row r="560" spans="1:4" x14ac:dyDescent="0.3">
      <c r="A560" s="3" t="s">
        <v>565</v>
      </c>
      <c r="B560" s="2" t="s">
        <v>1018</v>
      </c>
      <c r="C560" s="3" t="s">
        <v>1012</v>
      </c>
      <c r="D560" s="2">
        <f t="shared" si="8"/>
        <v>3000</v>
      </c>
    </row>
    <row r="561" spans="1:4" x14ac:dyDescent="0.3">
      <c r="A561" s="3" t="s">
        <v>566</v>
      </c>
      <c r="B561" s="2" t="s">
        <v>1037</v>
      </c>
      <c r="C561" s="3" t="s">
        <v>1007</v>
      </c>
      <c r="D561" s="2">
        <f t="shared" si="8"/>
        <v>10000</v>
      </c>
    </row>
    <row r="562" spans="1:4" x14ac:dyDescent="0.3">
      <c r="A562" s="3" t="s">
        <v>567</v>
      </c>
      <c r="B562" s="2" t="s">
        <v>1058</v>
      </c>
      <c r="C562" s="3" t="s">
        <v>1012</v>
      </c>
      <c r="D562" s="2">
        <f t="shared" si="8"/>
        <v>500</v>
      </c>
    </row>
    <row r="563" spans="1:4" x14ac:dyDescent="0.3">
      <c r="A563" s="3" t="s">
        <v>568</v>
      </c>
      <c r="B563" s="2" t="s">
        <v>1056</v>
      </c>
      <c r="C563" s="3" t="s">
        <v>1012</v>
      </c>
      <c r="D563" s="2">
        <f t="shared" si="8"/>
        <v>100</v>
      </c>
    </row>
    <row r="564" spans="1:4" x14ac:dyDescent="0.3">
      <c r="A564" s="3" t="s">
        <v>569</v>
      </c>
      <c r="B564" s="2" t="s">
        <v>1018</v>
      </c>
      <c r="C564" s="3" t="s">
        <v>1012</v>
      </c>
      <c r="D564" s="2">
        <f t="shared" si="8"/>
        <v>3000</v>
      </c>
    </row>
    <row r="565" spans="1:4" x14ac:dyDescent="0.3">
      <c r="A565" s="3" t="s">
        <v>570</v>
      </c>
      <c r="B565" s="2" t="s">
        <v>1018</v>
      </c>
      <c r="C565" s="3" t="s">
        <v>1012</v>
      </c>
      <c r="D565" s="2">
        <f t="shared" si="8"/>
        <v>3000</v>
      </c>
    </row>
    <row r="566" spans="1:4" x14ac:dyDescent="0.3">
      <c r="A566" s="3" t="s">
        <v>571</v>
      </c>
      <c r="B566" s="2" t="s">
        <v>1081</v>
      </c>
      <c r="C566" s="3" t="s">
        <v>1011</v>
      </c>
      <c r="D566" s="2">
        <f t="shared" si="8"/>
        <v>1000</v>
      </c>
    </row>
    <row r="567" spans="1:4" x14ac:dyDescent="0.3">
      <c r="A567" s="3" t="s">
        <v>572</v>
      </c>
      <c r="B567" s="2" t="s">
        <v>1044</v>
      </c>
      <c r="C567" s="3" t="s">
        <v>1010</v>
      </c>
      <c r="D567" s="2">
        <f t="shared" si="8"/>
        <v>100</v>
      </c>
    </row>
    <row r="568" spans="1:4" x14ac:dyDescent="0.3">
      <c r="A568" s="3" t="s">
        <v>573</v>
      </c>
      <c r="B568" s="2" t="s">
        <v>1079</v>
      </c>
      <c r="C568" s="3" t="s">
        <v>1011</v>
      </c>
      <c r="D568" s="2">
        <f t="shared" si="8"/>
        <v>5000</v>
      </c>
    </row>
    <row r="569" spans="1:4" x14ac:dyDescent="0.3">
      <c r="A569" s="3" t="s">
        <v>574</v>
      </c>
      <c r="B569" s="2" t="s">
        <v>1075</v>
      </c>
      <c r="C569" s="3" t="s">
        <v>1009</v>
      </c>
      <c r="D569" s="2">
        <f t="shared" si="8"/>
        <v>2000</v>
      </c>
    </row>
    <row r="570" spans="1:4" x14ac:dyDescent="0.3">
      <c r="A570" s="3" t="s">
        <v>575</v>
      </c>
      <c r="B570" s="2" t="s">
        <v>1057</v>
      </c>
      <c r="C570" s="3" t="s">
        <v>1012</v>
      </c>
      <c r="D570" s="2">
        <f t="shared" si="8"/>
        <v>500</v>
      </c>
    </row>
    <row r="571" spans="1:4" x14ac:dyDescent="0.3">
      <c r="A571" s="3" t="s">
        <v>576</v>
      </c>
      <c r="B571" s="2" t="s">
        <v>1035</v>
      </c>
      <c r="C571" s="3" t="s">
        <v>1007</v>
      </c>
      <c r="D571" s="2">
        <f t="shared" si="8"/>
        <v>15000</v>
      </c>
    </row>
    <row r="572" spans="1:4" x14ac:dyDescent="0.3">
      <c r="A572" s="3" t="s">
        <v>577</v>
      </c>
      <c r="B572" s="2" t="s">
        <v>1052</v>
      </c>
      <c r="C572" s="3" t="s">
        <v>1010</v>
      </c>
      <c r="D572" s="2">
        <f t="shared" si="8"/>
        <v>100</v>
      </c>
    </row>
    <row r="573" spans="1:4" x14ac:dyDescent="0.3">
      <c r="A573" s="3" t="s">
        <v>578</v>
      </c>
      <c r="B573" s="2" t="s">
        <v>1031</v>
      </c>
      <c r="C573" s="3" t="s">
        <v>1008</v>
      </c>
      <c r="D573" s="2">
        <f t="shared" si="8"/>
        <v>40000</v>
      </c>
    </row>
    <row r="574" spans="1:4" x14ac:dyDescent="0.3">
      <c r="A574" s="3" t="s">
        <v>579</v>
      </c>
      <c r="B574" s="2" t="s">
        <v>1031</v>
      </c>
      <c r="C574" s="3" t="s">
        <v>1008</v>
      </c>
      <c r="D574" s="2">
        <f t="shared" si="8"/>
        <v>40000</v>
      </c>
    </row>
    <row r="575" spans="1:4" x14ac:dyDescent="0.3">
      <c r="A575" s="3" t="s">
        <v>580</v>
      </c>
      <c r="B575" s="2" t="s">
        <v>1042</v>
      </c>
      <c r="C575" s="3" t="s">
        <v>1007</v>
      </c>
      <c r="D575" s="2">
        <f t="shared" si="8"/>
        <v>3000</v>
      </c>
    </row>
    <row r="576" spans="1:4" x14ac:dyDescent="0.3">
      <c r="A576" s="3" t="s">
        <v>581</v>
      </c>
      <c r="B576" s="2" t="s">
        <v>1082</v>
      </c>
      <c r="C576" s="3" t="s">
        <v>1011</v>
      </c>
      <c r="D576" s="2">
        <f t="shared" si="8"/>
        <v>2000</v>
      </c>
    </row>
    <row r="577" spans="1:4" x14ac:dyDescent="0.3">
      <c r="A577" s="3" t="s">
        <v>582</v>
      </c>
      <c r="B577" s="2" t="s">
        <v>1037</v>
      </c>
      <c r="C577" s="3" t="s">
        <v>1007</v>
      </c>
      <c r="D577" s="2">
        <f t="shared" si="8"/>
        <v>10000</v>
      </c>
    </row>
    <row r="578" spans="1:4" x14ac:dyDescent="0.3">
      <c r="A578" s="3" t="s">
        <v>583</v>
      </c>
      <c r="B578" s="2" t="s">
        <v>1058</v>
      </c>
      <c r="C578" s="3" t="s">
        <v>1012</v>
      </c>
      <c r="D578" s="2">
        <f t="shared" si="8"/>
        <v>500</v>
      </c>
    </row>
    <row r="579" spans="1:4" x14ac:dyDescent="0.3">
      <c r="A579" s="3" t="s">
        <v>584</v>
      </c>
      <c r="B579" s="2" t="s">
        <v>1029</v>
      </c>
      <c r="C579" s="3" t="s">
        <v>1008</v>
      </c>
      <c r="D579" s="2">
        <f t="shared" ref="D579:D642" si="9">_xlfn.XLOOKUP(B579, $H$11:$H$24, $I$11:$I$24, _xlfn.XLOOKUP(B579, $J$11:$J$24, $K$11:$K$24,_xlfn.XLOOKUP(B579, $L$11:$L$23,$M$11:$M$23,_xlfn.XLOOKUP(B579, $N$11:$N$18,$O$11:$O$18,_xlfn.XLOOKUP(B579, $P$11:$P$26,$Q$11:$Q$26,_xlfn.XLOOKUP(B579, $R$11:$R$21,$S$11:$S$21,0))))))</f>
        <v>3000</v>
      </c>
    </row>
    <row r="580" spans="1:4" x14ac:dyDescent="0.3">
      <c r="A580" s="3" t="s">
        <v>585</v>
      </c>
      <c r="B580" s="2" t="s">
        <v>1079</v>
      </c>
      <c r="C580" s="3" t="s">
        <v>1011</v>
      </c>
      <c r="D580" s="2">
        <f t="shared" si="9"/>
        <v>5000</v>
      </c>
    </row>
    <row r="581" spans="1:4" x14ac:dyDescent="0.3">
      <c r="A581" s="3" t="s">
        <v>586</v>
      </c>
      <c r="B581" s="2" t="s">
        <v>1036</v>
      </c>
      <c r="C581" s="3" t="s">
        <v>1007</v>
      </c>
      <c r="D581" s="2">
        <f t="shared" si="9"/>
        <v>8000</v>
      </c>
    </row>
    <row r="582" spans="1:4" x14ac:dyDescent="0.3">
      <c r="A582" s="3" t="s">
        <v>587</v>
      </c>
      <c r="B582" s="2" t="s">
        <v>1058</v>
      </c>
      <c r="C582" s="3" t="s">
        <v>1012</v>
      </c>
      <c r="D582" s="2">
        <f t="shared" si="9"/>
        <v>500</v>
      </c>
    </row>
    <row r="583" spans="1:4" x14ac:dyDescent="0.3">
      <c r="A583" s="3" t="s">
        <v>588</v>
      </c>
      <c r="B583" s="2" t="s">
        <v>1082</v>
      </c>
      <c r="C583" s="3" t="s">
        <v>1011</v>
      </c>
      <c r="D583" s="2">
        <f t="shared" si="9"/>
        <v>2000</v>
      </c>
    </row>
    <row r="584" spans="1:4" x14ac:dyDescent="0.3">
      <c r="A584" s="3" t="s">
        <v>589</v>
      </c>
      <c r="B584" s="2" t="s">
        <v>1046</v>
      </c>
      <c r="C584" s="3" t="s">
        <v>1010</v>
      </c>
      <c r="D584" s="2">
        <f t="shared" si="9"/>
        <v>100</v>
      </c>
    </row>
    <row r="585" spans="1:4" x14ac:dyDescent="0.3">
      <c r="A585" s="3" t="s">
        <v>590</v>
      </c>
      <c r="B585" s="2" t="s">
        <v>1049</v>
      </c>
      <c r="C585" s="3" t="s">
        <v>1010</v>
      </c>
      <c r="D585" s="2">
        <f t="shared" si="9"/>
        <v>20</v>
      </c>
    </row>
    <row r="586" spans="1:4" x14ac:dyDescent="0.3">
      <c r="A586" s="3" t="s">
        <v>591</v>
      </c>
      <c r="B586" s="2" t="s">
        <v>1058</v>
      </c>
      <c r="C586" s="3" t="s">
        <v>1012</v>
      </c>
      <c r="D586" s="2">
        <f t="shared" si="9"/>
        <v>500</v>
      </c>
    </row>
    <row r="587" spans="1:4" x14ac:dyDescent="0.3">
      <c r="A587" s="3" t="s">
        <v>592</v>
      </c>
      <c r="B587" s="2" t="s">
        <v>1039</v>
      </c>
      <c r="C587" s="3" t="s">
        <v>1007</v>
      </c>
      <c r="D587" s="2">
        <f t="shared" si="9"/>
        <v>12000</v>
      </c>
    </row>
    <row r="588" spans="1:4" x14ac:dyDescent="0.3">
      <c r="A588" s="3" t="s">
        <v>593</v>
      </c>
      <c r="B588" s="2" t="s">
        <v>1059</v>
      </c>
      <c r="C588" s="3" t="s">
        <v>1012</v>
      </c>
      <c r="D588" s="2">
        <f t="shared" si="9"/>
        <v>200</v>
      </c>
    </row>
    <row r="589" spans="1:4" x14ac:dyDescent="0.3">
      <c r="A589" s="3" t="s">
        <v>594</v>
      </c>
      <c r="B589" s="2" t="s">
        <v>1059</v>
      </c>
      <c r="C589" s="3" t="s">
        <v>1012</v>
      </c>
      <c r="D589" s="2">
        <f t="shared" si="9"/>
        <v>200</v>
      </c>
    </row>
    <row r="590" spans="1:4" x14ac:dyDescent="0.3">
      <c r="A590" s="3" t="s">
        <v>595</v>
      </c>
      <c r="B590" s="2" t="s">
        <v>1065</v>
      </c>
      <c r="C590" s="3" t="s">
        <v>1009</v>
      </c>
      <c r="D590" s="2">
        <f t="shared" si="9"/>
        <v>200</v>
      </c>
    </row>
    <row r="591" spans="1:4" x14ac:dyDescent="0.3">
      <c r="A591" s="3" t="s">
        <v>596</v>
      </c>
      <c r="B591" s="2" t="s">
        <v>1035</v>
      </c>
      <c r="C591" s="3" t="s">
        <v>1007</v>
      </c>
      <c r="D591" s="2">
        <f t="shared" si="9"/>
        <v>15000</v>
      </c>
    </row>
    <row r="592" spans="1:4" x14ac:dyDescent="0.3">
      <c r="A592" s="3" t="s">
        <v>597</v>
      </c>
      <c r="B592" s="2" t="s">
        <v>1027</v>
      </c>
      <c r="C592" s="3" t="s">
        <v>1008</v>
      </c>
      <c r="D592" s="2">
        <f t="shared" si="9"/>
        <v>30000</v>
      </c>
    </row>
    <row r="593" spans="1:4" x14ac:dyDescent="0.3">
      <c r="A593" s="3" t="s">
        <v>598</v>
      </c>
      <c r="B593" s="2" t="s">
        <v>1022</v>
      </c>
      <c r="C593" s="3" t="s">
        <v>1008</v>
      </c>
      <c r="D593" s="2">
        <f t="shared" si="9"/>
        <v>0</v>
      </c>
    </row>
    <row r="594" spans="1:4" x14ac:dyDescent="0.3">
      <c r="A594" s="3" t="s">
        <v>599</v>
      </c>
      <c r="B594" s="2" t="s">
        <v>1084</v>
      </c>
      <c r="C594" s="3" t="s">
        <v>1011</v>
      </c>
      <c r="D594" s="2">
        <f t="shared" si="9"/>
        <v>2000</v>
      </c>
    </row>
    <row r="595" spans="1:4" x14ac:dyDescent="0.3">
      <c r="A595" s="3" t="s">
        <v>600</v>
      </c>
      <c r="B595" s="2" t="s">
        <v>1024</v>
      </c>
      <c r="C595" s="3" t="s">
        <v>1008</v>
      </c>
      <c r="D595" s="2">
        <f t="shared" si="9"/>
        <v>150000</v>
      </c>
    </row>
    <row r="596" spans="1:4" x14ac:dyDescent="0.3">
      <c r="A596" s="3" t="s">
        <v>601</v>
      </c>
      <c r="B596" s="2" t="s">
        <v>1047</v>
      </c>
      <c r="C596" s="3" t="s">
        <v>1010</v>
      </c>
      <c r="D596" s="2">
        <f t="shared" si="9"/>
        <v>500</v>
      </c>
    </row>
    <row r="597" spans="1:4" x14ac:dyDescent="0.3">
      <c r="A597" s="3" t="s">
        <v>602</v>
      </c>
      <c r="B597" s="2" t="s">
        <v>1025</v>
      </c>
      <c r="C597" s="3" t="s">
        <v>1008</v>
      </c>
      <c r="D597" s="2">
        <f t="shared" si="9"/>
        <v>30000</v>
      </c>
    </row>
    <row r="598" spans="1:4" x14ac:dyDescent="0.3">
      <c r="A598" s="3" t="s">
        <v>603</v>
      </c>
      <c r="B598" s="2" t="s">
        <v>1028</v>
      </c>
      <c r="C598" s="3" t="s">
        <v>1008</v>
      </c>
      <c r="D598" s="2">
        <f t="shared" si="9"/>
        <v>15000</v>
      </c>
    </row>
    <row r="599" spans="1:4" x14ac:dyDescent="0.3">
      <c r="A599" s="3" t="s">
        <v>604</v>
      </c>
      <c r="B599" s="2" t="s">
        <v>1040</v>
      </c>
      <c r="C599" s="3" t="s">
        <v>1007</v>
      </c>
      <c r="D599" s="2">
        <f t="shared" si="9"/>
        <v>5000</v>
      </c>
    </row>
    <row r="600" spans="1:4" x14ac:dyDescent="0.3">
      <c r="A600" s="3" t="s">
        <v>605</v>
      </c>
      <c r="B600" s="2" t="s">
        <v>1044</v>
      </c>
      <c r="C600" s="3" t="s">
        <v>1010</v>
      </c>
      <c r="D600" s="2">
        <f t="shared" si="9"/>
        <v>100</v>
      </c>
    </row>
    <row r="601" spans="1:4" x14ac:dyDescent="0.3">
      <c r="A601" s="3" t="s">
        <v>606</v>
      </c>
      <c r="B601" s="2" t="s">
        <v>1042</v>
      </c>
      <c r="C601" s="3" t="s">
        <v>1007</v>
      </c>
      <c r="D601" s="2">
        <f t="shared" si="9"/>
        <v>3000</v>
      </c>
    </row>
    <row r="602" spans="1:4" x14ac:dyDescent="0.3">
      <c r="A602" s="3" t="s">
        <v>607</v>
      </c>
      <c r="B602" s="2" t="s">
        <v>1022</v>
      </c>
      <c r="C602" s="3" t="s">
        <v>1008</v>
      </c>
      <c r="D602" s="2">
        <f t="shared" si="9"/>
        <v>0</v>
      </c>
    </row>
    <row r="603" spans="1:4" x14ac:dyDescent="0.3">
      <c r="A603" s="3" t="s">
        <v>608</v>
      </c>
      <c r="B603" s="2" t="s">
        <v>1085</v>
      </c>
      <c r="C603" s="3" t="s">
        <v>1011</v>
      </c>
      <c r="D603" s="2">
        <f t="shared" si="9"/>
        <v>1500</v>
      </c>
    </row>
    <row r="604" spans="1:4" x14ac:dyDescent="0.3">
      <c r="A604" s="3" t="s">
        <v>609</v>
      </c>
      <c r="B604" s="2" t="s">
        <v>1056</v>
      </c>
      <c r="C604" s="3" t="s">
        <v>1012</v>
      </c>
      <c r="D604" s="2">
        <f t="shared" si="9"/>
        <v>100</v>
      </c>
    </row>
    <row r="605" spans="1:4" x14ac:dyDescent="0.3">
      <c r="A605" s="3" t="s">
        <v>610</v>
      </c>
      <c r="B605" s="2" t="s">
        <v>1076</v>
      </c>
      <c r="C605" s="3" t="s">
        <v>1009</v>
      </c>
      <c r="D605" s="2">
        <f t="shared" si="9"/>
        <v>100</v>
      </c>
    </row>
    <row r="606" spans="1:4" x14ac:dyDescent="0.3">
      <c r="A606" s="3" t="s">
        <v>611</v>
      </c>
      <c r="B606" s="2" t="s">
        <v>1051</v>
      </c>
      <c r="C606" s="3" t="s">
        <v>1010</v>
      </c>
      <c r="D606" s="2">
        <f t="shared" si="9"/>
        <v>50</v>
      </c>
    </row>
    <row r="607" spans="1:4" x14ac:dyDescent="0.3">
      <c r="A607" s="3" t="s">
        <v>612</v>
      </c>
      <c r="B607" s="2" t="s">
        <v>1086</v>
      </c>
      <c r="C607" s="3" t="s">
        <v>1011</v>
      </c>
      <c r="D607" s="2">
        <f t="shared" si="9"/>
        <v>4500</v>
      </c>
    </row>
    <row r="608" spans="1:4" x14ac:dyDescent="0.3">
      <c r="A608" s="3" t="s">
        <v>613</v>
      </c>
      <c r="B608" s="2" t="s">
        <v>1029</v>
      </c>
      <c r="C608" s="3" t="s">
        <v>1008</v>
      </c>
      <c r="D608" s="2">
        <f t="shared" si="9"/>
        <v>3000</v>
      </c>
    </row>
    <row r="609" spans="1:4" x14ac:dyDescent="0.3">
      <c r="A609" s="3" t="s">
        <v>614</v>
      </c>
      <c r="B609" s="2" t="s">
        <v>1066</v>
      </c>
      <c r="C609" s="3" t="s">
        <v>1009</v>
      </c>
      <c r="D609" s="2">
        <f t="shared" si="9"/>
        <v>800</v>
      </c>
    </row>
    <row r="610" spans="1:4" x14ac:dyDescent="0.3">
      <c r="A610" s="3" t="s">
        <v>615</v>
      </c>
      <c r="B610" s="2" t="s">
        <v>1018</v>
      </c>
      <c r="C610" s="3" t="s">
        <v>1012</v>
      </c>
      <c r="D610" s="2">
        <f t="shared" si="9"/>
        <v>3000</v>
      </c>
    </row>
    <row r="611" spans="1:4" x14ac:dyDescent="0.3">
      <c r="A611" s="3" t="s">
        <v>616</v>
      </c>
      <c r="B611" s="2" t="s">
        <v>1081</v>
      </c>
      <c r="C611" s="3" t="s">
        <v>1011</v>
      </c>
      <c r="D611" s="2">
        <f t="shared" si="9"/>
        <v>1000</v>
      </c>
    </row>
    <row r="612" spans="1:4" x14ac:dyDescent="0.3">
      <c r="A612" s="3" t="s">
        <v>617</v>
      </c>
      <c r="B612" s="2" t="s">
        <v>1040</v>
      </c>
      <c r="C612" s="3" t="s">
        <v>1007</v>
      </c>
      <c r="D612" s="2">
        <f t="shared" si="9"/>
        <v>5000</v>
      </c>
    </row>
    <row r="613" spans="1:4" x14ac:dyDescent="0.3">
      <c r="A613" s="3" t="s">
        <v>618</v>
      </c>
      <c r="B613" s="2" t="s">
        <v>1039</v>
      </c>
      <c r="C613" s="3" t="s">
        <v>1007</v>
      </c>
      <c r="D613" s="2">
        <f t="shared" si="9"/>
        <v>12000</v>
      </c>
    </row>
    <row r="614" spans="1:4" x14ac:dyDescent="0.3">
      <c r="A614" s="3" t="s">
        <v>619</v>
      </c>
      <c r="B614" s="2" t="s">
        <v>1042</v>
      </c>
      <c r="C614" s="3" t="s">
        <v>1007</v>
      </c>
      <c r="D614" s="2">
        <f t="shared" si="9"/>
        <v>3000</v>
      </c>
    </row>
    <row r="615" spans="1:4" x14ac:dyDescent="0.3">
      <c r="A615" s="3" t="s">
        <v>620</v>
      </c>
      <c r="B615" s="2" t="s">
        <v>1040</v>
      </c>
      <c r="C615" s="3" t="s">
        <v>1007</v>
      </c>
      <c r="D615" s="2">
        <f t="shared" si="9"/>
        <v>5000</v>
      </c>
    </row>
    <row r="616" spans="1:4" x14ac:dyDescent="0.3">
      <c r="A616" s="3" t="s">
        <v>621</v>
      </c>
      <c r="B616" s="2" t="s">
        <v>1073</v>
      </c>
      <c r="C616" s="3" t="s">
        <v>1009</v>
      </c>
      <c r="D616" s="2">
        <f t="shared" si="9"/>
        <v>100</v>
      </c>
    </row>
    <row r="617" spans="1:4" x14ac:dyDescent="0.3">
      <c r="A617" s="3" t="s">
        <v>622</v>
      </c>
      <c r="B617" s="2" t="s">
        <v>1060</v>
      </c>
      <c r="C617" s="3" t="s">
        <v>1012</v>
      </c>
      <c r="D617" s="2">
        <f t="shared" si="9"/>
        <v>1500</v>
      </c>
    </row>
    <row r="618" spans="1:4" x14ac:dyDescent="0.3">
      <c r="A618" s="3" t="s">
        <v>623</v>
      </c>
      <c r="B618" s="2" t="s">
        <v>1067</v>
      </c>
      <c r="C618" s="3" t="s">
        <v>1009</v>
      </c>
      <c r="D618" s="2">
        <f t="shared" si="9"/>
        <v>100</v>
      </c>
    </row>
    <row r="619" spans="1:4" x14ac:dyDescent="0.3">
      <c r="A619" s="3" t="s">
        <v>624</v>
      </c>
      <c r="B619" s="2" t="s">
        <v>1033</v>
      </c>
      <c r="C619" s="3" t="s">
        <v>1008</v>
      </c>
      <c r="D619" s="2">
        <f t="shared" si="9"/>
        <v>4000</v>
      </c>
    </row>
    <row r="620" spans="1:4" x14ac:dyDescent="0.3">
      <c r="A620" s="3" t="s">
        <v>625</v>
      </c>
      <c r="B620" s="2" t="s">
        <v>1071</v>
      </c>
      <c r="C620" s="3" t="s">
        <v>1009</v>
      </c>
      <c r="D620" s="2">
        <f t="shared" si="9"/>
        <v>200</v>
      </c>
    </row>
    <row r="621" spans="1:4" x14ac:dyDescent="0.3">
      <c r="A621" s="3" t="s">
        <v>626</v>
      </c>
      <c r="B621" s="2" t="s">
        <v>1034</v>
      </c>
      <c r="C621" s="3" t="s">
        <v>1008</v>
      </c>
      <c r="D621" s="2">
        <f t="shared" si="9"/>
        <v>50000</v>
      </c>
    </row>
    <row r="622" spans="1:4" x14ac:dyDescent="0.3">
      <c r="A622" s="3" t="s">
        <v>627</v>
      </c>
      <c r="B622" s="2" t="s">
        <v>1059</v>
      </c>
      <c r="C622" s="3" t="s">
        <v>1012</v>
      </c>
      <c r="D622" s="2">
        <f t="shared" si="9"/>
        <v>200</v>
      </c>
    </row>
    <row r="623" spans="1:4" x14ac:dyDescent="0.3">
      <c r="A623" s="3" t="s">
        <v>628</v>
      </c>
      <c r="B623" s="2" t="s">
        <v>1062</v>
      </c>
      <c r="C623" s="3" t="s">
        <v>1009</v>
      </c>
      <c r="D623" s="2">
        <f t="shared" si="9"/>
        <v>100</v>
      </c>
    </row>
    <row r="624" spans="1:4" x14ac:dyDescent="0.3">
      <c r="A624" s="3" t="s">
        <v>629</v>
      </c>
      <c r="B624" s="2" t="s">
        <v>1036</v>
      </c>
      <c r="C624" s="3" t="s">
        <v>1007</v>
      </c>
      <c r="D624" s="2">
        <f t="shared" si="9"/>
        <v>8000</v>
      </c>
    </row>
    <row r="625" spans="1:4" x14ac:dyDescent="0.3">
      <c r="A625" s="3" t="s">
        <v>630</v>
      </c>
      <c r="B625" s="2" t="s">
        <v>1087</v>
      </c>
      <c r="C625" s="3" t="s">
        <v>1011</v>
      </c>
      <c r="D625" s="2">
        <f t="shared" si="9"/>
        <v>5000</v>
      </c>
    </row>
    <row r="626" spans="1:4" x14ac:dyDescent="0.3">
      <c r="A626" s="3" t="s">
        <v>631</v>
      </c>
      <c r="B626" s="2" t="s">
        <v>1066</v>
      </c>
      <c r="C626" s="3" t="s">
        <v>1009</v>
      </c>
      <c r="D626" s="2">
        <f t="shared" si="9"/>
        <v>800</v>
      </c>
    </row>
    <row r="627" spans="1:4" x14ac:dyDescent="0.3">
      <c r="A627" s="3" t="s">
        <v>632</v>
      </c>
      <c r="B627" s="2" t="s">
        <v>1025</v>
      </c>
      <c r="C627" s="3" t="s">
        <v>1008</v>
      </c>
      <c r="D627" s="2">
        <f t="shared" si="9"/>
        <v>30000</v>
      </c>
    </row>
    <row r="628" spans="1:4" x14ac:dyDescent="0.3">
      <c r="A628" s="3" t="s">
        <v>633</v>
      </c>
      <c r="B628" s="2" t="s">
        <v>1080</v>
      </c>
      <c r="C628" s="3" t="s">
        <v>1011</v>
      </c>
      <c r="D628" s="2">
        <f t="shared" si="9"/>
        <v>2500</v>
      </c>
    </row>
    <row r="629" spans="1:4" x14ac:dyDescent="0.3">
      <c r="A629" s="3" t="s">
        <v>634</v>
      </c>
      <c r="B629" s="2" t="s">
        <v>1077</v>
      </c>
      <c r="C629" s="3" t="s">
        <v>1011</v>
      </c>
      <c r="D629" s="2">
        <f t="shared" si="9"/>
        <v>5000</v>
      </c>
    </row>
    <row r="630" spans="1:4" x14ac:dyDescent="0.3">
      <c r="A630" s="3" t="s">
        <v>635</v>
      </c>
      <c r="B630" s="2" t="s">
        <v>1047</v>
      </c>
      <c r="C630" s="3" t="s">
        <v>1010</v>
      </c>
      <c r="D630" s="2">
        <f t="shared" si="9"/>
        <v>500</v>
      </c>
    </row>
    <row r="631" spans="1:4" x14ac:dyDescent="0.3">
      <c r="A631" s="3" t="s">
        <v>636</v>
      </c>
      <c r="B631" s="2" t="s">
        <v>1059</v>
      </c>
      <c r="C631" s="3" t="s">
        <v>1012</v>
      </c>
      <c r="D631" s="2">
        <f t="shared" si="9"/>
        <v>200</v>
      </c>
    </row>
    <row r="632" spans="1:4" x14ac:dyDescent="0.3">
      <c r="A632" s="3" t="s">
        <v>637</v>
      </c>
      <c r="B632" s="2" t="s">
        <v>1071</v>
      </c>
      <c r="C632" s="3" t="s">
        <v>1009</v>
      </c>
      <c r="D632" s="2">
        <f t="shared" si="9"/>
        <v>200</v>
      </c>
    </row>
    <row r="633" spans="1:4" x14ac:dyDescent="0.3">
      <c r="A633" s="3" t="s">
        <v>638</v>
      </c>
      <c r="B633" s="2" t="s">
        <v>1051</v>
      </c>
      <c r="C633" s="3" t="s">
        <v>1010</v>
      </c>
      <c r="D633" s="2">
        <f t="shared" si="9"/>
        <v>50</v>
      </c>
    </row>
    <row r="634" spans="1:4" x14ac:dyDescent="0.3">
      <c r="A634" s="3" t="s">
        <v>639</v>
      </c>
      <c r="B634" s="2" t="s">
        <v>1063</v>
      </c>
      <c r="C634" s="3" t="s">
        <v>1009</v>
      </c>
      <c r="D634" s="2">
        <f t="shared" si="9"/>
        <v>4500</v>
      </c>
    </row>
    <row r="635" spans="1:4" x14ac:dyDescent="0.3">
      <c r="A635" s="3" t="s">
        <v>640</v>
      </c>
      <c r="B635" s="2" t="s">
        <v>1039</v>
      </c>
      <c r="C635" s="3" t="s">
        <v>1007</v>
      </c>
      <c r="D635" s="2">
        <f t="shared" si="9"/>
        <v>12000</v>
      </c>
    </row>
    <row r="636" spans="1:4" x14ac:dyDescent="0.3">
      <c r="A636" s="3" t="s">
        <v>641</v>
      </c>
      <c r="B636" s="2" t="s">
        <v>1056</v>
      </c>
      <c r="C636" s="3" t="s">
        <v>1012</v>
      </c>
      <c r="D636" s="2">
        <f t="shared" si="9"/>
        <v>100</v>
      </c>
    </row>
    <row r="637" spans="1:4" x14ac:dyDescent="0.3">
      <c r="A637" s="3" t="s">
        <v>642</v>
      </c>
      <c r="B637" s="2" t="s">
        <v>1067</v>
      </c>
      <c r="C637" s="3" t="s">
        <v>1009</v>
      </c>
      <c r="D637" s="2">
        <f t="shared" si="9"/>
        <v>100</v>
      </c>
    </row>
    <row r="638" spans="1:4" x14ac:dyDescent="0.3">
      <c r="A638" s="3" t="s">
        <v>643</v>
      </c>
      <c r="B638" s="2" t="s">
        <v>1054</v>
      </c>
      <c r="C638" s="3" t="s">
        <v>1010</v>
      </c>
      <c r="D638" s="2">
        <f t="shared" si="9"/>
        <v>30</v>
      </c>
    </row>
    <row r="639" spans="1:4" x14ac:dyDescent="0.3">
      <c r="A639" s="3" t="s">
        <v>644</v>
      </c>
      <c r="B639" s="2" t="s">
        <v>1082</v>
      </c>
      <c r="C639" s="3" t="s">
        <v>1011</v>
      </c>
      <c r="D639" s="2">
        <f t="shared" si="9"/>
        <v>2000</v>
      </c>
    </row>
    <row r="640" spans="1:4" x14ac:dyDescent="0.3">
      <c r="A640" s="3" t="s">
        <v>645</v>
      </c>
      <c r="B640" s="2" t="s">
        <v>1025</v>
      </c>
      <c r="C640" s="3" t="s">
        <v>1008</v>
      </c>
      <c r="D640" s="2">
        <f t="shared" si="9"/>
        <v>30000</v>
      </c>
    </row>
    <row r="641" spans="1:4" x14ac:dyDescent="0.3">
      <c r="A641" s="3" t="s">
        <v>646</v>
      </c>
      <c r="B641" s="2" t="s">
        <v>1023</v>
      </c>
      <c r="C641" s="3" t="s">
        <v>1008</v>
      </c>
      <c r="D641" s="2">
        <f t="shared" si="9"/>
        <v>20000</v>
      </c>
    </row>
    <row r="642" spans="1:4" x14ac:dyDescent="0.3">
      <c r="A642" s="3" t="s">
        <v>647</v>
      </c>
      <c r="B642" s="2" t="s">
        <v>1049</v>
      </c>
      <c r="C642" s="3" t="s">
        <v>1010</v>
      </c>
      <c r="D642" s="2">
        <f t="shared" si="9"/>
        <v>20</v>
      </c>
    </row>
    <row r="643" spans="1:4" x14ac:dyDescent="0.3">
      <c r="A643" s="3" t="s">
        <v>648</v>
      </c>
      <c r="B643" s="2" t="s">
        <v>1079</v>
      </c>
      <c r="C643" s="3" t="s">
        <v>1011</v>
      </c>
      <c r="D643" s="2">
        <f t="shared" ref="D643:D706" si="10">_xlfn.XLOOKUP(B643, $H$11:$H$24, $I$11:$I$24, _xlfn.XLOOKUP(B643, $J$11:$J$24, $K$11:$K$24,_xlfn.XLOOKUP(B643, $L$11:$L$23,$M$11:$M$23,_xlfn.XLOOKUP(B643, $N$11:$N$18,$O$11:$O$18,_xlfn.XLOOKUP(B643, $P$11:$P$26,$Q$11:$Q$26,_xlfn.XLOOKUP(B643, $R$11:$R$21,$S$11:$S$21,0))))))</f>
        <v>5000</v>
      </c>
    </row>
    <row r="644" spans="1:4" x14ac:dyDescent="0.3">
      <c r="A644" s="3" t="s">
        <v>649</v>
      </c>
      <c r="B644" s="2" t="s">
        <v>1075</v>
      </c>
      <c r="C644" s="3" t="s">
        <v>1009</v>
      </c>
      <c r="D644" s="2">
        <f t="shared" si="10"/>
        <v>2000</v>
      </c>
    </row>
    <row r="645" spans="1:4" x14ac:dyDescent="0.3">
      <c r="A645" s="3" t="s">
        <v>650</v>
      </c>
      <c r="B645" s="2" t="s">
        <v>1064</v>
      </c>
      <c r="C645" s="3" t="s">
        <v>1009</v>
      </c>
      <c r="D645" s="2">
        <f t="shared" si="10"/>
        <v>15000</v>
      </c>
    </row>
    <row r="646" spans="1:4" x14ac:dyDescent="0.3">
      <c r="A646" s="3" t="s">
        <v>651</v>
      </c>
      <c r="B646" s="2" t="s">
        <v>1024</v>
      </c>
      <c r="C646" s="3" t="s">
        <v>1008</v>
      </c>
      <c r="D646" s="2">
        <f t="shared" si="10"/>
        <v>150000</v>
      </c>
    </row>
    <row r="647" spans="1:4" x14ac:dyDescent="0.3">
      <c r="A647" s="3" t="s">
        <v>652</v>
      </c>
      <c r="B647" s="2" t="s">
        <v>1071</v>
      </c>
      <c r="C647" s="3" t="s">
        <v>1009</v>
      </c>
      <c r="D647" s="2">
        <f t="shared" si="10"/>
        <v>200</v>
      </c>
    </row>
    <row r="648" spans="1:4" x14ac:dyDescent="0.3">
      <c r="A648" s="3" t="s">
        <v>653</v>
      </c>
      <c r="B648" s="2" t="s">
        <v>1069</v>
      </c>
      <c r="C648" s="3" t="s">
        <v>1009</v>
      </c>
      <c r="D648" s="2">
        <f t="shared" si="10"/>
        <v>200</v>
      </c>
    </row>
    <row r="649" spans="1:4" x14ac:dyDescent="0.3">
      <c r="A649" s="3" t="s">
        <v>654</v>
      </c>
      <c r="B649" s="2" t="s">
        <v>1047</v>
      </c>
      <c r="C649" s="3" t="s">
        <v>1010</v>
      </c>
      <c r="D649" s="2">
        <f t="shared" si="10"/>
        <v>500</v>
      </c>
    </row>
    <row r="650" spans="1:4" x14ac:dyDescent="0.3">
      <c r="A650" s="3" t="s">
        <v>655</v>
      </c>
      <c r="B650" s="2" t="s">
        <v>1057</v>
      </c>
      <c r="C650" s="3" t="s">
        <v>1012</v>
      </c>
      <c r="D650" s="2">
        <f t="shared" si="10"/>
        <v>500</v>
      </c>
    </row>
    <row r="651" spans="1:4" x14ac:dyDescent="0.3">
      <c r="A651" s="3" t="s">
        <v>656</v>
      </c>
      <c r="B651" s="2" t="s">
        <v>1025</v>
      </c>
      <c r="C651" s="3" t="s">
        <v>1008</v>
      </c>
      <c r="D651" s="2">
        <f t="shared" si="10"/>
        <v>30000</v>
      </c>
    </row>
    <row r="652" spans="1:4" x14ac:dyDescent="0.3">
      <c r="A652" s="3" t="s">
        <v>657</v>
      </c>
      <c r="B652" s="2" t="s">
        <v>1052</v>
      </c>
      <c r="C652" s="3" t="s">
        <v>1010</v>
      </c>
      <c r="D652" s="2">
        <f t="shared" si="10"/>
        <v>100</v>
      </c>
    </row>
    <row r="653" spans="1:4" x14ac:dyDescent="0.3">
      <c r="A653" s="3" t="s">
        <v>658</v>
      </c>
      <c r="B653" s="2" t="s">
        <v>1064</v>
      </c>
      <c r="C653" s="3" t="s">
        <v>1009</v>
      </c>
      <c r="D653" s="2">
        <f t="shared" si="10"/>
        <v>15000</v>
      </c>
    </row>
    <row r="654" spans="1:4" x14ac:dyDescent="0.3">
      <c r="A654" s="3" t="s">
        <v>659</v>
      </c>
      <c r="B654" s="2" t="s">
        <v>1083</v>
      </c>
      <c r="C654" s="3" t="s">
        <v>1011</v>
      </c>
      <c r="D654" s="2">
        <f t="shared" si="10"/>
        <v>3000</v>
      </c>
    </row>
    <row r="655" spans="1:4" x14ac:dyDescent="0.3">
      <c r="A655" s="3" t="s">
        <v>660</v>
      </c>
      <c r="B655" s="2" t="s">
        <v>1041</v>
      </c>
      <c r="C655" s="3" t="s">
        <v>1007</v>
      </c>
      <c r="D655" s="2">
        <f t="shared" si="10"/>
        <v>2000</v>
      </c>
    </row>
    <row r="656" spans="1:4" x14ac:dyDescent="0.3">
      <c r="A656" s="3" t="s">
        <v>661</v>
      </c>
      <c r="B656" s="2" t="s">
        <v>1083</v>
      </c>
      <c r="C656" s="3" t="s">
        <v>1011</v>
      </c>
      <c r="D656" s="2">
        <f t="shared" si="10"/>
        <v>3000</v>
      </c>
    </row>
    <row r="657" spans="1:4" x14ac:dyDescent="0.3">
      <c r="A657" s="3" t="s">
        <v>662</v>
      </c>
      <c r="B657" s="2" t="s">
        <v>1069</v>
      </c>
      <c r="C657" s="3" t="s">
        <v>1009</v>
      </c>
      <c r="D657" s="2">
        <f t="shared" si="10"/>
        <v>200</v>
      </c>
    </row>
    <row r="658" spans="1:4" x14ac:dyDescent="0.3">
      <c r="A658" s="3" t="s">
        <v>663</v>
      </c>
      <c r="B658" s="2" t="s">
        <v>1028</v>
      </c>
      <c r="C658" s="3" t="s">
        <v>1008</v>
      </c>
      <c r="D658" s="2">
        <f t="shared" si="10"/>
        <v>15000</v>
      </c>
    </row>
    <row r="659" spans="1:4" x14ac:dyDescent="0.3">
      <c r="A659" s="3" t="s">
        <v>664</v>
      </c>
      <c r="B659" s="2" t="s">
        <v>1031</v>
      </c>
      <c r="C659" s="3" t="s">
        <v>1008</v>
      </c>
      <c r="D659" s="2">
        <f t="shared" si="10"/>
        <v>40000</v>
      </c>
    </row>
    <row r="660" spans="1:4" x14ac:dyDescent="0.3">
      <c r="A660" s="3" t="s">
        <v>665</v>
      </c>
      <c r="B660" s="2" t="s">
        <v>1054</v>
      </c>
      <c r="C660" s="3" t="s">
        <v>1010</v>
      </c>
      <c r="D660" s="2">
        <f t="shared" si="10"/>
        <v>30</v>
      </c>
    </row>
    <row r="661" spans="1:4" x14ac:dyDescent="0.3">
      <c r="A661" s="3" t="s">
        <v>666</v>
      </c>
      <c r="B661" s="2" t="s">
        <v>1071</v>
      </c>
      <c r="C661" s="3" t="s">
        <v>1009</v>
      </c>
      <c r="D661" s="2">
        <f t="shared" si="10"/>
        <v>200</v>
      </c>
    </row>
    <row r="662" spans="1:4" x14ac:dyDescent="0.3">
      <c r="A662" s="3" t="s">
        <v>667</v>
      </c>
      <c r="B662" s="2" t="s">
        <v>1073</v>
      </c>
      <c r="C662" s="3" t="s">
        <v>1009</v>
      </c>
      <c r="D662" s="2">
        <f t="shared" si="10"/>
        <v>100</v>
      </c>
    </row>
    <row r="663" spans="1:4" x14ac:dyDescent="0.3">
      <c r="A663" s="3" t="s">
        <v>668</v>
      </c>
      <c r="B663" s="2" t="s">
        <v>1037</v>
      </c>
      <c r="C663" s="3" t="s">
        <v>1007</v>
      </c>
      <c r="D663" s="2">
        <f t="shared" si="10"/>
        <v>10000</v>
      </c>
    </row>
    <row r="664" spans="1:4" x14ac:dyDescent="0.3">
      <c r="A664" s="3" t="s">
        <v>669</v>
      </c>
      <c r="B664" s="2" t="s">
        <v>1017</v>
      </c>
      <c r="C664" s="3" t="s">
        <v>1012</v>
      </c>
      <c r="D664" s="2">
        <f t="shared" si="10"/>
        <v>200</v>
      </c>
    </row>
    <row r="665" spans="1:4" x14ac:dyDescent="0.3">
      <c r="A665" s="3" t="s">
        <v>670</v>
      </c>
      <c r="B665" s="2" t="s">
        <v>1054</v>
      </c>
      <c r="C665" s="3" t="s">
        <v>1010</v>
      </c>
      <c r="D665" s="2">
        <f t="shared" si="10"/>
        <v>30</v>
      </c>
    </row>
    <row r="666" spans="1:4" x14ac:dyDescent="0.3">
      <c r="A666" s="3" t="s">
        <v>671</v>
      </c>
      <c r="B666" s="2" t="s">
        <v>1084</v>
      </c>
      <c r="C666" s="3" t="s">
        <v>1011</v>
      </c>
      <c r="D666" s="2">
        <f t="shared" si="10"/>
        <v>2000</v>
      </c>
    </row>
    <row r="667" spans="1:4" x14ac:dyDescent="0.3">
      <c r="A667" s="3" t="s">
        <v>672</v>
      </c>
      <c r="B667" s="2" t="s">
        <v>1056</v>
      </c>
      <c r="C667" s="3" t="s">
        <v>1012</v>
      </c>
      <c r="D667" s="2">
        <f t="shared" si="10"/>
        <v>100</v>
      </c>
    </row>
    <row r="668" spans="1:4" x14ac:dyDescent="0.3">
      <c r="A668" s="3" t="s">
        <v>673</v>
      </c>
      <c r="B668" s="2" t="s">
        <v>1057</v>
      </c>
      <c r="C668" s="3" t="s">
        <v>1012</v>
      </c>
      <c r="D668" s="2">
        <f t="shared" si="10"/>
        <v>500</v>
      </c>
    </row>
    <row r="669" spans="1:4" x14ac:dyDescent="0.3">
      <c r="A669" s="3" t="s">
        <v>674</v>
      </c>
      <c r="B669" s="2" t="s">
        <v>1063</v>
      </c>
      <c r="C669" s="3" t="s">
        <v>1009</v>
      </c>
      <c r="D669" s="2">
        <f t="shared" si="10"/>
        <v>4500</v>
      </c>
    </row>
    <row r="670" spans="1:4" x14ac:dyDescent="0.3">
      <c r="A670" s="3" t="s">
        <v>675</v>
      </c>
      <c r="B670" s="2" t="s">
        <v>1085</v>
      </c>
      <c r="C670" s="3" t="s">
        <v>1011</v>
      </c>
      <c r="D670" s="2">
        <f t="shared" si="10"/>
        <v>1500</v>
      </c>
    </row>
    <row r="671" spans="1:4" x14ac:dyDescent="0.3">
      <c r="A671" s="3" t="s">
        <v>676</v>
      </c>
      <c r="B671" s="2" t="s">
        <v>1017</v>
      </c>
      <c r="C671" s="3" t="s">
        <v>1012</v>
      </c>
      <c r="D671" s="2">
        <f t="shared" si="10"/>
        <v>200</v>
      </c>
    </row>
    <row r="672" spans="1:4" x14ac:dyDescent="0.3">
      <c r="A672" s="3" t="s">
        <v>677</v>
      </c>
      <c r="B672" s="2" t="s">
        <v>1056</v>
      </c>
      <c r="C672" s="3" t="s">
        <v>1012</v>
      </c>
      <c r="D672" s="2">
        <f t="shared" si="10"/>
        <v>100</v>
      </c>
    </row>
    <row r="673" spans="1:4" x14ac:dyDescent="0.3">
      <c r="A673" s="3" t="s">
        <v>678</v>
      </c>
      <c r="B673" s="2" t="s">
        <v>1041</v>
      </c>
      <c r="C673" s="3" t="s">
        <v>1007</v>
      </c>
      <c r="D673" s="2">
        <f t="shared" si="10"/>
        <v>2000</v>
      </c>
    </row>
    <row r="674" spans="1:4" x14ac:dyDescent="0.3">
      <c r="A674" s="3" t="s">
        <v>679</v>
      </c>
      <c r="B674" s="2" t="s">
        <v>1030</v>
      </c>
      <c r="C674" s="3" t="s">
        <v>1008</v>
      </c>
      <c r="D674" s="2">
        <f t="shared" si="10"/>
        <v>70000</v>
      </c>
    </row>
    <row r="675" spans="1:4" x14ac:dyDescent="0.3">
      <c r="A675" s="3" t="s">
        <v>680</v>
      </c>
      <c r="B675" s="2" t="s">
        <v>1066</v>
      </c>
      <c r="C675" s="3" t="s">
        <v>1009</v>
      </c>
      <c r="D675" s="2">
        <f t="shared" si="10"/>
        <v>800</v>
      </c>
    </row>
    <row r="676" spans="1:4" x14ac:dyDescent="0.3">
      <c r="A676" s="3" t="s">
        <v>681</v>
      </c>
      <c r="B676" s="2" t="s">
        <v>1031</v>
      </c>
      <c r="C676" s="3" t="s">
        <v>1008</v>
      </c>
      <c r="D676" s="2">
        <f t="shared" si="10"/>
        <v>40000</v>
      </c>
    </row>
    <row r="677" spans="1:4" x14ac:dyDescent="0.3">
      <c r="A677" s="3" t="s">
        <v>682</v>
      </c>
      <c r="B677" s="2" t="s">
        <v>1033</v>
      </c>
      <c r="C677" s="3" t="s">
        <v>1008</v>
      </c>
      <c r="D677" s="2">
        <f t="shared" si="10"/>
        <v>4000</v>
      </c>
    </row>
    <row r="678" spans="1:4" x14ac:dyDescent="0.3">
      <c r="A678" s="3" t="s">
        <v>683</v>
      </c>
      <c r="B678" s="2" t="s">
        <v>1038</v>
      </c>
      <c r="C678" s="3" t="s">
        <v>1007</v>
      </c>
      <c r="D678" s="2">
        <f t="shared" si="10"/>
        <v>5000</v>
      </c>
    </row>
    <row r="679" spans="1:4" x14ac:dyDescent="0.3">
      <c r="A679" s="3" t="s">
        <v>684</v>
      </c>
      <c r="B679" s="2" t="s">
        <v>1026</v>
      </c>
      <c r="C679" s="3" t="s">
        <v>1008</v>
      </c>
      <c r="D679" s="2">
        <f t="shared" si="10"/>
        <v>6000</v>
      </c>
    </row>
    <row r="680" spans="1:4" x14ac:dyDescent="0.3">
      <c r="A680" s="3" t="s">
        <v>685</v>
      </c>
      <c r="B680" s="2" t="s">
        <v>1077</v>
      </c>
      <c r="C680" s="3" t="s">
        <v>1011</v>
      </c>
      <c r="D680" s="2">
        <f t="shared" si="10"/>
        <v>5000</v>
      </c>
    </row>
    <row r="681" spans="1:4" x14ac:dyDescent="0.3">
      <c r="A681" s="3" t="s">
        <v>686</v>
      </c>
      <c r="B681" s="2" t="s">
        <v>1055</v>
      </c>
      <c r="C681" s="3" t="s">
        <v>1010</v>
      </c>
      <c r="D681" s="2">
        <f t="shared" si="10"/>
        <v>50</v>
      </c>
    </row>
    <row r="682" spans="1:4" x14ac:dyDescent="0.3">
      <c r="A682" s="3" t="s">
        <v>687</v>
      </c>
      <c r="B682" s="2" t="s">
        <v>1031</v>
      </c>
      <c r="C682" s="3" t="s">
        <v>1008</v>
      </c>
      <c r="D682" s="2">
        <f t="shared" si="10"/>
        <v>40000</v>
      </c>
    </row>
    <row r="683" spans="1:4" x14ac:dyDescent="0.3">
      <c r="A683" s="3" t="s">
        <v>688</v>
      </c>
      <c r="B683" s="2" t="s">
        <v>1068</v>
      </c>
      <c r="C683" s="3" t="s">
        <v>1009</v>
      </c>
      <c r="D683" s="2">
        <f t="shared" si="10"/>
        <v>100</v>
      </c>
    </row>
    <row r="684" spans="1:4" x14ac:dyDescent="0.3">
      <c r="A684" s="3" t="s">
        <v>689</v>
      </c>
      <c r="B684" s="2" t="s">
        <v>1054</v>
      </c>
      <c r="C684" s="3" t="s">
        <v>1010</v>
      </c>
      <c r="D684" s="2">
        <f t="shared" si="10"/>
        <v>30</v>
      </c>
    </row>
    <row r="685" spans="1:4" x14ac:dyDescent="0.3">
      <c r="A685" s="3" t="s">
        <v>690</v>
      </c>
      <c r="B685" s="2" t="s">
        <v>1042</v>
      </c>
      <c r="C685" s="3" t="s">
        <v>1007</v>
      </c>
      <c r="D685" s="2">
        <f t="shared" si="10"/>
        <v>3000</v>
      </c>
    </row>
    <row r="686" spans="1:4" x14ac:dyDescent="0.3">
      <c r="A686" s="3" t="s">
        <v>691</v>
      </c>
      <c r="B686" s="2" t="s">
        <v>1060</v>
      </c>
      <c r="C686" s="3" t="s">
        <v>1012</v>
      </c>
      <c r="D686" s="2">
        <f t="shared" si="10"/>
        <v>1500</v>
      </c>
    </row>
    <row r="687" spans="1:4" x14ac:dyDescent="0.3">
      <c r="A687" s="3" t="s">
        <v>692</v>
      </c>
      <c r="B687" s="2" t="s">
        <v>1037</v>
      </c>
      <c r="C687" s="3" t="s">
        <v>1007</v>
      </c>
      <c r="D687" s="2">
        <f t="shared" si="10"/>
        <v>10000</v>
      </c>
    </row>
    <row r="688" spans="1:4" x14ac:dyDescent="0.3">
      <c r="A688" s="3" t="s">
        <v>693</v>
      </c>
      <c r="B688" s="2" t="s">
        <v>1023</v>
      </c>
      <c r="C688" s="3" t="s">
        <v>1008</v>
      </c>
      <c r="D688" s="2">
        <f t="shared" si="10"/>
        <v>20000</v>
      </c>
    </row>
    <row r="689" spans="1:4" x14ac:dyDescent="0.3">
      <c r="A689" s="3" t="s">
        <v>694</v>
      </c>
      <c r="B689" s="2" t="s">
        <v>1060</v>
      </c>
      <c r="C689" s="3" t="s">
        <v>1012</v>
      </c>
      <c r="D689" s="2">
        <f t="shared" si="10"/>
        <v>1500</v>
      </c>
    </row>
    <row r="690" spans="1:4" x14ac:dyDescent="0.3">
      <c r="A690" s="3" t="s">
        <v>695</v>
      </c>
      <c r="B690" s="2" t="s">
        <v>1081</v>
      </c>
      <c r="C690" s="3" t="s">
        <v>1011</v>
      </c>
      <c r="D690" s="2">
        <f t="shared" si="10"/>
        <v>1000</v>
      </c>
    </row>
    <row r="691" spans="1:4" x14ac:dyDescent="0.3">
      <c r="A691" s="3" t="s">
        <v>696</v>
      </c>
      <c r="B691" s="2" t="s">
        <v>1025</v>
      </c>
      <c r="C691" s="3" t="s">
        <v>1008</v>
      </c>
      <c r="D691" s="2">
        <f t="shared" si="10"/>
        <v>30000</v>
      </c>
    </row>
    <row r="692" spans="1:4" x14ac:dyDescent="0.3">
      <c r="A692" s="3" t="s">
        <v>697</v>
      </c>
      <c r="B692" s="2" t="s">
        <v>1039</v>
      </c>
      <c r="C692" s="3" t="s">
        <v>1007</v>
      </c>
      <c r="D692" s="2">
        <f t="shared" si="10"/>
        <v>12000</v>
      </c>
    </row>
    <row r="693" spans="1:4" x14ac:dyDescent="0.3">
      <c r="A693" s="3" t="s">
        <v>698</v>
      </c>
      <c r="B693" s="2" t="s">
        <v>1056</v>
      </c>
      <c r="C693" s="3" t="s">
        <v>1012</v>
      </c>
      <c r="D693" s="2">
        <f t="shared" si="10"/>
        <v>100</v>
      </c>
    </row>
    <row r="694" spans="1:4" x14ac:dyDescent="0.3">
      <c r="A694" s="3" t="s">
        <v>699</v>
      </c>
      <c r="B694" s="2" t="s">
        <v>1028</v>
      </c>
      <c r="C694" s="3" t="s">
        <v>1008</v>
      </c>
      <c r="D694" s="2">
        <f t="shared" si="10"/>
        <v>15000</v>
      </c>
    </row>
    <row r="695" spans="1:4" x14ac:dyDescent="0.3">
      <c r="A695" s="3" t="s">
        <v>700</v>
      </c>
      <c r="B695" s="2" t="s">
        <v>1034</v>
      </c>
      <c r="C695" s="3" t="s">
        <v>1008</v>
      </c>
      <c r="D695" s="2">
        <f t="shared" si="10"/>
        <v>50000</v>
      </c>
    </row>
    <row r="696" spans="1:4" x14ac:dyDescent="0.3">
      <c r="A696" s="3" t="s">
        <v>701</v>
      </c>
      <c r="B696" s="2" t="s">
        <v>1039</v>
      </c>
      <c r="C696" s="3" t="s">
        <v>1007</v>
      </c>
      <c r="D696" s="2">
        <f t="shared" si="10"/>
        <v>12000</v>
      </c>
    </row>
    <row r="697" spans="1:4" x14ac:dyDescent="0.3">
      <c r="A697" s="3" t="s">
        <v>702</v>
      </c>
      <c r="B697" s="2" t="s">
        <v>1076</v>
      </c>
      <c r="C697" s="3" t="s">
        <v>1009</v>
      </c>
      <c r="D697" s="2">
        <f t="shared" si="10"/>
        <v>100</v>
      </c>
    </row>
    <row r="698" spans="1:4" x14ac:dyDescent="0.3">
      <c r="A698" s="3" t="s">
        <v>703</v>
      </c>
      <c r="B698" s="2" t="s">
        <v>1071</v>
      </c>
      <c r="C698" s="3" t="s">
        <v>1009</v>
      </c>
      <c r="D698" s="2">
        <f t="shared" si="10"/>
        <v>200</v>
      </c>
    </row>
    <row r="699" spans="1:4" x14ac:dyDescent="0.3">
      <c r="A699" s="3" t="s">
        <v>704</v>
      </c>
      <c r="B699" s="2" t="s">
        <v>1051</v>
      </c>
      <c r="C699" s="3" t="s">
        <v>1010</v>
      </c>
      <c r="D699" s="2">
        <f t="shared" si="10"/>
        <v>50</v>
      </c>
    </row>
    <row r="700" spans="1:4" x14ac:dyDescent="0.3">
      <c r="A700" s="3" t="s">
        <v>705</v>
      </c>
      <c r="B700" s="2" t="s">
        <v>1074</v>
      </c>
      <c r="C700" s="3" t="s">
        <v>1009</v>
      </c>
      <c r="D700" s="2">
        <f t="shared" si="10"/>
        <v>500</v>
      </c>
    </row>
    <row r="701" spans="1:4" x14ac:dyDescent="0.3">
      <c r="A701" s="3" t="s">
        <v>706</v>
      </c>
      <c r="B701" s="2" t="s">
        <v>1021</v>
      </c>
      <c r="C701" s="3" t="s">
        <v>1008</v>
      </c>
      <c r="D701" s="2">
        <f t="shared" si="10"/>
        <v>20000</v>
      </c>
    </row>
    <row r="702" spans="1:4" x14ac:dyDescent="0.3">
      <c r="A702" s="3" t="s">
        <v>707</v>
      </c>
      <c r="B702" s="2" t="s">
        <v>1083</v>
      </c>
      <c r="C702" s="3" t="s">
        <v>1011</v>
      </c>
      <c r="D702" s="2">
        <f t="shared" si="10"/>
        <v>3000</v>
      </c>
    </row>
    <row r="703" spans="1:4" x14ac:dyDescent="0.3">
      <c r="A703" s="3" t="s">
        <v>708</v>
      </c>
      <c r="B703" s="2" t="s">
        <v>1058</v>
      </c>
      <c r="C703" s="3" t="s">
        <v>1012</v>
      </c>
      <c r="D703" s="2">
        <f t="shared" si="10"/>
        <v>500</v>
      </c>
    </row>
    <row r="704" spans="1:4" x14ac:dyDescent="0.3">
      <c r="A704" s="3" t="s">
        <v>709</v>
      </c>
      <c r="B704" s="2" t="s">
        <v>1061</v>
      </c>
      <c r="C704" s="3" t="s">
        <v>1012</v>
      </c>
      <c r="D704" s="2">
        <f t="shared" si="10"/>
        <v>500</v>
      </c>
    </row>
    <row r="705" spans="1:4" x14ac:dyDescent="0.3">
      <c r="A705" s="3" t="s">
        <v>710</v>
      </c>
      <c r="B705" s="2" t="s">
        <v>1061</v>
      </c>
      <c r="C705" s="3" t="s">
        <v>1012</v>
      </c>
      <c r="D705" s="2">
        <f t="shared" si="10"/>
        <v>500</v>
      </c>
    </row>
    <row r="706" spans="1:4" x14ac:dyDescent="0.3">
      <c r="A706" s="3" t="s">
        <v>711</v>
      </c>
      <c r="B706" s="2" t="s">
        <v>1058</v>
      </c>
      <c r="C706" s="3" t="s">
        <v>1012</v>
      </c>
      <c r="D706" s="2">
        <f t="shared" si="10"/>
        <v>500</v>
      </c>
    </row>
    <row r="707" spans="1:4" x14ac:dyDescent="0.3">
      <c r="A707" s="3" t="s">
        <v>712</v>
      </c>
      <c r="B707" s="2" t="s">
        <v>1073</v>
      </c>
      <c r="C707" s="3" t="s">
        <v>1009</v>
      </c>
      <c r="D707" s="2">
        <f t="shared" ref="D707:D770" si="11">_xlfn.XLOOKUP(B707, $H$11:$H$24, $I$11:$I$24, _xlfn.XLOOKUP(B707, $J$11:$J$24, $K$11:$K$24,_xlfn.XLOOKUP(B707, $L$11:$L$23,$M$11:$M$23,_xlfn.XLOOKUP(B707, $N$11:$N$18,$O$11:$O$18,_xlfn.XLOOKUP(B707, $P$11:$P$26,$Q$11:$Q$26,_xlfn.XLOOKUP(B707, $R$11:$R$21,$S$11:$S$21,0))))))</f>
        <v>100</v>
      </c>
    </row>
    <row r="708" spans="1:4" x14ac:dyDescent="0.3">
      <c r="A708" s="3" t="s">
        <v>713</v>
      </c>
      <c r="B708" s="2" t="s">
        <v>1063</v>
      </c>
      <c r="C708" s="3" t="s">
        <v>1009</v>
      </c>
      <c r="D708" s="2">
        <f t="shared" si="11"/>
        <v>4500</v>
      </c>
    </row>
    <row r="709" spans="1:4" x14ac:dyDescent="0.3">
      <c r="A709" s="3" t="s">
        <v>714</v>
      </c>
      <c r="B709" s="2" t="s">
        <v>1082</v>
      </c>
      <c r="C709" s="3" t="s">
        <v>1011</v>
      </c>
      <c r="D709" s="2">
        <f t="shared" si="11"/>
        <v>2000</v>
      </c>
    </row>
    <row r="710" spans="1:4" x14ac:dyDescent="0.3">
      <c r="A710" s="3" t="s">
        <v>715</v>
      </c>
      <c r="B710" s="2" t="s">
        <v>1073</v>
      </c>
      <c r="C710" s="3" t="s">
        <v>1009</v>
      </c>
      <c r="D710" s="2">
        <f t="shared" si="11"/>
        <v>100</v>
      </c>
    </row>
    <row r="711" spans="1:4" x14ac:dyDescent="0.3">
      <c r="A711" s="3" t="s">
        <v>716</v>
      </c>
      <c r="B711" s="2" t="s">
        <v>1057</v>
      </c>
      <c r="C711" s="3" t="s">
        <v>1012</v>
      </c>
      <c r="D711" s="2">
        <f t="shared" si="11"/>
        <v>500</v>
      </c>
    </row>
    <row r="712" spans="1:4" x14ac:dyDescent="0.3">
      <c r="A712" s="3" t="s">
        <v>717</v>
      </c>
      <c r="B712" s="2" t="s">
        <v>1084</v>
      </c>
      <c r="C712" s="3" t="s">
        <v>1011</v>
      </c>
      <c r="D712" s="2">
        <f t="shared" si="11"/>
        <v>2000</v>
      </c>
    </row>
    <row r="713" spans="1:4" x14ac:dyDescent="0.3">
      <c r="A713" s="3" t="s">
        <v>718</v>
      </c>
      <c r="B713" s="2" t="s">
        <v>1037</v>
      </c>
      <c r="C713" s="3" t="s">
        <v>1007</v>
      </c>
      <c r="D713" s="2">
        <f t="shared" si="11"/>
        <v>10000</v>
      </c>
    </row>
    <row r="714" spans="1:4" x14ac:dyDescent="0.3">
      <c r="A714" s="3" t="s">
        <v>719</v>
      </c>
      <c r="B714" s="2" t="s">
        <v>1049</v>
      </c>
      <c r="C714" s="3" t="s">
        <v>1010</v>
      </c>
      <c r="D714" s="2">
        <f t="shared" si="11"/>
        <v>20</v>
      </c>
    </row>
    <row r="715" spans="1:4" x14ac:dyDescent="0.3">
      <c r="A715" s="3" t="s">
        <v>720</v>
      </c>
      <c r="B715" s="2" t="s">
        <v>1085</v>
      </c>
      <c r="C715" s="3" t="s">
        <v>1011</v>
      </c>
      <c r="D715" s="2">
        <f t="shared" si="11"/>
        <v>1500</v>
      </c>
    </row>
    <row r="716" spans="1:4" x14ac:dyDescent="0.3">
      <c r="A716" s="3" t="s">
        <v>721</v>
      </c>
      <c r="B716" s="2" t="s">
        <v>1045</v>
      </c>
      <c r="C716" s="3" t="s">
        <v>1010</v>
      </c>
      <c r="D716" s="2">
        <f t="shared" si="11"/>
        <v>100</v>
      </c>
    </row>
    <row r="717" spans="1:4" x14ac:dyDescent="0.3">
      <c r="A717" s="3" t="s">
        <v>722</v>
      </c>
      <c r="B717" s="2" t="s">
        <v>1060</v>
      </c>
      <c r="C717" s="3" t="s">
        <v>1012</v>
      </c>
      <c r="D717" s="2">
        <f t="shared" si="11"/>
        <v>1500</v>
      </c>
    </row>
    <row r="718" spans="1:4" x14ac:dyDescent="0.3">
      <c r="A718" s="3" t="s">
        <v>723</v>
      </c>
      <c r="B718" s="2" t="s">
        <v>1024</v>
      </c>
      <c r="C718" s="3" t="s">
        <v>1008</v>
      </c>
      <c r="D718" s="2">
        <f t="shared" si="11"/>
        <v>150000</v>
      </c>
    </row>
    <row r="719" spans="1:4" x14ac:dyDescent="0.3">
      <c r="A719" s="3" t="s">
        <v>724</v>
      </c>
      <c r="B719" s="2" t="s">
        <v>1026</v>
      </c>
      <c r="C719" s="3" t="s">
        <v>1008</v>
      </c>
      <c r="D719" s="2">
        <f t="shared" si="11"/>
        <v>6000</v>
      </c>
    </row>
    <row r="720" spans="1:4" x14ac:dyDescent="0.3">
      <c r="A720" s="3" t="s">
        <v>725</v>
      </c>
      <c r="B720" s="2" t="s">
        <v>1022</v>
      </c>
      <c r="C720" s="3" t="s">
        <v>1008</v>
      </c>
      <c r="D720" s="2">
        <f t="shared" si="11"/>
        <v>0</v>
      </c>
    </row>
    <row r="721" spans="1:4" x14ac:dyDescent="0.3">
      <c r="A721" s="3" t="s">
        <v>726</v>
      </c>
      <c r="B721" s="2" t="s">
        <v>1070</v>
      </c>
      <c r="C721" s="3" t="s">
        <v>1009</v>
      </c>
      <c r="D721" s="2">
        <f t="shared" si="11"/>
        <v>1500</v>
      </c>
    </row>
    <row r="722" spans="1:4" x14ac:dyDescent="0.3">
      <c r="A722" s="3" t="s">
        <v>727</v>
      </c>
      <c r="B722" s="2" t="s">
        <v>1025</v>
      </c>
      <c r="C722" s="3" t="s">
        <v>1008</v>
      </c>
      <c r="D722" s="2">
        <f t="shared" si="11"/>
        <v>30000</v>
      </c>
    </row>
    <row r="723" spans="1:4" x14ac:dyDescent="0.3">
      <c r="A723" s="3" t="s">
        <v>728</v>
      </c>
      <c r="B723" s="2" t="s">
        <v>1058</v>
      </c>
      <c r="C723" s="3" t="s">
        <v>1012</v>
      </c>
      <c r="D723" s="2">
        <f t="shared" si="11"/>
        <v>500</v>
      </c>
    </row>
    <row r="724" spans="1:4" x14ac:dyDescent="0.3">
      <c r="A724" s="3" t="s">
        <v>729</v>
      </c>
      <c r="B724" s="2" t="s">
        <v>1022</v>
      </c>
      <c r="C724" s="3" t="s">
        <v>1008</v>
      </c>
      <c r="D724" s="2">
        <f t="shared" si="11"/>
        <v>0</v>
      </c>
    </row>
    <row r="725" spans="1:4" x14ac:dyDescent="0.3">
      <c r="A725" s="3" t="s">
        <v>730</v>
      </c>
      <c r="B725" s="2" t="s">
        <v>1033</v>
      </c>
      <c r="C725" s="3" t="s">
        <v>1008</v>
      </c>
      <c r="D725" s="2">
        <f t="shared" si="11"/>
        <v>4000</v>
      </c>
    </row>
    <row r="726" spans="1:4" x14ac:dyDescent="0.3">
      <c r="A726" s="3" t="s">
        <v>731</v>
      </c>
      <c r="B726" s="2" t="s">
        <v>1066</v>
      </c>
      <c r="C726" s="3" t="s">
        <v>1009</v>
      </c>
      <c r="D726" s="2">
        <f t="shared" si="11"/>
        <v>800</v>
      </c>
    </row>
    <row r="727" spans="1:4" x14ac:dyDescent="0.3">
      <c r="A727" s="3" t="s">
        <v>732</v>
      </c>
      <c r="B727" s="2" t="s">
        <v>1065</v>
      </c>
      <c r="C727" s="3" t="s">
        <v>1009</v>
      </c>
      <c r="D727" s="2">
        <f t="shared" si="11"/>
        <v>200</v>
      </c>
    </row>
    <row r="728" spans="1:4" x14ac:dyDescent="0.3">
      <c r="A728" s="3" t="s">
        <v>733</v>
      </c>
      <c r="B728" s="2" t="s">
        <v>1048</v>
      </c>
      <c r="C728" s="3" t="s">
        <v>1010</v>
      </c>
      <c r="D728" s="2">
        <f t="shared" si="11"/>
        <v>50</v>
      </c>
    </row>
    <row r="729" spans="1:4" x14ac:dyDescent="0.3">
      <c r="A729" s="3" t="s">
        <v>734</v>
      </c>
      <c r="B729" s="2" t="s">
        <v>1081</v>
      </c>
      <c r="C729" s="3" t="s">
        <v>1011</v>
      </c>
      <c r="D729" s="2">
        <f t="shared" si="11"/>
        <v>1000</v>
      </c>
    </row>
    <row r="730" spans="1:4" x14ac:dyDescent="0.3">
      <c r="A730" s="3" t="s">
        <v>735</v>
      </c>
      <c r="B730" s="2" t="s">
        <v>1066</v>
      </c>
      <c r="C730" s="3" t="s">
        <v>1009</v>
      </c>
      <c r="D730" s="2">
        <f t="shared" si="11"/>
        <v>800</v>
      </c>
    </row>
    <row r="731" spans="1:4" x14ac:dyDescent="0.3">
      <c r="A731" s="3" t="s">
        <v>736</v>
      </c>
      <c r="B731" s="2" t="s">
        <v>1060</v>
      </c>
      <c r="C731" s="3" t="s">
        <v>1012</v>
      </c>
      <c r="D731" s="2">
        <f t="shared" si="11"/>
        <v>1500</v>
      </c>
    </row>
    <row r="732" spans="1:4" x14ac:dyDescent="0.3">
      <c r="A732" s="3" t="s">
        <v>737</v>
      </c>
      <c r="B732" s="2" t="s">
        <v>1048</v>
      </c>
      <c r="C732" s="3" t="s">
        <v>1010</v>
      </c>
      <c r="D732" s="2">
        <f t="shared" si="11"/>
        <v>50</v>
      </c>
    </row>
    <row r="733" spans="1:4" x14ac:dyDescent="0.3">
      <c r="A733" s="3" t="s">
        <v>738</v>
      </c>
      <c r="B733" s="2" t="s">
        <v>1058</v>
      </c>
      <c r="C733" s="3" t="s">
        <v>1012</v>
      </c>
      <c r="D733" s="2">
        <f t="shared" si="11"/>
        <v>500</v>
      </c>
    </row>
    <row r="734" spans="1:4" x14ac:dyDescent="0.3">
      <c r="A734" s="3" t="s">
        <v>739</v>
      </c>
      <c r="B734" s="2" t="s">
        <v>1025</v>
      </c>
      <c r="C734" s="3" t="s">
        <v>1008</v>
      </c>
      <c r="D734" s="2">
        <f t="shared" si="11"/>
        <v>30000</v>
      </c>
    </row>
    <row r="735" spans="1:4" x14ac:dyDescent="0.3">
      <c r="A735" s="3" t="s">
        <v>740</v>
      </c>
      <c r="B735" s="2" t="s">
        <v>1041</v>
      </c>
      <c r="C735" s="3" t="s">
        <v>1007</v>
      </c>
      <c r="D735" s="2">
        <f t="shared" si="11"/>
        <v>2000</v>
      </c>
    </row>
    <row r="736" spans="1:4" x14ac:dyDescent="0.3">
      <c r="A736" s="3" t="s">
        <v>741</v>
      </c>
      <c r="B736" s="2" t="s">
        <v>1049</v>
      </c>
      <c r="C736" s="3" t="s">
        <v>1010</v>
      </c>
      <c r="D736" s="2">
        <f t="shared" si="11"/>
        <v>20</v>
      </c>
    </row>
    <row r="737" spans="1:4" x14ac:dyDescent="0.3">
      <c r="A737" s="3" t="s">
        <v>742</v>
      </c>
      <c r="B737" s="2" t="s">
        <v>1037</v>
      </c>
      <c r="C737" s="3" t="s">
        <v>1007</v>
      </c>
      <c r="D737" s="2">
        <f t="shared" si="11"/>
        <v>10000</v>
      </c>
    </row>
    <row r="738" spans="1:4" x14ac:dyDescent="0.3">
      <c r="A738" s="3" t="s">
        <v>743</v>
      </c>
      <c r="B738" s="2" t="s">
        <v>1070</v>
      </c>
      <c r="C738" s="3" t="s">
        <v>1009</v>
      </c>
      <c r="D738" s="2">
        <f t="shared" si="11"/>
        <v>1500</v>
      </c>
    </row>
    <row r="739" spans="1:4" x14ac:dyDescent="0.3">
      <c r="A739" s="3" t="s">
        <v>744</v>
      </c>
      <c r="B739" s="2" t="s">
        <v>1085</v>
      </c>
      <c r="C739" s="3" t="s">
        <v>1011</v>
      </c>
      <c r="D739" s="2">
        <f t="shared" si="11"/>
        <v>1500</v>
      </c>
    </row>
    <row r="740" spans="1:4" x14ac:dyDescent="0.3">
      <c r="A740" s="3" t="s">
        <v>745</v>
      </c>
      <c r="B740" s="2" t="s">
        <v>1051</v>
      </c>
      <c r="C740" s="3" t="s">
        <v>1010</v>
      </c>
      <c r="D740" s="2">
        <f t="shared" si="11"/>
        <v>50</v>
      </c>
    </row>
    <row r="741" spans="1:4" x14ac:dyDescent="0.3">
      <c r="A741" s="3" t="s">
        <v>746</v>
      </c>
      <c r="B741" s="2" t="s">
        <v>1075</v>
      </c>
      <c r="C741" s="3" t="s">
        <v>1009</v>
      </c>
      <c r="D741" s="2">
        <f t="shared" si="11"/>
        <v>2000</v>
      </c>
    </row>
    <row r="742" spans="1:4" x14ac:dyDescent="0.3">
      <c r="A742" s="3" t="s">
        <v>747</v>
      </c>
      <c r="B742" s="2" t="s">
        <v>1057</v>
      </c>
      <c r="C742" s="3" t="s">
        <v>1012</v>
      </c>
      <c r="D742" s="2">
        <f t="shared" si="11"/>
        <v>500</v>
      </c>
    </row>
    <row r="743" spans="1:4" x14ac:dyDescent="0.3">
      <c r="A743" s="3" t="s">
        <v>748</v>
      </c>
      <c r="B743" s="2" t="s">
        <v>1054</v>
      </c>
      <c r="C743" s="3" t="s">
        <v>1010</v>
      </c>
      <c r="D743" s="2">
        <f t="shared" si="11"/>
        <v>30</v>
      </c>
    </row>
    <row r="744" spans="1:4" x14ac:dyDescent="0.3">
      <c r="A744" s="3" t="s">
        <v>749</v>
      </c>
      <c r="B744" s="2" t="s">
        <v>1076</v>
      </c>
      <c r="C744" s="3" t="s">
        <v>1009</v>
      </c>
      <c r="D744" s="2">
        <f t="shared" si="11"/>
        <v>100</v>
      </c>
    </row>
    <row r="745" spans="1:4" x14ac:dyDescent="0.3">
      <c r="A745" s="3" t="s">
        <v>750</v>
      </c>
      <c r="B745" s="2" t="s">
        <v>1024</v>
      </c>
      <c r="C745" s="3" t="s">
        <v>1008</v>
      </c>
      <c r="D745" s="2">
        <f t="shared" si="11"/>
        <v>150000</v>
      </c>
    </row>
    <row r="746" spans="1:4" x14ac:dyDescent="0.3">
      <c r="A746" s="3" t="s">
        <v>751</v>
      </c>
      <c r="B746" s="2" t="s">
        <v>1056</v>
      </c>
      <c r="C746" s="3" t="s">
        <v>1012</v>
      </c>
      <c r="D746" s="2">
        <f t="shared" si="11"/>
        <v>100</v>
      </c>
    </row>
    <row r="747" spans="1:4" x14ac:dyDescent="0.3">
      <c r="A747" s="3" t="s">
        <v>752</v>
      </c>
      <c r="B747" s="2" t="s">
        <v>1080</v>
      </c>
      <c r="C747" s="3" t="s">
        <v>1011</v>
      </c>
      <c r="D747" s="2">
        <f t="shared" si="11"/>
        <v>2500</v>
      </c>
    </row>
    <row r="748" spans="1:4" x14ac:dyDescent="0.3">
      <c r="A748" s="3" t="s">
        <v>753</v>
      </c>
      <c r="B748" s="2" t="s">
        <v>1077</v>
      </c>
      <c r="C748" s="3" t="s">
        <v>1011</v>
      </c>
      <c r="D748" s="2">
        <f t="shared" si="11"/>
        <v>5000</v>
      </c>
    </row>
    <row r="749" spans="1:4" x14ac:dyDescent="0.3">
      <c r="A749" s="3" t="s">
        <v>754</v>
      </c>
      <c r="B749" s="2" t="s">
        <v>1048</v>
      </c>
      <c r="C749" s="3" t="s">
        <v>1010</v>
      </c>
      <c r="D749" s="2">
        <f t="shared" si="11"/>
        <v>50</v>
      </c>
    </row>
    <row r="750" spans="1:4" x14ac:dyDescent="0.3">
      <c r="A750" s="3" t="s">
        <v>755</v>
      </c>
      <c r="B750" s="2" t="s">
        <v>1069</v>
      </c>
      <c r="C750" s="3" t="s">
        <v>1009</v>
      </c>
      <c r="D750" s="2">
        <f t="shared" si="11"/>
        <v>200</v>
      </c>
    </row>
    <row r="751" spans="1:4" x14ac:dyDescent="0.3">
      <c r="A751" s="3" t="s">
        <v>756</v>
      </c>
      <c r="B751" s="2" t="s">
        <v>1035</v>
      </c>
      <c r="C751" s="3" t="s">
        <v>1007</v>
      </c>
      <c r="D751" s="2">
        <f t="shared" si="11"/>
        <v>15000</v>
      </c>
    </row>
    <row r="752" spans="1:4" x14ac:dyDescent="0.3">
      <c r="A752" s="3" t="s">
        <v>757</v>
      </c>
      <c r="B752" s="2" t="s">
        <v>1061</v>
      </c>
      <c r="C752" s="3" t="s">
        <v>1012</v>
      </c>
      <c r="D752" s="2">
        <f t="shared" si="11"/>
        <v>500</v>
      </c>
    </row>
    <row r="753" spans="1:4" x14ac:dyDescent="0.3">
      <c r="A753" s="3" t="s">
        <v>758</v>
      </c>
      <c r="B753" s="2" t="s">
        <v>1069</v>
      </c>
      <c r="C753" s="3" t="s">
        <v>1009</v>
      </c>
      <c r="D753" s="2">
        <f t="shared" si="11"/>
        <v>200</v>
      </c>
    </row>
    <row r="754" spans="1:4" x14ac:dyDescent="0.3">
      <c r="A754" s="3" t="s">
        <v>759</v>
      </c>
      <c r="B754" s="2" t="s">
        <v>1051</v>
      </c>
      <c r="C754" s="3" t="s">
        <v>1010</v>
      </c>
      <c r="D754" s="2">
        <f t="shared" si="11"/>
        <v>50</v>
      </c>
    </row>
    <row r="755" spans="1:4" x14ac:dyDescent="0.3">
      <c r="A755" s="3" t="s">
        <v>760</v>
      </c>
      <c r="B755" s="2" t="s">
        <v>1060</v>
      </c>
      <c r="C755" s="3" t="s">
        <v>1012</v>
      </c>
      <c r="D755" s="2">
        <f t="shared" si="11"/>
        <v>1500</v>
      </c>
    </row>
    <row r="756" spans="1:4" x14ac:dyDescent="0.3">
      <c r="A756" s="3" t="s">
        <v>761</v>
      </c>
      <c r="B756" s="2" t="s">
        <v>1082</v>
      </c>
      <c r="C756" s="3" t="s">
        <v>1011</v>
      </c>
      <c r="D756" s="2">
        <f t="shared" si="11"/>
        <v>2000</v>
      </c>
    </row>
    <row r="757" spans="1:4" x14ac:dyDescent="0.3">
      <c r="A757" s="3" t="s">
        <v>762</v>
      </c>
      <c r="B757" s="2" t="s">
        <v>1068</v>
      </c>
      <c r="C757" s="3" t="s">
        <v>1009</v>
      </c>
      <c r="D757" s="2">
        <f t="shared" si="11"/>
        <v>100</v>
      </c>
    </row>
    <row r="758" spans="1:4" x14ac:dyDescent="0.3">
      <c r="A758" s="3" t="s">
        <v>763</v>
      </c>
      <c r="B758" s="2" t="s">
        <v>1033</v>
      </c>
      <c r="C758" s="3" t="s">
        <v>1008</v>
      </c>
      <c r="D758" s="2">
        <f t="shared" si="11"/>
        <v>4000</v>
      </c>
    </row>
    <row r="759" spans="1:4" x14ac:dyDescent="0.3">
      <c r="A759" s="3" t="s">
        <v>764</v>
      </c>
      <c r="B759" s="2" t="s">
        <v>1032</v>
      </c>
      <c r="C759" s="3" t="s">
        <v>1008</v>
      </c>
      <c r="D759" s="2">
        <f t="shared" si="11"/>
        <v>2000</v>
      </c>
    </row>
    <row r="760" spans="1:4" x14ac:dyDescent="0.3">
      <c r="A760" s="3" t="s">
        <v>765</v>
      </c>
      <c r="B760" s="2" t="s">
        <v>1081</v>
      </c>
      <c r="C760" s="3" t="s">
        <v>1011</v>
      </c>
      <c r="D760" s="2">
        <f t="shared" si="11"/>
        <v>1000</v>
      </c>
    </row>
    <row r="761" spans="1:4" x14ac:dyDescent="0.3">
      <c r="A761" s="3" t="s">
        <v>766</v>
      </c>
      <c r="B761" s="2" t="s">
        <v>1071</v>
      </c>
      <c r="C761" s="3" t="s">
        <v>1009</v>
      </c>
      <c r="D761" s="2">
        <f t="shared" si="11"/>
        <v>200</v>
      </c>
    </row>
    <row r="762" spans="1:4" x14ac:dyDescent="0.3">
      <c r="A762" s="3" t="s">
        <v>767</v>
      </c>
      <c r="B762" s="2" t="s">
        <v>1074</v>
      </c>
      <c r="C762" s="3" t="s">
        <v>1009</v>
      </c>
      <c r="D762" s="2">
        <f t="shared" si="11"/>
        <v>500</v>
      </c>
    </row>
    <row r="763" spans="1:4" x14ac:dyDescent="0.3">
      <c r="A763" s="3" t="s">
        <v>768</v>
      </c>
      <c r="B763" s="2" t="s">
        <v>1028</v>
      </c>
      <c r="C763" s="3" t="s">
        <v>1008</v>
      </c>
      <c r="D763" s="2">
        <f t="shared" si="11"/>
        <v>15000</v>
      </c>
    </row>
    <row r="764" spans="1:4" x14ac:dyDescent="0.3">
      <c r="A764" s="3" t="s">
        <v>769</v>
      </c>
      <c r="B764" s="2" t="s">
        <v>1059</v>
      </c>
      <c r="C764" s="3" t="s">
        <v>1012</v>
      </c>
      <c r="D764" s="2">
        <f t="shared" si="11"/>
        <v>200</v>
      </c>
    </row>
    <row r="765" spans="1:4" x14ac:dyDescent="0.3">
      <c r="A765" s="3" t="s">
        <v>770</v>
      </c>
      <c r="B765" s="2" t="s">
        <v>1026</v>
      </c>
      <c r="C765" s="3" t="s">
        <v>1008</v>
      </c>
      <c r="D765" s="2">
        <f t="shared" si="11"/>
        <v>6000</v>
      </c>
    </row>
    <row r="766" spans="1:4" x14ac:dyDescent="0.3">
      <c r="A766" s="3" t="s">
        <v>771</v>
      </c>
      <c r="B766" s="2" t="s">
        <v>1033</v>
      </c>
      <c r="C766" s="3" t="s">
        <v>1008</v>
      </c>
      <c r="D766" s="2">
        <f t="shared" si="11"/>
        <v>4000</v>
      </c>
    </row>
    <row r="767" spans="1:4" x14ac:dyDescent="0.3">
      <c r="A767" s="3" t="s">
        <v>772</v>
      </c>
      <c r="B767" s="2" t="s">
        <v>1048</v>
      </c>
      <c r="C767" s="3" t="s">
        <v>1010</v>
      </c>
      <c r="D767" s="2">
        <f t="shared" si="11"/>
        <v>50</v>
      </c>
    </row>
    <row r="768" spans="1:4" x14ac:dyDescent="0.3">
      <c r="A768" s="3" t="s">
        <v>773</v>
      </c>
      <c r="B768" s="2" t="s">
        <v>1058</v>
      </c>
      <c r="C768" s="3" t="s">
        <v>1012</v>
      </c>
      <c r="D768" s="2">
        <f t="shared" si="11"/>
        <v>500</v>
      </c>
    </row>
    <row r="769" spans="1:4" x14ac:dyDescent="0.3">
      <c r="A769" s="3" t="s">
        <v>774</v>
      </c>
      <c r="B769" s="2" t="s">
        <v>1084</v>
      </c>
      <c r="C769" s="3" t="s">
        <v>1011</v>
      </c>
      <c r="D769" s="2">
        <f t="shared" si="11"/>
        <v>2000</v>
      </c>
    </row>
    <row r="770" spans="1:4" x14ac:dyDescent="0.3">
      <c r="A770" s="3" t="s">
        <v>775</v>
      </c>
      <c r="B770" s="2" t="s">
        <v>1075</v>
      </c>
      <c r="C770" s="3" t="s">
        <v>1009</v>
      </c>
      <c r="D770" s="2">
        <f t="shared" si="11"/>
        <v>2000</v>
      </c>
    </row>
    <row r="771" spans="1:4" x14ac:dyDescent="0.3">
      <c r="A771" s="3" t="s">
        <v>776</v>
      </c>
      <c r="B771" s="2" t="s">
        <v>1035</v>
      </c>
      <c r="C771" s="3" t="s">
        <v>1007</v>
      </c>
      <c r="D771" s="2">
        <f t="shared" ref="D771:D834" si="12">_xlfn.XLOOKUP(B771, $H$11:$H$24, $I$11:$I$24, _xlfn.XLOOKUP(B771, $J$11:$J$24, $K$11:$K$24,_xlfn.XLOOKUP(B771, $L$11:$L$23,$M$11:$M$23,_xlfn.XLOOKUP(B771, $N$11:$N$18,$O$11:$O$18,_xlfn.XLOOKUP(B771, $P$11:$P$26,$Q$11:$Q$26,_xlfn.XLOOKUP(B771, $R$11:$R$21,$S$11:$S$21,0))))))</f>
        <v>15000</v>
      </c>
    </row>
    <row r="772" spans="1:4" x14ac:dyDescent="0.3">
      <c r="A772" s="3" t="s">
        <v>777</v>
      </c>
      <c r="B772" s="2" t="s">
        <v>1036</v>
      </c>
      <c r="C772" s="3" t="s">
        <v>1007</v>
      </c>
      <c r="D772" s="2">
        <f t="shared" si="12"/>
        <v>8000</v>
      </c>
    </row>
    <row r="773" spans="1:4" x14ac:dyDescent="0.3">
      <c r="A773" s="3" t="s">
        <v>778</v>
      </c>
      <c r="B773" s="2" t="s">
        <v>1036</v>
      </c>
      <c r="C773" s="3" t="s">
        <v>1007</v>
      </c>
      <c r="D773" s="2">
        <f t="shared" si="12"/>
        <v>8000</v>
      </c>
    </row>
    <row r="774" spans="1:4" x14ac:dyDescent="0.3">
      <c r="A774" s="3" t="s">
        <v>779</v>
      </c>
      <c r="B774" s="2" t="s">
        <v>1061</v>
      </c>
      <c r="C774" s="3" t="s">
        <v>1012</v>
      </c>
      <c r="D774" s="2">
        <f t="shared" si="12"/>
        <v>500</v>
      </c>
    </row>
    <row r="775" spans="1:4" x14ac:dyDescent="0.3">
      <c r="A775" s="3" t="s">
        <v>780</v>
      </c>
      <c r="B775" s="2" t="s">
        <v>1062</v>
      </c>
      <c r="C775" s="3" t="s">
        <v>1009</v>
      </c>
      <c r="D775" s="2">
        <f t="shared" si="12"/>
        <v>100</v>
      </c>
    </row>
    <row r="776" spans="1:4" x14ac:dyDescent="0.3">
      <c r="A776" s="3" t="s">
        <v>781</v>
      </c>
      <c r="B776" s="2" t="s">
        <v>1039</v>
      </c>
      <c r="C776" s="3" t="s">
        <v>1007</v>
      </c>
      <c r="D776" s="2">
        <f t="shared" si="12"/>
        <v>12000</v>
      </c>
    </row>
    <row r="777" spans="1:4" x14ac:dyDescent="0.3">
      <c r="A777" s="3" t="s">
        <v>782</v>
      </c>
      <c r="B777" s="2" t="s">
        <v>1067</v>
      </c>
      <c r="C777" s="3" t="s">
        <v>1009</v>
      </c>
      <c r="D777" s="2">
        <f t="shared" si="12"/>
        <v>100</v>
      </c>
    </row>
    <row r="778" spans="1:4" x14ac:dyDescent="0.3">
      <c r="A778" s="3" t="s">
        <v>783</v>
      </c>
      <c r="B778" s="2" t="s">
        <v>1045</v>
      </c>
      <c r="C778" s="3" t="s">
        <v>1010</v>
      </c>
      <c r="D778" s="2">
        <f t="shared" si="12"/>
        <v>100</v>
      </c>
    </row>
    <row r="779" spans="1:4" x14ac:dyDescent="0.3">
      <c r="A779" s="3" t="s">
        <v>784</v>
      </c>
      <c r="B779" s="2" t="s">
        <v>1070</v>
      </c>
      <c r="C779" s="3" t="s">
        <v>1009</v>
      </c>
      <c r="D779" s="2">
        <f t="shared" si="12"/>
        <v>1500</v>
      </c>
    </row>
    <row r="780" spans="1:4" x14ac:dyDescent="0.3">
      <c r="A780" s="3" t="s">
        <v>785</v>
      </c>
      <c r="B780" s="2" t="s">
        <v>1041</v>
      </c>
      <c r="C780" s="3" t="s">
        <v>1007</v>
      </c>
      <c r="D780" s="2">
        <f t="shared" si="12"/>
        <v>2000</v>
      </c>
    </row>
    <row r="781" spans="1:4" x14ac:dyDescent="0.3">
      <c r="A781" s="3" t="s">
        <v>786</v>
      </c>
      <c r="B781" s="2" t="s">
        <v>1061</v>
      </c>
      <c r="C781" s="3" t="s">
        <v>1012</v>
      </c>
      <c r="D781" s="2">
        <f t="shared" si="12"/>
        <v>500</v>
      </c>
    </row>
    <row r="782" spans="1:4" x14ac:dyDescent="0.3">
      <c r="A782" s="3" t="s">
        <v>787</v>
      </c>
      <c r="B782" s="2" t="s">
        <v>1067</v>
      </c>
      <c r="C782" s="3" t="s">
        <v>1009</v>
      </c>
      <c r="D782" s="2">
        <f t="shared" si="12"/>
        <v>100</v>
      </c>
    </row>
    <row r="783" spans="1:4" x14ac:dyDescent="0.3">
      <c r="A783" s="3" t="s">
        <v>788</v>
      </c>
      <c r="B783" s="2" t="s">
        <v>1036</v>
      </c>
      <c r="C783" s="3" t="s">
        <v>1007</v>
      </c>
      <c r="D783" s="2">
        <f t="shared" si="12"/>
        <v>8000</v>
      </c>
    </row>
    <row r="784" spans="1:4" x14ac:dyDescent="0.3">
      <c r="A784" s="3" t="s">
        <v>789</v>
      </c>
      <c r="B784" s="2" t="s">
        <v>1060</v>
      </c>
      <c r="C784" s="3" t="s">
        <v>1012</v>
      </c>
      <c r="D784" s="2">
        <f t="shared" si="12"/>
        <v>1500</v>
      </c>
    </row>
    <row r="785" spans="1:4" x14ac:dyDescent="0.3">
      <c r="A785" s="3" t="s">
        <v>790</v>
      </c>
      <c r="B785" s="2" t="s">
        <v>1021</v>
      </c>
      <c r="C785" s="3" t="s">
        <v>1008</v>
      </c>
      <c r="D785" s="2">
        <f t="shared" si="12"/>
        <v>20000</v>
      </c>
    </row>
    <row r="786" spans="1:4" x14ac:dyDescent="0.3">
      <c r="A786" s="3" t="s">
        <v>791</v>
      </c>
      <c r="B786" s="2" t="s">
        <v>1059</v>
      </c>
      <c r="C786" s="3" t="s">
        <v>1012</v>
      </c>
      <c r="D786" s="2">
        <f t="shared" si="12"/>
        <v>200</v>
      </c>
    </row>
    <row r="787" spans="1:4" x14ac:dyDescent="0.3">
      <c r="A787" s="3" t="s">
        <v>792</v>
      </c>
      <c r="B787" s="2" t="s">
        <v>1060</v>
      </c>
      <c r="C787" s="3" t="s">
        <v>1012</v>
      </c>
      <c r="D787" s="2">
        <f t="shared" si="12"/>
        <v>1500</v>
      </c>
    </row>
    <row r="788" spans="1:4" x14ac:dyDescent="0.3">
      <c r="A788" s="3" t="s">
        <v>793</v>
      </c>
      <c r="B788" s="2" t="s">
        <v>1081</v>
      </c>
      <c r="C788" s="3" t="s">
        <v>1011</v>
      </c>
      <c r="D788" s="2">
        <f t="shared" si="12"/>
        <v>1000</v>
      </c>
    </row>
    <row r="789" spans="1:4" x14ac:dyDescent="0.3">
      <c r="A789" s="3" t="s">
        <v>794</v>
      </c>
      <c r="B789" s="2" t="s">
        <v>1036</v>
      </c>
      <c r="C789" s="3" t="s">
        <v>1007</v>
      </c>
      <c r="D789" s="2">
        <f t="shared" si="12"/>
        <v>8000</v>
      </c>
    </row>
    <row r="790" spans="1:4" x14ac:dyDescent="0.3">
      <c r="A790" s="3" t="s">
        <v>795</v>
      </c>
      <c r="B790" s="2" t="s">
        <v>1037</v>
      </c>
      <c r="C790" s="3" t="s">
        <v>1007</v>
      </c>
      <c r="D790" s="2">
        <f t="shared" si="12"/>
        <v>10000</v>
      </c>
    </row>
    <row r="791" spans="1:4" x14ac:dyDescent="0.3">
      <c r="A791" s="3" t="s">
        <v>796</v>
      </c>
      <c r="B791" s="2" t="s">
        <v>1031</v>
      </c>
      <c r="C791" s="3" t="s">
        <v>1008</v>
      </c>
      <c r="D791" s="2">
        <f t="shared" si="12"/>
        <v>40000</v>
      </c>
    </row>
    <row r="792" spans="1:4" x14ac:dyDescent="0.3">
      <c r="A792" s="3" t="s">
        <v>797</v>
      </c>
      <c r="B792" s="2" t="s">
        <v>1062</v>
      </c>
      <c r="C792" s="3" t="s">
        <v>1009</v>
      </c>
      <c r="D792" s="2">
        <f t="shared" si="12"/>
        <v>100</v>
      </c>
    </row>
    <row r="793" spans="1:4" x14ac:dyDescent="0.3">
      <c r="A793" s="3" t="s">
        <v>798</v>
      </c>
      <c r="B793" s="2" t="s">
        <v>1084</v>
      </c>
      <c r="C793" s="3" t="s">
        <v>1011</v>
      </c>
      <c r="D793" s="2">
        <f t="shared" si="12"/>
        <v>2000</v>
      </c>
    </row>
    <row r="794" spans="1:4" x14ac:dyDescent="0.3">
      <c r="A794" s="3" t="s">
        <v>799</v>
      </c>
      <c r="B794" s="2" t="s">
        <v>1028</v>
      </c>
      <c r="C794" s="3" t="s">
        <v>1008</v>
      </c>
      <c r="D794" s="2">
        <f t="shared" si="12"/>
        <v>15000</v>
      </c>
    </row>
    <row r="795" spans="1:4" x14ac:dyDescent="0.3">
      <c r="A795" s="3" t="s">
        <v>800</v>
      </c>
      <c r="B795" s="2" t="s">
        <v>1021</v>
      </c>
      <c r="C795" s="3" t="s">
        <v>1008</v>
      </c>
      <c r="D795" s="2">
        <f t="shared" si="12"/>
        <v>20000</v>
      </c>
    </row>
    <row r="796" spans="1:4" x14ac:dyDescent="0.3">
      <c r="A796" s="3" t="s">
        <v>801</v>
      </c>
      <c r="B796" s="2" t="s">
        <v>1039</v>
      </c>
      <c r="C796" s="3" t="s">
        <v>1007</v>
      </c>
      <c r="D796" s="2">
        <f t="shared" si="12"/>
        <v>12000</v>
      </c>
    </row>
    <row r="797" spans="1:4" x14ac:dyDescent="0.3">
      <c r="A797" s="3" t="s">
        <v>802</v>
      </c>
      <c r="B797" s="2" t="s">
        <v>1072</v>
      </c>
      <c r="C797" s="3" t="s">
        <v>1009</v>
      </c>
      <c r="D797" s="2">
        <f t="shared" si="12"/>
        <v>50</v>
      </c>
    </row>
    <row r="798" spans="1:4" x14ac:dyDescent="0.3">
      <c r="A798" s="3" t="s">
        <v>803</v>
      </c>
      <c r="B798" s="2" t="s">
        <v>1035</v>
      </c>
      <c r="C798" s="3" t="s">
        <v>1007</v>
      </c>
      <c r="D798" s="2">
        <f t="shared" si="12"/>
        <v>15000</v>
      </c>
    </row>
    <row r="799" spans="1:4" x14ac:dyDescent="0.3">
      <c r="A799" s="3" t="s">
        <v>804</v>
      </c>
      <c r="B799" s="2" t="s">
        <v>1046</v>
      </c>
      <c r="C799" s="3" t="s">
        <v>1010</v>
      </c>
      <c r="D799" s="2">
        <f t="shared" si="12"/>
        <v>100</v>
      </c>
    </row>
    <row r="800" spans="1:4" x14ac:dyDescent="0.3">
      <c r="A800" s="3" t="s">
        <v>805</v>
      </c>
      <c r="B800" s="2" t="s">
        <v>1073</v>
      </c>
      <c r="C800" s="3" t="s">
        <v>1009</v>
      </c>
      <c r="D800" s="2">
        <f t="shared" si="12"/>
        <v>100</v>
      </c>
    </row>
    <row r="801" spans="1:4" x14ac:dyDescent="0.3">
      <c r="A801" s="3" t="s">
        <v>806</v>
      </c>
      <c r="B801" s="2" t="s">
        <v>1045</v>
      </c>
      <c r="C801" s="3" t="s">
        <v>1010</v>
      </c>
      <c r="D801" s="2">
        <f t="shared" si="12"/>
        <v>100</v>
      </c>
    </row>
    <row r="802" spans="1:4" x14ac:dyDescent="0.3">
      <c r="A802" s="3" t="s">
        <v>807</v>
      </c>
      <c r="B802" s="2" t="s">
        <v>1042</v>
      </c>
      <c r="C802" s="3" t="s">
        <v>1007</v>
      </c>
      <c r="D802" s="2">
        <f t="shared" si="12"/>
        <v>3000</v>
      </c>
    </row>
    <row r="803" spans="1:4" x14ac:dyDescent="0.3">
      <c r="A803" s="3" t="s">
        <v>808</v>
      </c>
      <c r="B803" s="2" t="s">
        <v>1051</v>
      </c>
      <c r="C803" s="3" t="s">
        <v>1010</v>
      </c>
      <c r="D803" s="2">
        <f t="shared" si="12"/>
        <v>50</v>
      </c>
    </row>
    <row r="804" spans="1:4" x14ac:dyDescent="0.3">
      <c r="A804" s="3" t="s">
        <v>809</v>
      </c>
      <c r="B804" s="2" t="s">
        <v>1051</v>
      </c>
      <c r="C804" s="3" t="s">
        <v>1010</v>
      </c>
      <c r="D804" s="2">
        <f t="shared" si="12"/>
        <v>50</v>
      </c>
    </row>
    <row r="805" spans="1:4" x14ac:dyDescent="0.3">
      <c r="A805" s="3" t="s">
        <v>810</v>
      </c>
      <c r="B805" s="2" t="s">
        <v>1023</v>
      </c>
      <c r="C805" s="3" t="s">
        <v>1008</v>
      </c>
      <c r="D805" s="2">
        <f t="shared" si="12"/>
        <v>20000</v>
      </c>
    </row>
    <row r="806" spans="1:4" x14ac:dyDescent="0.3">
      <c r="A806" s="3" t="s">
        <v>811</v>
      </c>
      <c r="B806" s="2" t="s">
        <v>1080</v>
      </c>
      <c r="C806" s="3" t="s">
        <v>1011</v>
      </c>
      <c r="D806" s="2">
        <f t="shared" si="12"/>
        <v>2500</v>
      </c>
    </row>
    <row r="807" spans="1:4" x14ac:dyDescent="0.3">
      <c r="A807" s="3" t="s">
        <v>812</v>
      </c>
      <c r="B807" s="2" t="s">
        <v>1061</v>
      </c>
      <c r="C807" s="3" t="s">
        <v>1012</v>
      </c>
      <c r="D807" s="2">
        <f t="shared" si="12"/>
        <v>500</v>
      </c>
    </row>
    <row r="808" spans="1:4" x14ac:dyDescent="0.3">
      <c r="A808" s="3" t="s">
        <v>813</v>
      </c>
      <c r="B808" s="2" t="s">
        <v>1076</v>
      </c>
      <c r="C808" s="3" t="s">
        <v>1009</v>
      </c>
      <c r="D808" s="2">
        <f t="shared" si="12"/>
        <v>100</v>
      </c>
    </row>
    <row r="809" spans="1:4" x14ac:dyDescent="0.3">
      <c r="A809" s="3" t="s">
        <v>814</v>
      </c>
      <c r="B809" s="2" t="s">
        <v>1028</v>
      </c>
      <c r="C809" s="3" t="s">
        <v>1008</v>
      </c>
      <c r="D809" s="2">
        <f t="shared" si="12"/>
        <v>15000</v>
      </c>
    </row>
    <row r="810" spans="1:4" x14ac:dyDescent="0.3">
      <c r="A810" s="3" t="s">
        <v>815</v>
      </c>
      <c r="B810" s="2" t="s">
        <v>1085</v>
      </c>
      <c r="C810" s="3" t="s">
        <v>1011</v>
      </c>
      <c r="D810" s="2">
        <f t="shared" si="12"/>
        <v>1500</v>
      </c>
    </row>
    <row r="811" spans="1:4" x14ac:dyDescent="0.3">
      <c r="A811" s="3" t="s">
        <v>816</v>
      </c>
      <c r="B811" s="2" t="s">
        <v>1027</v>
      </c>
      <c r="C811" s="3" t="s">
        <v>1008</v>
      </c>
      <c r="D811" s="2">
        <f t="shared" si="12"/>
        <v>30000</v>
      </c>
    </row>
    <row r="812" spans="1:4" x14ac:dyDescent="0.3">
      <c r="A812" s="3" t="s">
        <v>817</v>
      </c>
      <c r="B812" s="2" t="s">
        <v>1041</v>
      </c>
      <c r="C812" s="3" t="s">
        <v>1007</v>
      </c>
      <c r="D812" s="2">
        <f t="shared" si="12"/>
        <v>2000</v>
      </c>
    </row>
    <row r="813" spans="1:4" x14ac:dyDescent="0.3">
      <c r="A813" s="3" t="s">
        <v>818</v>
      </c>
      <c r="B813" s="2" t="s">
        <v>1055</v>
      </c>
      <c r="C813" s="3" t="s">
        <v>1010</v>
      </c>
      <c r="D813" s="2">
        <f t="shared" si="12"/>
        <v>50</v>
      </c>
    </row>
    <row r="814" spans="1:4" x14ac:dyDescent="0.3">
      <c r="A814" s="3" t="s">
        <v>819</v>
      </c>
      <c r="B814" s="2" t="s">
        <v>1040</v>
      </c>
      <c r="C814" s="3" t="s">
        <v>1007</v>
      </c>
      <c r="D814" s="2">
        <f t="shared" si="12"/>
        <v>5000</v>
      </c>
    </row>
    <row r="815" spans="1:4" x14ac:dyDescent="0.3">
      <c r="A815" s="3" t="s">
        <v>820</v>
      </c>
      <c r="B815" s="2" t="s">
        <v>1018</v>
      </c>
      <c r="C815" s="3" t="s">
        <v>1012</v>
      </c>
      <c r="D815" s="2">
        <f t="shared" si="12"/>
        <v>3000</v>
      </c>
    </row>
    <row r="816" spans="1:4" x14ac:dyDescent="0.3">
      <c r="A816" s="3" t="s">
        <v>821</v>
      </c>
      <c r="B816" s="2" t="s">
        <v>1034</v>
      </c>
      <c r="C816" s="3" t="s">
        <v>1008</v>
      </c>
      <c r="D816" s="2">
        <f t="shared" si="12"/>
        <v>50000</v>
      </c>
    </row>
    <row r="817" spans="1:4" x14ac:dyDescent="0.3">
      <c r="A817" s="3" t="s">
        <v>822</v>
      </c>
      <c r="B817" s="2" t="s">
        <v>1082</v>
      </c>
      <c r="C817" s="3" t="s">
        <v>1011</v>
      </c>
      <c r="D817" s="2">
        <f t="shared" si="12"/>
        <v>2000</v>
      </c>
    </row>
    <row r="818" spans="1:4" x14ac:dyDescent="0.3">
      <c r="A818" s="3" t="s">
        <v>823</v>
      </c>
      <c r="B818" s="2" t="s">
        <v>1071</v>
      </c>
      <c r="C818" s="3" t="s">
        <v>1009</v>
      </c>
      <c r="D818" s="2">
        <f t="shared" si="12"/>
        <v>200</v>
      </c>
    </row>
    <row r="819" spans="1:4" x14ac:dyDescent="0.3">
      <c r="A819" s="3" t="s">
        <v>824</v>
      </c>
      <c r="B819" s="2" t="s">
        <v>1043</v>
      </c>
      <c r="C819" s="3" t="s">
        <v>1010</v>
      </c>
      <c r="D819" s="2">
        <f t="shared" si="12"/>
        <v>50</v>
      </c>
    </row>
    <row r="820" spans="1:4" x14ac:dyDescent="0.3">
      <c r="A820" s="3" t="s">
        <v>825</v>
      </c>
      <c r="B820" s="2" t="s">
        <v>1072</v>
      </c>
      <c r="C820" s="3" t="s">
        <v>1009</v>
      </c>
      <c r="D820" s="2">
        <f t="shared" si="12"/>
        <v>50</v>
      </c>
    </row>
    <row r="821" spans="1:4" x14ac:dyDescent="0.3">
      <c r="A821" s="3" t="s">
        <v>826</v>
      </c>
      <c r="B821" s="2" t="s">
        <v>1061</v>
      </c>
      <c r="C821" s="3" t="s">
        <v>1012</v>
      </c>
      <c r="D821" s="2">
        <f t="shared" si="12"/>
        <v>500</v>
      </c>
    </row>
    <row r="822" spans="1:4" x14ac:dyDescent="0.3">
      <c r="A822" s="3" t="s">
        <v>827</v>
      </c>
      <c r="B822" s="2" t="s">
        <v>1036</v>
      </c>
      <c r="C822" s="3" t="s">
        <v>1007</v>
      </c>
      <c r="D822" s="2">
        <f t="shared" si="12"/>
        <v>8000</v>
      </c>
    </row>
    <row r="823" spans="1:4" x14ac:dyDescent="0.3">
      <c r="A823" s="3" t="s">
        <v>828</v>
      </c>
      <c r="B823" s="2" t="s">
        <v>1059</v>
      </c>
      <c r="C823" s="3" t="s">
        <v>1012</v>
      </c>
      <c r="D823" s="2">
        <f t="shared" si="12"/>
        <v>200</v>
      </c>
    </row>
    <row r="824" spans="1:4" x14ac:dyDescent="0.3">
      <c r="A824" s="3" t="s">
        <v>829</v>
      </c>
      <c r="B824" s="2" t="s">
        <v>1023</v>
      </c>
      <c r="C824" s="3" t="s">
        <v>1008</v>
      </c>
      <c r="D824" s="2">
        <f t="shared" si="12"/>
        <v>20000</v>
      </c>
    </row>
    <row r="825" spans="1:4" x14ac:dyDescent="0.3">
      <c r="A825" s="3" t="s">
        <v>830</v>
      </c>
      <c r="B825" s="2" t="s">
        <v>1033</v>
      </c>
      <c r="C825" s="3" t="s">
        <v>1008</v>
      </c>
      <c r="D825" s="2">
        <f t="shared" si="12"/>
        <v>4000</v>
      </c>
    </row>
    <row r="826" spans="1:4" x14ac:dyDescent="0.3">
      <c r="A826" s="3" t="s">
        <v>831</v>
      </c>
      <c r="B826" s="2" t="s">
        <v>1023</v>
      </c>
      <c r="C826" s="3" t="s">
        <v>1008</v>
      </c>
      <c r="D826" s="2">
        <f t="shared" si="12"/>
        <v>20000</v>
      </c>
    </row>
    <row r="827" spans="1:4" x14ac:dyDescent="0.3">
      <c r="A827" s="3" t="s">
        <v>832</v>
      </c>
      <c r="B827" s="2" t="s">
        <v>1038</v>
      </c>
      <c r="C827" s="3" t="s">
        <v>1007</v>
      </c>
      <c r="D827" s="2">
        <f t="shared" si="12"/>
        <v>5000</v>
      </c>
    </row>
    <row r="828" spans="1:4" x14ac:dyDescent="0.3">
      <c r="A828" s="3" t="s">
        <v>833</v>
      </c>
      <c r="B828" s="2" t="s">
        <v>1023</v>
      </c>
      <c r="C828" s="3" t="s">
        <v>1008</v>
      </c>
      <c r="D828" s="2">
        <f t="shared" si="12"/>
        <v>20000</v>
      </c>
    </row>
    <row r="829" spans="1:4" x14ac:dyDescent="0.3">
      <c r="A829" s="3" t="s">
        <v>834</v>
      </c>
      <c r="B829" s="2" t="s">
        <v>1026</v>
      </c>
      <c r="C829" s="3" t="s">
        <v>1008</v>
      </c>
      <c r="D829" s="2">
        <f t="shared" si="12"/>
        <v>6000</v>
      </c>
    </row>
    <row r="830" spans="1:4" x14ac:dyDescent="0.3">
      <c r="A830" s="3" t="s">
        <v>835</v>
      </c>
      <c r="B830" s="2" t="s">
        <v>1056</v>
      </c>
      <c r="C830" s="3" t="s">
        <v>1012</v>
      </c>
      <c r="D830" s="2">
        <f t="shared" si="12"/>
        <v>100</v>
      </c>
    </row>
    <row r="831" spans="1:4" x14ac:dyDescent="0.3">
      <c r="A831" s="3" t="s">
        <v>836</v>
      </c>
      <c r="B831" s="2" t="s">
        <v>1024</v>
      </c>
      <c r="C831" s="3" t="s">
        <v>1008</v>
      </c>
      <c r="D831" s="2">
        <f t="shared" si="12"/>
        <v>150000</v>
      </c>
    </row>
    <row r="832" spans="1:4" x14ac:dyDescent="0.3">
      <c r="A832" s="3" t="s">
        <v>837</v>
      </c>
      <c r="B832" s="2" t="s">
        <v>1047</v>
      </c>
      <c r="C832" s="3" t="s">
        <v>1010</v>
      </c>
      <c r="D832" s="2">
        <f t="shared" si="12"/>
        <v>500</v>
      </c>
    </row>
    <row r="833" spans="1:4" x14ac:dyDescent="0.3">
      <c r="A833" s="3" t="s">
        <v>838</v>
      </c>
      <c r="B833" s="2" t="s">
        <v>1030</v>
      </c>
      <c r="C833" s="3" t="s">
        <v>1008</v>
      </c>
      <c r="D833" s="2">
        <f t="shared" si="12"/>
        <v>70000</v>
      </c>
    </row>
    <row r="834" spans="1:4" x14ac:dyDescent="0.3">
      <c r="A834" s="3" t="s">
        <v>839</v>
      </c>
      <c r="B834" s="2" t="s">
        <v>1042</v>
      </c>
      <c r="C834" s="3" t="s">
        <v>1007</v>
      </c>
      <c r="D834" s="2">
        <f t="shared" si="12"/>
        <v>3000</v>
      </c>
    </row>
    <row r="835" spans="1:4" x14ac:dyDescent="0.3">
      <c r="A835" s="3" t="s">
        <v>840</v>
      </c>
      <c r="B835" s="2" t="s">
        <v>1038</v>
      </c>
      <c r="C835" s="3" t="s">
        <v>1007</v>
      </c>
      <c r="D835" s="2">
        <f t="shared" ref="D835:D898" si="13">_xlfn.XLOOKUP(B835, $H$11:$H$24, $I$11:$I$24, _xlfn.XLOOKUP(B835, $J$11:$J$24, $K$11:$K$24,_xlfn.XLOOKUP(B835, $L$11:$L$23,$M$11:$M$23,_xlfn.XLOOKUP(B835, $N$11:$N$18,$O$11:$O$18,_xlfn.XLOOKUP(B835, $P$11:$P$26,$Q$11:$Q$26,_xlfn.XLOOKUP(B835, $R$11:$R$21,$S$11:$S$21,0))))))</f>
        <v>5000</v>
      </c>
    </row>
    <row r="836" spans="1:4" x14ac:dyDescent="0.3">
      <c r="A836" s="3" t="s">
        <v>841</v>
      </c>
      <c r="B836" s="2" t="s">
        <v>1041</v>
      </c>
      <c r="C836" s="3" t="s">
        <v>1007</v>
      </c>
      <c r="D836" s="2">
        <f t="shared" si="13"/>
        <v>2000</v>
      </c>
    </row>
    <row r="837" spans="1:4" x14ac:dyDescent="0.3">
      <c r="A837" s="3" t="s">
        <v>842</v>
      </c>
      <c r="B837" s="2" t="s">
        <v>1071</v>
      </c>
      <c r="C837" s="3" t="s">
        <v>1009</v>
      </c>
      <c r="D837" s="2">
        <f t="shared" si="13"/>
        <v>200</v>
      </c>
    </row>
    <row r="838" spans="1:4" x14ac:dyDescent="0.3">
      <c r="A838" s="3" t="s">
        <v>843</v>
      </c>
      <c r="B838" s="2" t="s">
        <v>1041</v>
      </c>
      <c r="C838" s="3" t="s">
        <v>1007</v>
      </c>
      <c r="D838" s="2">
        <f t="shared" si="13"/>
        <v>2000</v>
      </c>
    </row>
    <row r="839" spans="1:4" x14ac:dyDescent="0.3">
      <c r="A839" s="3" t="s">
        <v>844</v>
      </c>
      <c r="B839" s="2" t="s">
        <v>1050</v>
      </c>
      <c r="C839" s="3" t="s">
        <v>1010</v>
      </c>
      <c r="D839" s="2">
        <f t="shared" si="13"/>
        <v>30</v>
      </c>
    </row>
    <row r="840" spans="1:4" x14ac:dyDescent="0.3">
      <c r="A840" s="3" t="s">
        <v>845</v>
      </c>
      <c r="B840" s="2" t="s">
        <v>1041</v>
      </c>
      <c r="C840" s="3" t="s">
        <v>1007</v>
      </c>
      <c r="D840" s="2">
        <f t="shared" si="13"/>
        <v>2000</v>
      </c>
    </row>
    <row r="841" spans="1:4" x14ac:dyDescent="0.3">
      <c r="A841" s="3" t="s">
        <v>846</v>
      </c>
      <c r="B841" s="2" t="s">
        <v>1041</v>
      </c>
      <c r="C841" s="3" t="s">
        <v>1007</v>
      </c>
      <c r="D841" s="2">
        <f t="shared" si="13"/>
        <v>2000</v>
      </c>
    </row>
    <row r="842" spans="1:4" x14ac:dyDescent="0.3">
      <c r="A842" s="3" t="s">
        <v>847</v>
      </c>
      <c r="B842" s="2" t="s">
        <v>1079</v>
      </c>
      <c r="C842" s="3" t="s">
        <v>1011</v>
      </c>
      <c r="D842" s="2">
        <f t="shared" si="13"/>
        <v>5000</v>
      </c>
    </row>
    <row r="843" spans="1:4" x14ac:dyDescent="0.3">
      <c r="A843" s="3" t="s">
        <v>848</v>
      </c>
      <c r="B843" s="2" t="s">
        <v>1079</v>
      </c>
      <c r="C843" s="3" t="s">
        <v>1011</v>
      </c>
      <c r="D843" s="2">
        <f t="shared" si="13"/>
        <v>5000</v>
      </c>
    </row>
    <row r="844" spans="1:4" x14ac:dyDescent="0.3">
      <c r="A844" s="3" t="s">
        <v>849</v>
      </c>
      <c r="B844" s="2" t="s">
        <v>1075</v>
      </c>
      <c r="C844" s="3" t="s">
        <v>1009</v>
      </c>
      <c r="D844" s="2">
        <f t="shared" si="13"/>
        <v>2000</v>
      </c>
    </row>
    <row r="845" spans="1:4" x14ac:dyDescent="0.3">
      <c r="A845" s="3" t="s">
        <v>850</v>
      </c>
      <c r="B845" s="2" t="s">
        <v>1065</v>
      </c>
      <c r="C845" s="3" t="s">
        <v>1009</v>
      </c>
      <c r="D845" s="2">
        <f t="shared" si="13"/>
        <v>200</v>
      </c>
    </row>
    <row r="846" spans="1:4" x14ac:dyDescent="0.3">
      <c r="A846" s="3" t="s">
        <v>851</v>
      </c>
      <c r="B846" s="2" t="s">
        <v>1027</v>
      </c>
      <c r="C846" s="3" t="s">
        <v>1008</v>
      </c>
      <c r="D846" s="2">
        <f t="shared" si="13"/>
        <v>30000</v>
      </c>
    </row>
    <row r="847" spans="1:4" x14ac:dyDescent="0.3">
      <c r="A847" s="3" t="s">
        <v>852</v>
      </c>
      <c r="B847" s="2" t="s">
        <v>1023</v>
      </c>
      <c r="C847" s="3" t="s">
        <v>1008</v>
      </c>
      <c r="D847" s="2">
        <f t="shared" si="13"/>
        <v>20000</v>
      </c>
    </row>
    <row r="848" spans="1:4" x14ac:dyDescent="0.3">
      <c r="A848" s="3" t="s">
        <v>853</v>
      </c>
      <c r="B848" s="2" t="s">
        <v>1040</v>
      </c>
      <c r="C848" s="3" t="s">
        <v>1007</v>
      </c>
      <c r="D848" s="2">
        <f t="shared" si="13"/>
        <v>5000</v>
      </c>
    </row>
    <row r="849" spans="1:4" x14ac:dyDescent="0.3">
      <c r="A849" s="3" t="s">
        <v>854</v>
      </c>
      <c r="B849" s="2" t="s">
        <v>1074</v>
      </c>
      <c r="C849" s="3" t="s">
        <v>1009</v>
      </c>
      <c r="D849" s="2">
        <f t="shared" si="13"/>
        <v>500</v>
      </c>
    </row>
    <row r="850" spans="1:4" x14ac:dyDescent="0.3">
      <c r="A850" s="3" t="s">
        <v>855</v>
      </c>
      <c r="B850" s="2" t="s">
        <v>1058</v>
      </c>
      <c r="C850" s="3" t="s">
        <v>1012</v>
      </c>
      <c r="D850" s="2">
        <f t="shared" si="13"/>
        <v>500</v>
      </c>
    </row>
    <row r="851" spans="1:4" x14ac:dyDescent="0.3">
      <c r="A851" s="3" t="s">
        <v>856</v>
      </c>
      <c r="B851" s="2" t="s">
        <v>1032</v>
      </c>
      <c r="C851" s="3" t="s">
        <v>1008</v>
      </c>
      <c r="D851" s="2">
        <f t="shared" si="13"/>
        <v>2000</v>
      </c>
    </row>
    <row r="852" spans="1:4" x14ac:dyDescent="0.3">
      <c r="A852" s="3" t="s">
        <v>857</v>
      </c>
      <c r="B852" s="2" t="s">
        <v>1052</v>
      </c>
      <c r="C852" s="3" t="s">
        <v>1010</v>
      </c>
      <c r="D852" s="2">
        <f t="shared" si="13"/>
        <v>100</v>
      </c>
    </row>
    <row r="853" spans="1:4" x14ac:dyDescent="0.3">
      <c r="A853" s="3" t="s">
        <v>858</v>
      </c>
      <c r="B853" s="2" t="s">
        <v>1034</v>
      </c>
      <c r="C853" s="3" t="s">
        <v>1008</v>
      </c>
      <c r="D853" s="2">
        <f t="shared" si="13"/>
        <v>50000</v>
      </c>
    </row>
    <row r="854" spans="1:4" x14ac:dyDescent="0.3">
      <c r="A854" s="3" t="s">
        <v>859</v>
      </c>
      <c r="B854" s="2" t="s">
        <v>1051</v>
      </c>
      <c r="C854" s="3" t="s">
        <v>1010</v>
      </c>
      <c r="D854" s="2">
        <f t="shared" si="13"/>
        <v>50</v>
      </c>
    </row>
    <row r="855" spans="1:4" x14ac:dyDescent="0.3">
      <c r="A855" s="3" t="s">
        <v>860</v>
      </c>
      <c r="B855" s="2" t="s">
        <v>1047</v>
      </c>
      <c r="C855" s="3" t="s">
        <v>1010</v>
      </c>
      <c r="D855" s="2">
        <f t="shared" si="13"/>
        <v>500</v>
      </c>
    </row>
    <row r="856" spans="1:4" x14ac:dyDescent="0.3">
      <c r="A856" s="3" t="s">
        <v>861</v>
      </c>
      <c r="B856" s="2" t="s">
        <v>1042</v>
      </c>
      <c r="C856" s="3" t="s">
        <v>1007</v>
      </c>
      <c r="D856" s="2">
        <f t="shared" si="13"/>
        <v>3000</v>
      </c>
    </row>
    <row r="857" spans="1:4" x14ac:dyDescent="0.3">
      <c r="A857" s="3" t="s">
        <v>862</v>
      </c>
      <c r="B857" s="2" t="s">
        <v>1072</v>
      </c>
      <c r="C857" s="3" t="s">
        <v>1009</v>
      </c>
      <c r="D857" s="2">
        <f t="shared" si="13"/>
        <v>50</v>
      </c>
    </row>
    <row r="858" spans="1:4" x14ac:dyDescent="0.3">
      <c r="A858" s="3" t="s">
        <v>863</v>
      </c>
      <c r="B858" s="2" t="s">
        <v>1018</v>
      </c>
      <c r="C858" s="3" t="s">
        <v>1012</v>
      </c>
      <c r="D858" s="2">
        <f t="shared" si="13"/>
        <v>3000</v>
      </c>
    </row>
    <row r="859" spans="1:4" x14ac:dyDescent="0.3">
      <c r="A859" s="3" t="s">
        <v>864</v>
      </c>
      <c r="B859" s="2" t="s">
        <v>1073</v>
      </c>
      <c r="C859" s="3" t="s">
        <v>1009</v>
      </c>
      <c r="D859" s="2">
        <f t="shared" si="13"/>
        <v>100</v>
      </c>
    </row>
    <row r="860" spans="1:4" x14ac:dyDescent="0.3">
      <c r="A860" s="3" t="s">
        <v>865</v>
      </c>
      <c r="B860" s="2" t="s">
        <v>1075</v>
      </c>
      <c r="C860" s="3" t="s">
        <v>1009</v>
      </c>
      <c r="D860" s="2">
        <f t="shared" si="13"/>
        <v>2000</v>
      </c>
    </row>
    <row r="861" spans="1:4" x14ac:dyDescent="0.3">
      <c r="A861" s="3" t="s">
        <v>866</v>
      </c>
      <c r="B861" s="2" t="s">
        <v>1039</v>
      </c>
      <c r="C861" s="3" t="s">
        <v>1007</v>
      </c>
      <c r="D861" s="2">
        <f t="shared" si="13"/>
        <v>12000</v>
      </c>
    </row>
    <row r="862" spans="1:4" x14ac:dyDescent="0.3">
      <c r="A862" s="3" t="s">
        <v>867</v>
      </c>
      <c r="B862" s="2" t="s">
        <v>1078</v>
      </c>
      <c r="C862" s="3" t="s">
        <v>1011</v>
      </c>
      <c r="D862" s="2">
        <f t="shared" si="13"/>
        <v>200</v>
      </c>
    </row>
    <row r="863" spans="1:4" x14ac:dyDescent="0.3">
      <c r="A863" s="3" t="s">
        <v>868</v>
      </c>
      <c r="B863" s="2" t="s">
        <v>1030</v>
      </c>
      <c r="C863" s="3" t="s">
        <v>1008</v>
      </c>
      <c r="D863" s="2">
        <f t="shared" si="13"/>
        <v>70000</v>
      </c>
    </row>
    <row r="864" spans="1:4" x14ac:dyDescent="0.3">
      <c r="A864" s="3" t="s">
        <v>869</v>
      </c>
      <c r="B864" s="2" t="s">
        <v>1063</v>
      </c>
      <c r="C864" s="3" t="s">
        <v>1009</v>
      </c>
      <c r="D864" s="2">
        <f t="shared" si="13"/>
        <v>4500</v>
      </c>
    </row>
    <row r="865" spans="1:4" x14ac:dyDescent="0.3">
      <c r="A865" s="3" t="s">
        <v>870</v>
      </c>
      <c r="B865" s="2" t="s">
        <v>1028</v>
      </c>
      <c r="C865" s="3" t="s">
        <v>1008</v>
      </c>
      <c r="D865" s="2">
        <f t="shared" si="13"/>
        <v>15000</v>
      </c>
    </row>
    <row r="866" spans="1:4" x14ac:dyDescent="0.3">
      <c r="A866" s="3" t="s">
        <v>871</v>
      </c>
      <c r="B866" s="2" t="s">
        <v>1041</v>
      </c>
      <c r="C866" s="3" t="s">
        <v>1007</v>
      </c>
      <c r="D866" s="2">
        <f t="shared" si="13"/>
        <v>2000</v>
      </c>
    </row>
    <row r="867" spans="1:4" x14ac:dyDescent="0.3">
      <c r="A867" s="3" t="s">
        <v>872</v>
      </c>
      <c r="B867" s="2" t="s">
        <v>1018</v>
      </c>
      <c r="C867" s="3" t="s">
        <v>1012</v>
      </c>
      <c r="D867" s="2">
        <f t="shared" si="13"/>
        <v>3000</v>
      </c>
    </row>
    <row r="868" spans="1:4" x14ac:dyDescent="0.3">
      <c r="A868" s="3" t="s">
        <v>873</v>
      </c>
      <c r="B868" s="2" t="s">
        <v>1061</v>
      </c>
      <c r="C868" s="3" t="s">
        <v>1012</v>
      </c>
      <c r="D868" s="2">
        <f t="shared" si="13"/>
        <v>500</v>
      </c>
    </row>
    <row r="869" spans="1:4" x14ac:dyDescent="0.3">
      <c r="A869" s="3" t="s">
        <v>874</v>
      </c>
      <c r="B869" s="2" t="s">
        <v>1056</v>
      </c>
      <c r="C869" s="3" t="s">
        <v>1012</v>
      </c>
      <c r="D869" s="2">
        <f t="shared" si="13"/>
        <v>100</v>
      </c>
    </row>
    <row r="870" spans="1:4" x14ac:dyDescent="0.3">
      <c r="A870" s="3" t="s">
        <v>875</v>
      </c>
      <c r="B870" s="2" t="s">
        <v>1061</v>
      </c>
      <c r="C870" s="3" t="s">
        <v>1012</v>
      </c>
      <c r="D870" s="2">
        <f t="shared" si="13"/>
        <v>500</v>
      </c>
    </row>
    <row r="871" spans="1:4" x14ac:dyDescent="0.3">
      <c r="A871" s="3" t="s">
        <v>876</v>
      </c>
      <c r="B871" s="2" t="s">
        <v>1061</v>
      </c>
      <c r="C871" s="3" t="s">
        <v>1012</v>
      </c>
      <c r="D871" s="2">
        <f t="shared" si="13"/>
        <v>500</v>
      </c>
    </row>
    <row r="872" spans="1:4" x14ac:dyDescent="0.3">
      <c r="A872" s="3" t="s">
        <v>877</v>
      </c>
      <c r="B872" s="2" t="s">
        <v>1041</v>
      </c>
      <c r="C872" s="3" t="s">
        <v>1007</v>
      </c>
      <c r="D872" s="2">
        <f t="shared" si="13"/>
        <v>2000</v>
      </c>
    </row>
    <row r="873" spans="1:4" x14ac:dyDescent="0.3">
      <c r="A873" s="3" t="s">
        <v>878</v>
      </c>
      <c r="B873" s="2" t="s">
        <v>1065</v>
      </c>
      <c r="C873" s="3" t="s">
        <v>1009</v>
      </c>
      <c r="D873" s="2">
        <f t="shared" si="13"/>
        <v>200</v>
      </c>
    </row>
    <row r="874" spans="1:4" x14ac:dyDescent="0.3">
      <c r="A874" s="3" t="s">
        <v>879</v>
      </c>
      <c r="B874" s="2" t="s">
        <v>1053</v>
      </c>
      <c r="C874" s="3" t="s">
        <v>1010</v>
      </c>
      <c r="D874" s="2">
        <f t="shared" si="13"/>
        <v>10</v>
      </c>
    </row>
    <row r="875" spans="1:4" x14ac:dyDescent="0.3">
      <c r="A875" s="3" t="s">
        <v>880</v>
      </c>
      <c r="B875" s="2" t="s">
        <v>1028</v>
      </c>
      <c r="C875" s="3" t="s">
        <v>1008</v>
      </c>
      <c r="D875" s="2">
        <f t="shared" si="13"/>
        <v>15000</v>
      </c>
    </row>
    <row r="876" spans="1:4" x14ac:dyDescent="0.3">
      <c r="A876" s="3" t="s">
        <v>881</v>
      </c>
      <c r="B876" s="2" t="s">
        <v>1048</v>
      </c>
      <c r="C876" s="3" t="s">
        <v>1010</v>
      </c>
      <c r="D876" s="2">
        <f t="shared" si="13"/>
        <v>50</v>
      </c>
    </row>
    <row r="877" spans="1:4" x14ac:dyDescent="0.3">
      <c r="A877" s="3" t="s">
        <v>882</v>
      </c>
      <c r="B877" s="2" t="s">
        <v>1044</v>
      </c>
      <c r="C877" s="3" t="s">
        <v>1010</v>
      </c>
      <c r="D877" s="2">
        <f t="shared" si="13"/>
        <v>100</v>
      </c>
    </row>
    <row r="878" spans="1:4" x14ac:dyDescent="0.3">
      <c r="A878" s="3" t="s">
        <v>883</v>
      </c>
      <c r="B878" s="2" t="s">
        <v>1079</v>
      </c>
      <c r="C878" s="3" t="s">
        <v>1011</v>
      </c>
      <c r="D878" s="2">
        <f t="shared" si="13"/>
        <v>5000</v>
      </c>
    </row>
    <row r="879" spans="1:4" x14ac:dyDescent="0.3">
      <c r="A879" s="3" t="s">
        <v>884</v>
      </c>
      <c r="B879" s="2" t="s">
        <v>1021</v>
      </c>
      <c r="C879" s="3" t="s">
        <v>1008</v>
      </c>
      <c r="D879" s="2">
        <f t="shared" si="13"/>
        <v>20000</v>
      </c>
    </row>
    <row r="880" spans="1:4" x14ac:dyDescent="0.3">
      <c r="A880" s="3" t="s">
        <v>885</v>
      </c>
      <c r="B880" s="2" t="s">
        <v>1074</v>
      </c>
      <c r="C880" s="3" t="s">
        <v>1009</v>
      </c>
      <c r="D880" s="2">
        <f t="shared" si="13"/>
        <v>500</v>
      </c>
    </row>
    <row r="881" spans="1:4" x14ac:dyDescent="0.3">
      <c r="A881" s="3" t="s">
        <v>886</v>
      </c>
      <c r="B881" s="2" t="s">
        <v>1058</v>
      </c>
      <c r="C881" s="3" t="s">
        <v>1012</v>
      </c>
      <c r="D881" s="2">
        <f t="shared" si="13"/>
        <v>500</v>
      </c>
    </row>
    <row r="882" spans="1:4" x14ac:dyDescent="0.3">
      <c r="A882" s="3" t="s">
        <v>887</v>
      </c>
      <c r="B882" s="2" t="s">
        <v>1018</v>
      </c>
      <c r="C882" s="3" t="s">
        <v>1012</v>
      </c>
      <c r="D882" s="2">
        <f t="shared" si="13"/>
        <v>3000</v>
      </c>
    </row>
    <row r="883" spans="1:4" x14ac:dyDescent="0.3">
      <c r="A883" s="3" t="s">
        <v>888</v>
      </c>
      <c r="B883" s="2" t="s">
        <v>1024</v>
      </c>
      <c r="C883" s="3" t="s">
        <v>1008</v>
      </c>
      <c r="D883" s="2">
        <f t="shared" si="13"/>
        <v>150000</v>
      </c>
    </row>
    <row r="884" spans="1:4" x14ac:dyDescent="0.3">
      <c r="A884" s="3" t="s">
        <v>889</v>
      </c>
      <c r="B884" s="2" t="s">
        <v>1075</v>
      </c>
      <c r="C884" s="3" t="s">
        <v>1009</v>
      </c>
      <c r="D884" s="2">
        <f t="shared" si="13"/>
        <v>2000</v>
      </c>
    </row>
    <row r="885" spans="1:4" x14ac:dyDescent="0.3">
      <c r="A885" s="3" t="s">
        <v>890</v>
      </c>
      <c r="B885" s="2" t="s">
        <v>1060</v>
      </c>
      <c r="C885" s="3" t="s">
        <v>1012</v>
      </c>
      <c r="D885" s="2">
        <f t="shared" si="13"/>
        <v>1500</v>
      </c>
    </row>
    <row r="886" spans="1:4" x14ac:dyDescent="0.3">
      <c r="A886" s="3" t="s">
        <v>891</v>
      </c>
      <c r="B886" s="2" t="s">
        <v>1048</v>
      </c>
      <c r="C886" s="3" t="s">
        <v>1010</v>
      </c>
      <c r="D886" s="2">
        <f t="shared" si="13"/>
        <v>50</v>
      </c>
    </row>
    <row r="887" spans="1:4" x14ac:dyDescent="0.3">
      <c r="A887" s="3" t="s">
        <v>892</v>
      </c>
      <c r="B887" s="2" t="s">
        <v>1083</v>
      </c>
      <c r="C887" s="3" t="s">
        <v>1011</v>
      </c>
      <c r="D887" s="2">
        <f t="shared" si="13"/>
        <v>3000</v>
      </c>
    </row>
    <row r="888" spans="1:4" x14ac:dyDescent="0.3">
      <c r="A888" s="3" t="s">
        <v>893</v>
      </c>
      <c r="B888" s="2" t="s">
        <v>1049</v>
      </c>
      <c r="C888" s="3" t="s">
        <v>1010</v>
      </c>
      <c r="D888" s="2">
        <f t="shared" si="13"/>
        <v>20</v>
      </c>
    </row>
    <row r="889" spans="1:4" x14ac:dyDescent="0.3">
      <c r="A889" s="3" t="s">
        <v>894</v>
      </c>
      <c r="B889" s="2" t="s">
        <v>1051</v>
      </c>
      <c r="C889" s="3" t="s">
        <v>1010</v>
      </c>
      <c r="D889" s="2">
        <f t="shared" si="13"/>
        <v>50</v>
      </c>
    </row>
    <row r="890" spans="1:4" x14ac:dyDescent="0.3">
      <c r="A890" s="3" t="s">
        <v>895</v>
      </c>
      <c r="B890" s="2" t="s">
        <v>1051</v>
      </c>
      <c r="C890" s="3" t="s">
        <v>1010</v>
      </c>
      <c r="D890" s="2">
        <f t="shared" si="13"/>
        <v>50</v>
      </c>
    </row>
    <row r="891" spans="1:4" x14ac:dyDescent="0.3">
      <c r="A891" s="3" t="s">
        <v>896</v>
      </c>
      <c r="B891" s="2" t="s">
        <v>1057</v>
      </c>
      <c r="C891" s="3" t="s">
        <v>1012</v>
      </c>
      <c r="D891" s="2">
        <f t="shared" si="13"/>
        <v>500</v>
      </c>
    </row>
    <row r="892" spans="1:4" x14ac:dyDescent="0.3">
      <c r="A892" s="3" t="s">
        <v>897</v>
      </c>
      <c r="B892" s="2" t="s">
        <v>1043</v>
      </c>
      <c r="C892" s="3" t="s">
        <v>1010</v>
      </c>
      <c r="D892" s="2">
        <f t="shared" si="13"/>
        <v>50</v>
      </c>
    </row>
    <row r="893" spans="1:4" x14ac:dyDescent="0.3">
      <c r="A893" s="3" t="s">
        <v>898</v>
      </c>
      <c r="B893" s="2" t="s">
        <v>1046</v>
      </c>
      <c r="C893" s="3" t="s">
        <v>1010</v>
      </c>
      <c r="D893" s="2">
        <f t="shared" si="13"/>
        <v>100</v>
      </c>
    </row>
    <row r="894" spans="1:4" x14ac:dyDescent="0.3">
      <c r="A894" s="3" t="s">
        <v>899</v>
      </c>
      <c r="B894" s="2" t="s">
        <v>1047</v>
      </c>
      <c r="C894" s="3" t="s">
        <v>1010</v>
      </c>
      <c r="D894" s="2">
        <f t="shared" si="13"/>
        <v>500</v>
      </c>
    </row>
    <row r="895" spans="1:4" x14ac:dyDescent="0.3">
      <c r="A895" s="3" t="s">
        <v>900</v>
      </c>
      <c r="B895" s="2" t="s">
        <v>1074</v>
      </c>
      <c r="C895" s="3" t="s">
        <v>1009</v>
      </c>
      <c r="D895" s="2">
        <f t="shared" si="13"/>
        <v>500</v>
      </c>
    </row>
    <row r="896" spans="1:4" x14ac:dyDescent="0.3">
      <c r="A896" s="3" t="s">
        <v>901</v>
      </c>
      <c r="B896" s="2" t="s">
        <v>1018</v>
      </c>
      <c r="C896" s="3" t="s">
        <v>1012</v>
      </c>
      <c r="D896" s="2">
        <f t="shared" si="13"/>
        <v>3000</v>
      </c>
    </row>
    <row r="897" spans="1:4" x14ac:dyDescent="0.3">
      <c r="A897" s="3" t="s">
        <v>902</v>
      </c>
      <c r="B897" s="2" t="s">
        <v>1042</v>
      </c>
      <c r="C897" s="3" t="s">
        <v>1007</v>
      </c>
      <c r="D897" s="2">
        <f t="shared" si="13"/>
        <v>3000</v>
      </c>
    </row>
    <row r="898" spans="1:4" x14ac:dyDescent="0.3">
      <c r="A898" s="3" t="s">
        <v>903</v>
      </c>
      <c r="B898" s="2" t="s">
        <v>1062</v>
      </c>
      <c r="C898" s="3" t="s">
        <v>1009</v>
      </c>
      <c r="D898" s="2">
        <f t="shared" si="13"/>
        <v>100</v>
      </c>
    </row>
    <row r="899" spans="1:4" x14ac:dyDescent="0.3">
      <c r="A899" s="3" t="s">
        <v>904</v>
      </c>
      <c r="B899" s="2" t="s">
        <v>1038</v>
      </c>
      <c r="C899" s="3" t="s">
        <v>1007</v>
      </c>
      <c r="D899" s="2">
        <f t="shared" ref="D899:D962" si="14">_xlfn.XLOOKUP(B899, $H$11:$H$24, $I$11:$I$24, _xlfn.XLOOKUP(B899, $J$11:$J$24, $K$11:$K$24,_xlfn.XLOOKUP(B899, $L$11:$L$23,$M$11:$M$23,_xlfn.XLOOKUP(B899, $N$11:$N$18,$O$11:$O$18,_xlfn.XLOOKUP(B899, $P$11:$P$26,$Q$11:$Q$26,_xlfn.XLOOKUP(B899, $R$11:$R$21,$S$11:$S$21,0))))))</f>
        <v>5000</v>
      </c>
    </row>
    <row r="900" spans="1:4" x14ac:dyDescent="0.3">
      <c r="A900" s="3" t="s">
        <v>905</v>
      </c>
      <c r="B900" s="2" t="s">
        <v>1076</v>
      </c>
      <c r="C900" s="3" t="s">
        <v>1009</v>
      </c>
      <c r="D900" s="2">
        <f t="shared" si="14"/>
        <v>100</v>
      </c>
    </row>
    <row r="901" spans="1:4" x14ac:dyDescent="0.3">
      <c r="A901" s="3" t="s">
        <v>906</v>
      </c>
      <c r="B901" s="2" t="s">
        <v>1030</v>
      </c>
      <c r="C901" s="3" t="s">
        <v>1008</v>
      </c>
      <c r="D901" s="2">
        <f t="shared" si="14"/>
        <v>70000</v>
      </c>
    </row>
    <row r="902" spans="1:4" x14ac:dyDescent="0.3">
      <c r="A902" s="3" t="s">
        <v>907</v>
      </c>
      <c r="B902" s="2" t="s">
        <v>1065</v>
      </c>
      <c r="C902" s="3" t="s">
        <v>1009</v>
      </c>
      <c r="D902" s="2">
        <f t="shared" si="14"/>
        <v>200</v>
      </c>
    </row>
    <row r="903" spans="1:4" x14ac:dyDescent="0.3">
      <c r="A903" s="3" t="s">
        <v>908</v>
      </c>
      <c r="B903" s="2" t="s">
        <v>1071</v>
      </c>
      <c r="C903" s="3" t="s">
        <v>1009</v>
      </c>
      <c r="D903" s="2">
        <f t="shared" si="14"/>
        <v>200</v>
      </c>
    </row>
    <row r="904" spans="1:4" x14ac:dyDescent="0.3">
      <c r="A904" s="3" t="s">
        <v>909</v>
      </c>
      <c r="B904" s="2" t="s">
        <v>1078</v>
      </c>
      <c r="C904" s="3" t="s">
        <v>1011</v>
      </c>
      <c r="D904" s="2">
        <f t="shared" si="14"/>
        <v>200</v>
      </c>
    </row>
    <row r="905" spans="1:4" x14ac:dyDescent="0.3">
      <c r="A905" s="3" t="s">
        <v>910</v>
      </c>
      <c r="B905" s="2" t="s">
        <v>1052</v>
      </c>
      <c r="C905" s="3" t="s">
        <v>1010</v>
      </c>
      <c r="D905" s="2">
        <f t="shared" si="14"/>
        <v>100</v>
      </c>
    </row>
    <row r="906" spans="1:4" x14ac:dyDescent="0.3">
      <c r="A906" s="3" t="s">
        <v>911</v>
      </c>
      <c r="B906" s="2" t="s">
        <v>1054</v>
      </c>
      <c r="C906" s="3" t="s">
        <v>1010</v>
      </c>
      <c r="D906" s="2">
        <f t="shared" si="14"/>
        <v>30</v>
      </c>
    </row>
    <row r="907" spans="1:4" x14ac:dyDescent="0.3">
      <c r="A907" s="3" t="s">
        <v>912</v>
      </c>
      <c r="B907" s="2" t="s">
        <v>1037</v>
      </c>
      <c r="C907" s="3" t="s">
        <v>1007</v>
      </c>
      <c r="D907" s="2">
        <f t="shared" si="14"/>
        <v>10000</v>
      </c>
    </row>
    <row r="908" spans="1:4" x14ac:dyDescent="0.3">
      <c r="A908" s="3" t="s">
        <v>913</v>
      </c>
      <c r="B908" s="2" t="s">
        <v>1061</v>
      </c>
      <c r="C908" s="3" t="s">
        <v>1012</v>
      </c>
      <c r="D908" s="2">
        <f t="shared" si="14"/>
        <v>500</v>
      </c>
    </row>
    <row r="909" spans="1:4" x14ac:dyDescent="0.3">
      <c r="A909" s="3" t="s">
        <v>914</v>
      </c>
      <c r="B909" s="2" t="s">
        <v>1043</v>
      </c>
      <c r="C909" s="3" t="s">
        <v>1010</v>
      </c>
      <c r="D909" s="2">
        <f t="shared" si="14"/>
        <v>50</v>
      </c>
    </row>
    <row r="910" spans="1:4" x14ac:dyDescent="0.3">
      <c r="A910" s="3" t="s">
        <v>915</v>
      </c>
      <c r="B910" s="2" t="s">
        <v>1051</v>
      </c>
      <c r="C910" s="3" t="s">
        <v>1010</v>
      </c>
      <c r="D910" s="2">
        <f t="shared" si="14"/>
        <v>50</v>
      </c>
    </row>
    <row r="911" spans="1:4" x14ac:dyDescent="0.3">
      <c r="A911" s="3" t="s">
        <v>916</v>
      </c>
      <c r="B911" s="2" t="s">
        <v>1027</v>
      </c>
      <c r="C911" s="3" t="s">
        <v>1008</v>
      </c>
      <c r="D911" s="2">
        <f t="shared" si="14"/>
        <v>30000</v>
      </c>
    </row>
    <row r="912" spans="1:4" x14ac:dyDescent="0.3">
      <c r="A912" s="3" t="s">
        <v>917</v>
      </c>
      <c r="B912" s="2" t="s">
        <v>1081</v>
      </c>
      <c r="C912" s="3" t="s">
        <v>1011</v>
      </c>
      <c r="D912" s="2">
        <f t="shared" si="14"/>
        <v>1000</v>
      </c>
    </row>
    <row r="913" spans="1:4" x14ac:dyDescent="0.3">
      <c r="A913" s="3" t="s">
        <v>918</v>
      </c>
      <c r="B913" s="2" t="s">
        <v>1046</v>
      </c>
      <c r="C913" s="3" t="s">
        <v>1010</v>
      </c>
      <c r="D913" s="2">
        <f t="shared" si="14"/>
        <v>100</v>
      </c>
    </row>
    <row r="914" spans="1:4" x14ac:dyDescent="0.3">
      <c r="A914" s="3" t="s">
        <v>919</v>
      </c>
      <c r="B914" s="2" t="s">
        <v>1061</v>
      </c>
      <c r="C914" s="3" t="s">
        <v>1012</v>
      </c>
      <c r="D914" s="2">
        <f t="shared" si="14"/>
        <v>500</v>
      </c>
    </row>
    <row r="915" spans="1:4" x14ac:dyDescent="0.3">
      <c r="A915" s="3" t="s">
        <v>920</v>
      </c>
      <c r="B915" s="2" t="s">
        <v>1076</v>
      </c>
      <c r="C915" s="3" t="s">
        <v>1009</v>
      </c>
      <c r="D915" s="2">
        <f t="shared" si="14"/>
        <v>100</v>
      </c>
    </row>
    <row r="916" spans="1:4" x14ac:dyDescent="0.3">
      <c r="A916" s="3" t="s">
        <v>921</v>
      </c>
      <c r="B916" s="2" t="s">
        <v>1072</v>
      </c>
      <c r="C916" s="3" t="s">
        <v>1009</v>
      </c>
      <c r="D916" s="2">
        <f t="shared" si="14"/>
        <v>50</v>
      </c>
    </row>
    <row r="917" spans="1:4" x14ac:dyDescent="0.3">
      <c r="A917" s="3" t="s">
        <v>922</v>
      </c>
      <c r="B917" s="2" t="s">
        <v>1052</v>
      </c>
      <c r="C917" s="3" t="s">
        <v>1010</v>
      </c>
      <c r="D917" s="2">
        <f t="shared" si="14"/>
        <v>100</v>
      </c>
    </row>
    <row r="918" spans="1:4" x14ac:dyDescent="0.3">
      <c r="A918" s="3" t="s">
        <v>923</v>
      </c>
      <c r="B918" s="2" t="s">
        <v>1039</v>
      </c>
      <c r="C918" s="3" t="s">
        <v>1007</v>
      </c>
      <c r="D918" s="2">
        <f t="shared" si="14"/>
        <v>12000</v>
      </c>
    </row>
    <row r="919" spans="1:4" x14ac:dyDescent="0.3">
      <c r="A919" s="3" t="s">
        <v>924</v>
      </c>
      <c r="B919" s="2" t="s">
        <v>1030</v>
      </c>
      <c r="C919" s="3" t="s">
        <v>1008</v>
      </c>
      <c r="D919" s="2">
        <f t="shared" si="14"/>
        <v>70000</v>
      </c>
    </row>
    <row r="920" spans="1:4" x14ac:dyDescent="0.3">
      <c r="A920" s="3" t="s">
        <v>925</v>
      </c>
      <c r="B920" s="2" t="s">
        <v>1038</v>
      </c>
      <c r="C920" s="3" t="s">
        <v>1007</v>
      </c>
      <c r="D920" s="2">
        <f t="shared" si="14"/>
        <v>5000</v>
      </c>
    </row>
    <row r="921" spans="1:4" x14ac:dyDescent="0.3">
      <c r="A921" s="3" t="s">
        <v>926</v>
      </c>
      <c r="B921" s="2" t="s">
        <v>1059</v>
      </c>
      <c r="C921" s="3" t="s">
        <v>1012</v>
      </c>
      <c r="D921" s="2">
        <f t="shared" si="14"/>
        <v>200</v>
      </c>
    </row>
    <row r="922" spans="1:4" x14ac:dyDescent="0.3">
      <c r="A922" s="3" t="s">
        <v>927</v>
      </c>
      <c r="B922" s="2" t="s">
        <v>1057</v>
      </c>
      <c r="C922" s="3" t="s">
        <v>1012</v>
      </c>
      <c r="D922" s="2">
        <f t="shared" si="14"/>
        <v>500</v>
      </c>
    </row>
    <row r="923" spans="1:4" x14ac:dyDescent="0.3">
      <c r="A923" s="3" t="s">
        <v>928</v>
      </c>
      <c r="B923" s="2" t="s">
        <v>1047</v>
      </c>
      <c r="C923" s="3" t="s">
        <v>1010</v>
      </c>
      <c r="D923" s="2">
        <f t="shared" si="14"/>
        <v>500</v>
      </c>
    </row>
    <row r="924" spans="1:4" x14ac:dyDescent="0.3">
      <c r="A924" s="3" t="s">
        <v>929</v>
      </c>
      <c r="B924" s="2" t="s">
        <v>1058</v>
      </c>
      <c r="C924" s="3" t="s">
        <v>1012</v>
      </c>
      <c r="D924" s="2">
        <f t="shared" si="14"/>
        <v>500</v>
      </c>
    </row>
    <row r="925" spans="1:4" x14ac:dyDescent="0.3">
      <c r="A925" s="3" t="s">
        <v>930</v>
      </c>
      <c r="B925" s="2" t="s">
        <v>1077</v>
      </c>
      <c r="C925" s="3" t="s">
        <v>1011</v>
      </c>
      <c r="D925" s="2">
        <f t="shared" si="14"/>
        <v>5000</v>
      </c>
    </row>
    <row r="926" spans="1:4" x14ac:dyDescent="0.3">
      <c r="A926" s="3" t="s">
        <v>931</v>
      </c>
      <c r="B926" s="2" t="s">
        <v>1041</v>
      </c>
      <c r="C926" s="3" t="s">
        <v>1007</v>
      </c>
      <c r="D926" s="2">
        <f t="shared" si="14"/>
        <v>2000</v>
      </c>
    </row>
    <row r="927" spans="1:4" x14ac:dyDescent="0.3">
      <c r="A927" s="3" t="s">
        <v>932</v>
      </c>
      <c r="B927" s="2" t="s">
        <v>1017</v>
      </c>
      <c r="C927" s="3" t="s">
        <v>1012</v>
      </c>
      <c r="D927" s="2">
        <f t="shared" si="14"/>
        <v>200</v>
      </c>
    </row>
    <row r="928" spans="1:4" x14ac:dyDescent="0.3">
      <c r="A928" s="3" t="s">
        <v>933</v>
      </c>
      <c r="B928" s="2" t="s">
        <v>1054</v>
      </c>
      <c r="C928" s="3" t="s">
        <v>1010</v>
      </c>
      <c r="D928" s="2">
        <f t="shared" si="14"/>
        <v>30</v>
      </c>
    </row>
    <row r="929" spans="1:4" x14ac:dyDescent="0.3">
      <c r="A929" s="3" t="s">
        <v>934</v>
      </c>
      <c r="B929" s="2" t="s">
        <v>1018</v>
      </c>
      <c r="C929" s="3" t="s">
        <v>1012</v>
      </c>
      <c r="D929" s="2">
        <f t="shared" si="14"/>
        <v>3000</v>
      </c>
    </row>
    <row r="930" spans="1:4" x14ac:dyDescent="0.3">
      <c r="A930" s="3" t="s">
        <v>935</v>
      </c>
      <c r="B930" s="2" t="s">
        <v>1024</v>
      </c>
      <c r="C930" s="3" t="s">
        <v>1008</v>
      </c>
      <c r="D930" s="2">
        <f t="shared" si="14"/>
        <v>150000</v>
      </c>
    </row>
    <row r="931" spans="1:4" x14ac:dyDescent="0.3">
      <c r="A931" s="3" t="s">
        <v>936</v>
      </c>
      <c r="B931" s="2" t="s">
        <v>1025</v>
      </c>
      <c r="C931" s="3" t="s">
        <v>1008</v>
      </c>
      <c r="D931" s="2">
        <f t="shared" si="14"/>
        <v>30000</v>
      </c>
    </row>
    <row r="932" spans="1:4" x14ac:dyDescent="0.3">
      <c r="A932" s="3" t="s">
        <v>937</v>
      </c>
      <c r="B932" s="2" t="s">
        <v>1028</v>
      </c>
      <c r="C932" s="3" t="s">
        <v>1008</v>
      </c>
      <c r="D932" s="2">
        <f t="shared" si="14"/>
        <v>15000</v>
      </c>
    </row>
    <row r="933" spans="1:4" x14ac:dyDescent="0.3">
      <c r="A933" s="3" t="s">
        <v>938</v>
      </c>
      <c r="B933" s="2" t="s">
        <v>1058</v>
      </c>
      <c r="C933" s="3" t="s">
        <v>1012</v>
      </c>
      <c r="D933" s="2">
        <f t="shared" si="14"/>
        <v>500</v>
      </c>
    </row>
    <row r="934" spans="1:4" x14ac:dyDescent="0.3">
      <c r="A934" s="3" t="s">
        <v>939</v>
      </c>
      <c r="B934" s="2" t="s">
        <v>1062</v>
      </c>
      <c r="C934" s="3" t="s">
        <v>1009</v>
      </c>
      <c r="D934" s="2">
        <f t="shared" si="14"/>
        <v>100</v>
      </c>
    </row>
    <row r="935" spans="1:4" x14ac:dyDescent="0.3">
      <c r="A935" s="3" t="s">
        <v>940</v>
      </c>
      <c r="B935" s="2" t="s">
        <v>1073</v>
      </c>
      <c r="C935" s="3" t="s">
        <v>1009</v>
      </c>
      <c r="D935" s="2">
        <f t="shared" si="14"/>
        <v>100</v>
      </c>
    </row>
    <row r="936" spans="1:4" x14ac:dyDescent="0.3">
      <c r="A936" s="3" t="s">
        <v>941</v>
      </c>
      <c r="B936" s="2" t="s">
        <v>1082</v>
      </c>
      <c r="C936" s="3" t="s">
        <v>1011</v>
      </c>
      <c r="D936" s="2">
        <f t="shared" si="14"/>
        <v>2000</v>
      </c>
    </row>
    <row r="937" spans="1:4" x14ac:dyDescent="0.3">
      <c r="A937" s="3" t="s">
        <v>942</v>
      </c>
      <c r="B937" s="2" t="s">
        <v>1061</v>
      </c>
      <c r="C937" s="3" t="s">
        <v>1012</v>
      </c>
      <c r="D937" s="2">
        <f t="shared" si="14"/>
        <v>500</v>
      </c>
    </row>
    <row r="938" spans="1:4" x14ac:dyDescent="0.3">
      <c r="A938" s="3" t="s">
        <v>943</v>
      </c>
      <c r="B938" s="2" t="s">
        <v>1042</v>
      </c>
      <c r="C938" s="3" t="s">
        <v>1007</v>
      </c>
      <c r="D938" s="2">
        <f t="shared" si="14"/>
        <v>3000</v>
      </c>
    </row>
    <row r="939" spans="1:4" x14ac:dyDescent="0.3">
      <c r="A939" s="3" t="s">
        <v>944</v>
      </c>
      <c r="B939" s="2" t="s">
        <v>1083</v>
      </c>
      <c r="C939" s="3" t="s">
        <v>1011</v>
      </c>
      <c r="D939" s="2">
        <f t="shared" si="14"/>
        <v>3000</v>
      </c>
    </row>
    <row r="940" spans="1:4" x14ac:dyDescent="0.3">
      <c r="A940" s="3" t="s">
        <v>945</v>
      </c>
      <c r="B940" s="2" t="s">
        <v>1044</v>
      </c>
      <c r="C940" s="3" t="s">
        <v>1010</v>
      </c>
      <c r="D940" s="2">
        <f t="shared" si="14"/>
        <v>100</v>
      </c>
    </row>
    <row r="941" spans="1:4" x14ac:dyDescent="0.3">
      <c r="A941" s="3" t="s">
        <v>946</v>
      </c>
      <c r="B941" s="2" t="s">
        <v>1026</v>
      </c>
      <c r="C941" s="3" t="s">
        <v>1008</v>
      </c>
      <c r="D941" s="2">
        <f t="shared" si="14"/>
        <v>6000</v>
      </c>
    </row>
    <row r="942" spans="1:4" x14ac:dyDescent="0.3">
      <c r="A942" s="3" t="s">
        <v>947</v>
      </c>
      <c r="B942" s="2" t="s">
        <v>1086</v>
      </c>
      <c r="C942" s="3" t="s">
        <v>1011</v>
      </c>
      <c r="D942" s="2">
        <f t="shared" si="14"/>
        <v>4500</v>
      </c>
    </row>
    <row r="943" spans="1:4" x14ac:dyDescent="0.3">
      <c r="A943" s="3" t="s">
        <v>948</v>
      </c>
      <c r="B943" s="2" t="s">
        <v>1022</v>
      </c>
      <c r="C943" s="3" t="s">
        <v>1008</v>
      </c>
      <c r="D943" s="2">
        <f t="shared" si="14"/>
        <v>0</v>
      </c>
    </row>
    <row r="944" spans="1:4" x14ac:dyDescent="0.3">
      <c r="A944" s="3" t="s">
        <v>949</v>
      </c>
      <c r="B944" s="2" t="s">
        <v>1047</v>
      </c>
      <c r="C944" s="3" t="s">
        <v>1010</v>
      </c>
      <c r="D944" s="2">
        <f t="shared" si="14"/>
        <v>500</v>
      </c>
    </row>
    <row r="945" spans="1:4" x14ac:dyDescent="0.3">
      <c r="A945" s="3" t="s">
        <v>950</v>
      </c>
      <c r="B945" s="2" t="s">
        <v>1061</v>
      </c>
      <c r="C945" s="3" t="s">
        <v>1012</v>
      </c>
      <c r="D945" s="2">
        <f t="shared" si="14"/>
        <v>500</v>
      </c>
    </row>
    <row r="946" spans="1:4" x14ac:dyDescent="0.3">
      <c r="A946" s="3" t="s">
        <v>951</v>
      </c>
      <c r="B946" s="2" t="s">
        <v>1045</v>
      </c>
      <c r="C946" s="3" t="s">
        <v>1010</v>
      </c>
      <c r="D946" s="2">
        <f t="shared" si="14"/>
        <v>100</v>
      </c>
    </row>
    <row r="947" spans="1:4" x14ac:dyDescent="0.3">
      <c r="A947" s="3" t="s">
        <v>952</v>
      </c>
      <c r="B947" s="2" t="s">
        <v>1086</v>
      </c>
      <c r="C947" s="3" t="s">
        <v>1011</v>
      </c>
      <c r="D947" s="2">
        <f t="shared" si="14"/>
        <v>4500</v>
      </c>
    </row>
    <row r="948" spans="1:4" x14ac:dyDescent="0.3">
      <c r="A948" s="3" t="s">
        <v>953</v>
      </c>
      <c r="B948" s="2" t="s">
        <v>1062</v>
      </c>
      <c r="C948" s="3" t="s">
        <v>1009</v>
      </c>
      <c r="D948" s="2">
        <f t="shared" si="14"/>
        <v>100</v>
      </c>
    </row>
    <row r="949" spans="1:4" x14ac:dyDescent="0.3">
      <c r="A949" s="3" t="s">
        <v>954</v>
      </c>
      <c r="B949" s="2" t="s">
        <v>1054</v>
      </c>
      <c r="C949" s="3" t="s">
        <v>1010</v>
      </c>
      <c r="D949" s="2">
        <f t="shared" si="14"/>
        <v>30</v>
      </c>
    </row>
    <row r="950" spans="1:4" x14ac:dyDescent="0.3">
      <c r="A950" s="3" t="s">
        <v>955</v>
      </c>
      <c r="B950" s="2" t="s">
        <v>1043</v>
      </c>
      <c r="C950" s="3" t="s">
        <v>1010</v>
      </c>
      <c r="D950" s="2">
        <f t="shared" si="14"/>
        <v>50</v>
      </c>
    </row>
    <row r="951" spans="1:4" x14ac:dyDescent="0.3">
      <c r="A951" s="3" t="s">
        <v>956</v>
      </c>
      <c r="B951" s="2" t="s">
        <v>1031</v>
      </c>
      <c r="C951" s="3" t="s">
        <v>1008</v>
      </c>
      <c r="D951" s="2">
        <f t="shared" si="14"/>
        <v>40000</v>
      </c>
    </row>
    <row r="952" spans="1:4" x14ac:dyDescent="0.3">
      <c r="A952" s="3" t="s">
        <v>957</v>
      </c>
      <c r="B952" s="2" t="s">
        <v>1058</v>
      </c>
      <c r="C952" s="3" t="s">
        <v>1012</v>
      </c>
      <c r="D952" s="2">
        <f t="shared" si="14"/>
        <v>500</v>
      </c>
    </row>
    <row r="953" spans="1:4" x14ac:dyDescent="0.3">
      <c r="A953" s="3" t="s">
        <v>958</v>
      </c>
      <c r="B953" s="2" t="s">
        <v>1082</v>
      </c>
      <c r="C953" s="3" t="s">
        <v>1011</v>
      </c>
      <c r="D953" s="2">
        <f t="shared" si="14"/>
        <v>2000</v>
      </c>
    </row>
    <row r="954" spans="1:4" x14ac:dyDescent="0.3">
      <c r="A954" s="3" t="s">
        <v>959</v>
      </c>
      <c r="B954" s="2" t="s">
        <v>1064</v>
      </c>
      <c r="C954" s="3" t="s">
        <v>1009</v>
      </c>
      <c r="D954" s="2">
        <f t="shared" si="14"/>
        <v>15000</v>
      </c>
    </row>
    <row r="955" spans="1:4" x14ac:dyDescent="0.3">
      <c r="A955" s="3" t="s">
        <v>960</v>
      </c>
      <c r="B955" s="2" t="s">
        <v>1026</v>
      </c>
      <c r="C955" s="3" t="s">
        <v>1008</v>
      </c>
      <c r="D955" s="2">
        <f t="shared" si="14"/>
        <v>6000</v>
      </c>
    </row>
    <row r="956" spans="1:4" x14ac:dyDescent="0.3">
      <c r="A956" s="3" t="s">
        <v>961</v>
      </c>
      <c r="B956" s="2" t="s">
        <v>1038</v>
      </c>
      <c r="C956" s="3" t="s">
        <v>1007</v>
      </c>
      <c r="D956" s="2">
        <f t="shared" si="14"/>
        <v>5000</v>
      </c>
    </row>
    <row r="957" spans="1:4" x14ac:dyDescent="0.3">
      <c r="A957" s="3" t="s">
        <v>962</v>
      </c>
      <c r="B957" s="2" t="s">
        <v>1085</v>
      </c>
      <c r="C957" s="3" t="s">
        <v>1011</v>
      </c>
      <c r="D957" s="2">
        <f t="shared" si="14"/>
        <v>1500</v>
      </c>
    </row>
    <row r="958" spans="1:4" x14ac:dyDescent="0.3">
      <c r="A958" s="3" t="s">
        <v>963</v>
      </c>
      <c r="B958" s="2" t="s">
        <v>1044</v>
      </c>
      <c r="C958" s="3" t="s">
        <v>1010</v>
      </c>
      <c r="D958" s="2">
        <f t="shared" si="14"/>
        <v>100</v>
      </c>
    </row>
    <row r="959" spans="1:4" x14ac:dyDescent="0.3">
      <c r="A959" s="3" t="s">
        <v>964</v>
      </c>
      <c r="B959" s="2" t="s">
        <v>1036</v>
      </c>
      <c r="C959" s="3" t="s">
        <v>1007</v>
      </c>
      <c r="D959" s="2">
        <f t="shared" si="14"/>
        <v>8000</v>
      </c>
    </row>
    <row r="960" spans="1:4" x14ac:dyDescent="0.3">
      <c r="A960" s="3" t="s">
        <v>965</v>
      </c>
      <c r="B960" s="2" t="s">
        <v>1067</v>
      </c>
      <c r="C960" s="3" t="s">
        <v>1009</v>
      </c>
      <c r="D960" s="2">
        <f t="shared" si="14"/>
        <v>100</v>
      </c>
    </row>
    <row r="961" spans="1:4" x14ac:dyDescent="0.3">
      <c r="A961" s="3" t="s">
        <v>966</v>
      </c>
      <c r="B961" s="2" t="s">
        <v>1021</v>
      </c>
      <c r="C961" s="3" t="s">
        <v>1008</v>
      </c>
      <c r="D961" s="2">
        <f t="shared" si="14"/>
        <v>20000</v>
      </c>
    </row>
    <row r="962" spans="1:4" x14ac:dyDescent="0.3">
      <c r="A962" s="3" t="s">
        <v>967</v>
      </c>
      <c r="B962" s="2" t="s">
        <v>1042</v>
      </c>
      <c r="C962" s="3" t="s">
        <v>1007</v>
      </c>
      <c r="D962" s="2">
        <f t="shared" si="14"/>
        <v>3000</v>
      </c>
    </row>
    <row r="963" spans="1:4" x14ac:dyDescent="0.3">
      <c r="A963" s="3" t="s">
        <v>968</v>
      </c>
      <c r="B963" s="2" t="s">
        <v>1048</v>
      </c>
      <c r="C963" s="3" t="s">
        <v>1010</v>
      </c>
      <c r="D963" s="2">
        <f t="shared" ref="D963:D1001" si="15">_xlfn.XLOOKUP(B963, $H$11:$H$24, $I$11:$I$24, _xlfn.XLOOKUP(B963, $J$11:$J$24, $K$11:$K$24,_xlfn.XLOOKUP(B963, $L$11:$L$23,$M$11:$M$23,_xlfn.XLOOKUP(B963, $N$11:$N$18,$O$11:$O$18,_xlfn.XLOOKUP(B963, $P$11:$P$26,$Q$11:$Q$26,_xlfn.XLOOKUP(B963, $R$11:$R$21,$S$11:$S$21,0))))))</f>
        <v>50</v>
      </c>
    </row>
    <row r="964" spans="1:4" x14ac:dyDescent="0.3">
      <c r="A964" s="3" t="s">
        <v>969</v>
      </c>
      <c r="B964" s="2" t="s">
        <v>1071</v>
      </c>
      <c r="C964" s="3" t="s">
        <v>1009</v>
      </c>
      <c r="D964" s="2">
        <f t="shared" si="15"/>
        <v>200</v>
      </c>
    </row>
    <row r="965" spans="1:4" x14ac:dyDescent="0.3">
      <c r="A965" s="3" t="s">
        <v>970</v>
      </c>
      <c r="B965" s="2" t="s">
        <v>1068</v>
      </c>
      <c r="C965" s="3" t="s">
        <v>1009</v>
      </c>
      <c r="D965" s="2">
        <f t="shared" si="15"/>
        <v>100</v>
      </c>
    </row>
    <row r="966" spans="1:4" x14ac:dyDescent="0.3">
      <c r="A966" s="3" t="s">
        <v>971</v>
      </c>
      <c r="B966" s="2" t="s">
        <v>1057</v>
      </c>
      <c r="C966" s="3" t="s">
        <v>1012</v>
      </c>
      <c r="D966" s="2">
        <f t="shared" si="15"/>
        <v>500</v>
      </c>
    </row>
    <row r="967" spans="1:4" x14ac:dyDescent="0.3">
      <c r="A967" s="3" t="s">
        <v>972</v>
      </c>
      <c r="B967" s="2" t="s">
        <v>1032</v>
      </c>
      <c r="C967" s="3" t="s">
        <v>1008</v>
      </c>
      <c r="D967" s="2">
        <f t="shared" si="15"/>
        <v>2000</v>
      </c>
    </row>
    <row r="968" spans="1:4" x14ac:dyDescent="0.3">
      <c r="A968" s="3" t="s">
        <v>973</v>
      </c>
      <c r="B968" s="2" t="s">
        <v>1087</v>
      </c>
      <c r="C968" s="3" t="s">
        <v>1011</v>
      </c>
      <c r="D968" s="2">
        <f t="shared" si="15"/>
        <v>5000</v>
      </c>
    </row>
    <row r="969" spans="1:4" x14ac:dyDescent="0.3">
      <c r="A969" s="3" t="s">
        <v>974</v>
      </c>
      <c r="B969" s="2" t="s">
        <v>1031</v>
      </c>
      <c r="C969" s="3" t="s">
        <v>1008</v>
      </c>
      <c r="D969" s="2">
        <f t="shared" si="15"/>
        <v>40000</v>
      </c>
    </row>
    <row r="970" spans="1:4" x14ac:dyDescent="0.3">
      <c r="A970" s="3" t="s">
        <v>975</v>
      </c>
      <c r="B970" s="2" t="s">
        <v>1017</v>
      </c>
      <c r="C970" s="3" t="s">
        <v>1012</v>
      </c>
      <c r="D970" s="2">
        <f t="shared" si="15"/>
        <v>200</v>
      </c>
    </row>
    <row r="971" spans="1:4" x14ac:dyDescent="0.3">
      <c r="A971" s="3" t="s">
        <v>976</v>
      </c>
      <c r="B971" s="2" t="s">
        <v>1035</v>
      </c>
      <c r="C971" s="3" t="s">
        <v>1007</v>
      </c>
      <c r="D971" s="2">
        <f t="shared" si="15"/>
        <v>15000</v>
      </c>
    </row>
    <row r="972" spans="1:4" x14ac:dyDescent="0.3">
      <c r="A972" s="3" t="s">
        <v>977</v>
      </c>
      <c r="B972" s="2" t="s">
        <v>1044</v>
      </c>
      <c r="C972" s="3" t="s">
        <v>1010</v>
      </c>
      <c r="D972" s="2">
        <f t="shared" si="15"/>
        <v>100</v>
      </c>
    </row>
    <row r="973" spans="1:4" x14ac:dyDescent="0.3">
      <c r="A973" s="3" t="s">
        <v>978</v>
      </c>
      <c r="B973" s="2" t="s">
        <v>1038</v>
      </c>
      <c r="C973" s="3" t="s">
        <v>1007</v>
      </c>
      <c r="D973" s="2">
        <f t="shared" si="15"/>
        <v>5000</v>
      </c>
    </row>
    <row r="974" spans="1:4" x14ac:dyDescent="0.3">
      <c r="A974" s="3" t="s">
        <v>979</v>
      </c>
      <c r="B974" s="2" t="s">
        <v>1048</v>
      </c>
      <c r="C974" s="3" t="s">
        <v>1010</v>
      </c>
      <c r="D974" s="2">
        <f t="shared" si="15"/>
        <v>50</v>
      </c>
    </row>
    <row r="975" spans="1:4" x14ac:dyDescent="0.3">
      <c r="A975" s="3" t="s">
        <v>980</v>
      </c>
      <c r="B975" s="2" t="s">
        <v>1035</v>
      </c>
      <c r="C975" s="3" t="s">
        <v>1007</v>
      </c>
      <c r="D975" s="2">
        <f t="shared" si="15"/>
        <v>15000</v>
      </c>
    </row>
    <row r="976" spans="1:4" x14ac:dyDescent="0.3">
      <c r="A976" s="3" t="s">
        <v>981</v>
      </c>
      <c r="B976" s="2" t="s">
        <v>1017</v>
      </c>
      <c r="C976" s="3" t="s">
        <v>1012</v>
      </c>
      <c r="D976" s="2">
        <f t="shared" si="15"/>
        <v>200</v>
      </c>
    </row>
    <row r="977" spans="1:4" x14ac:dyDescent="0.3">
      <c r="A977" s="3" t="s">
        <v>982</v>
      </c>
      <c r="B977" s="2" t="s">
        <v>1042</v>
      </c>
      <c r="C977" s="3" t="s">
        <v>1007</v>
      </c>
      <c r="D977" s="2">
        <f t="shared" si="15"/>
        <v>3000</v>
      </c>
    </row>
    <row r="978" spans="1:4" x14ac:dyDescent="0.3">
      <c r="A978" s="3" t="s">
        <v>983</v>
      </c>
      <c r="B978" s="2" t="s">
        <v>1037</v>
      </c>
      <c r="C978" s="3" t="s">
        <v>1007</v>
      </c>
      <c r="D978" s="2">
        <f t="shared" si="15"/>
        <v>10000</v>
      </c>
    </row>
    <row r="979" spans="1:4" x14ac:dyDescent="0.3">
      <c r="A979" s="3" t="s">
        <v>984</v>
      </c>
      <c r="B979" s="2" t="s">
        <v>1036</v>
      </c>
      <c r="C979" s="3" t="s">
        <v>1007</v>
      </c>
      <c r="D979" s="2">
        <f t="shared" si="15"/>
        <v>8000</v>
      </c>
    </row>
    <row r="980" spans="1:4" x14ac:dyDescent="0.3">
      <c r="A980" s="3" t="s">
        <v>985</v>
      </c>
      <c r="B980" s="2" t="s">
        <v>1067</v>
      </c>
      <c r="C980" s="3" t="s">
        <v>1009</v>
      </c>
      <c r="D980" s="2">
        <f t="shared" si="15"/>
        <v>100</v>
      </c>
    </row>
    <row r="981" spans="1:4" x14ac:dyDescent="0.3">
      <c r="A981" s="3" t="s">
        <v>986</v>
      </c>
      <c r="B981" s="2" t="s">
        <v>1079</v>
      </c>
      <c r="C981" s="3" t="s">
        <v>1011</v>
      </c>
      <c r="D981" s="2">
        <f t="shared" si="15"/>
        <v>5000</v>
      </c>
    </row>
    <row r="982" spans="1:4" x14ac:dyDescent="0.3">
      <c r="A982" s="3" t="s">
        <v>987</v>
      </c>
      <c r="B982" s="2" t="s">
        <v>1057</v>
      </c>
      <c r="C982" s="3" t="s">
        <v>1012</v>
      </c>
      <c r="D982" s="2">
        <f t="shared" si="15"/>
        <v>500</v>
      </c>
    </row>
    <row r="983" spans="1:4" x14ac:dyDescent="0.3">
      <c r="A983" s="3" t="s">
        <v>988</v>
      </c>
      <c r="B983" s="2" t="s">
        <v>1026</v>
      </c>
      <c r="C983" s="3" t="s">
        <v>1008</v>
      </c>
      <c r="D983" s="2">
        <f t="shared" si="15"/>
        <v>6000</v>
      </c>
    </row>
    <row r="984" spans="1:4" x14ac:dyDescent="0.3">
      <c r="A984" s="3" t="s">
        <v>989</v>
      </c>
      <c r="B984" s="2" t="s">
        <v>1049</v>
      </c>
      <c r="C984" s="3" t="s">
        <v>1010</v>
      </c>
      <c r="D984" s="2">
        <f t="shared" si="15"/>
        <v>20</v>
      </c>
    </row>
    <row r="985" spans="1:4" x14ac:dyDescent="0.3">
      <c r="A985" s="3" t="s">
        <v>990</v>
      </c>
      <c r="B985" s="2" t="s">
        <v>1036</v>
      </c>
      <c r="C985" s="3" t="s">
        <v>1007</v>
      </c>
      <c r="D985" s="2">
        <f t="shared" si="15"/>
        <v>8000</v>
      </c>
    </row>
    <row r="986" spans="1:4" x14ac:dyDescent="0.3">
      <c r="A986" s="3" t="s">
        <v>991</v>
      </c>
      <c r="B986" s="2" t="s">
        <v>1055</v>
      </c>
      <c r="C986" s="3" t="s">
        <v>1010</v>
      </c>
      <c r="D986" s="2">
        <f t="shared" si="15"/>
        <v>50</v>
      </c>
    </row>
    <row r="987" spans="1:4" x14ac:dyDescent="0.3">
      <c r="A987" s="3" t="s">
        <v>992</v>
      </c>
      <c r="B987" s="2" t="s">
        <v>1023</v>
      </c>
      <c r="C987" s="3" t="s">
        <v>1008</v>
      </c>
      <c r="D987" s="2">
        <f t="shared" si="15"/>
        <v>20000</v>
      </c>
    </row>
    <row r="988" spans="1:4" x14ac:dyDescent="0.3">
      <c r="A988" s="3" t="s">
        <v>993</v>
      </c>
      <c r="B988" s="2" t="s">
        <v>1059</v>
      </c>
      <c r="C988" s="3" t="s">
        <v>1012</v>
      </c>
      <c r="D988" s="2">
        <f t="shared" si="15"/>
        <v>200</v>
      </c>
    </row>
    <row r="989" spans="1:4" x14ac:dyDescent="0.3">
      <c r="A989" s="3" t="s">
        <v>994</v>
      </c>
      <c r="B989" s="2" t="s">
        <v>1065</v>
      </c>
      <c r="C989" s="3" t="s">
        <v>1009</v>
      </c>
      <c r="D989" s="2">
        <f t="shared" si="15"/>
        <v>200</v>
      </c>
    </row>
    <row r="990" spans="1:4" x14ac:dyDescent="0.3">
      <c r="A990" s="3" t="s">
        <v>995</v>
      </c>
      <c r="B990" s="2" t="s">
        <v>1072</v>
      </c>
      <c r="C990" s="3" t="s">
        <v>1009</v>
      </c>
      <c r="D990" s="2">
        <f t="shared" si="15"/>
        <v>50</v>
      </c>
    </row>
    <row r="991" spans="1:4" x14ac:dyDescent="0.3">
      <c r="A991" s="3" t="s">
        <v>996</v>
      </c>
      <c r="B991" s="2" t="s">
        <v>1032</v>
      </c>
      <c r="C991" s="3" t="s">
        <v>1008</v>
      </c>
      <c r="D991" s="2">
        <f t="shared" si="15"/>
        <v>2000</v>
      </c>
    </row>
    <row r="992" spans="1:4" x14ac:dyDescent="0.3">
      <c r="A992" s="3" t="s">
        <v>997</v>
      </c>
      <c r="B992" s="2" t="s">
        <v>1066</v>
      </c>
      <c r="C992" s="3" t="s">
        <v>1009</v>
      </c>
      <c r="D992" s="2">
        <f t="shared" si="15"/>
        <v>800</v>
      </c>
    </row>
    <row r="993" spans="1:4" x14ac:dyDescent="0.3">
      <c r="A993" s="3" t="s">
        <v>998</v>
      </c>
      <c r="B993" s="2" t="s">
        <v>1058</v>
      </c>
      <c r="C993" s="3" t="s">
        <v>1012</v>
      </c>
      <c r="D993" s="2">
        <f t="shared" si="15"/>
        <v>500</v>
      </c>
    </row>
    <row r="994" spans="1:4" x14ac:dyDescent="0.3">
      <c r="A994" s="3" t="s">
        <v>999</v>
      </c>
      <c r="B994" s="2" t="s">
        <v>1073</v>
      </c>
      <c r="C994" s="3" t="s">
        <v>1009</v>
      </c>
      <c r="D994" s="2">
        <f t="shared" si="15"/>
        <v>100</v>
      </c>
    </row>
    <row r="995" spans="1:4" x14ac:dyDescent="0.3">
      <c r="A995" s="3" t="s">
        <v>1000</v>
      </c>
      <c r="B995" s="2" t="s">
        <v>1051</v>
      </c>
      <c r="C995" s="3" t="s">
        <v>1010</v>
      </c>
      <c r="D995" s="2">
        <f t="shared" si="15"/>
        <v>50</v>
      </c>
    </row>
    <row r="996" spans="1:4" x14ac:dyDescent="0.3">
      <c r="A996" s="3" t="s">
        <v>1001</v>
      </c>
      <c r="B996" s="2" t="s">
        <v>1018</v>
      </c>
      <c r="C996" s="3" t="s">
        <v>1012</v>
      </c>
      <c r="D996" s="2">
        <f t="shared" si="15"/>
        <v>3000</v>
      </c>
    </row>
    <row r="997" spans="1:4" x14ac:dyDescent="0.3">
      <c r="A997" s="3" t="s">
        <v>1002</v>
      </c>
      <c r="B997" s="2" t="s">
        <v>1036</v>
      </c>
      <c r="C997" s="3" t="s">
        <v>1007</v>
      </c>
      <c r="D997" s="2">
        <f t="shared" si="15"/>
        <v>8000</v>
      </c>
    </row>
    <row r="998" spans="1:4" x14ac:dyDescent="0.3">
      <c r="A998" s="3" t="s">
        <v>1003</v>
      </c>
      <c r="B998" s="2" t="s">
        <v>1082</v>
      </c>
      <c r="C998" s="3" t="s">
        <v>1011</v>
      </c>
      <c r="D998" s="2">
        <f t="shared" si="15"/>
        <v>2000</v>
      </c>
    </row>
    <row r="999" spans="1:4" x14ac:dyDescent="0.3">
      <c r="A999" s="3" t="s">
        <v>1004</v>
      </c>
      <c r="B999" s="2" t="s">
        <v>1051</v>
      </c>
      <c r="C999" s="3" t="s">
        <v>1010</v>
      </c>
      <c r="D999" s="2">
        <f t="shared" si="15"/>
        <v>50</v>
      </c>
    </row>
    <row r="1000" spans="1:4" x14ac:dyDescent="0.3">
      <c r="A1000" s="3" t="s">
        <v>1005</v>
      </c>
      <c r="B1000" s="2" t="s">
        <v>1045</v>
      </c>
      <c r="C1000" s="3" t="s">
        <v>1010</v>
      </c>
      <c r="D1000" s="2">
        <f t="shared" si="15"/>
        <v>100</v>
      </c>
    </row>
    <row r="1001" spans="1:4" x14ac:dyDescent="0.3">
      <c r="A1001" s="3" t="s">
        <v>1006</v>
      </c>
      <c r="B1001" s="2" t="s">
        <v>1018</v>
      </c>
      <c r="C1001" s="3" t="s">
        <v>1012</v>
      </c>
      <c r="D1001" s="2">
        <f t="shared" si="15"/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6503-BEAE-437B-8997-59DBA3AEC7A6}">
  <dimension ref="B2:O1003"/>
  <sheetViews>
    <sheetView topLeftCell="A740" zoomScale="97" zoomScaleNormal="10" workbookViewId="0">
      <selection activeCell="J26" sqref="J26:J766"/>
    </sheetView>
  </sheetViews>
  <sheetFormatPr defaultRowHeight="14.4" x14ac:dyDescent="0.3"/>
  <cols>
    <col min="1" max="1" width="3" customWidth="1"/>
    <col min="2" max="2" width="11.21875" bestFit="1" customWidth="1"/>
    <col min="3" max="3" width="14.21875" bestFit="1" customWidth="1"/>
    <col min="4" max="4" width="27.44140625" bestFit="1" customWidth="1"/>
    <col min="5" max="5" width="12.44140625" bestFit="1" customWidth="1"/>
    <col min="6" max="6" width="20.21875" bestFit="1" customWidth="1"/>
    <col min="7" max="7" width="20.88671875" bestFit="1" customWidth="1"/>
    <col min="8" max="8" width="13.109375" bestFit="1" customWidth="1"/>
    <col min="9" max="9" width="18.44140625" bestFit="1" customWidth="1"/>
    <col min="10" max="10" width="10.33203125" bestFit="1" customWidth="1"/>
    <col min="11" max="11" width="16.5546875" bestFit="1" customWidth="1"/>
    <col min="12" max="12" width="15.77734375" bestFit="1" customWidth="1"/>
    <col min="13" max="13" width="21.109375" bestFit="1" customWidth="1"/>
    <col min="14" max="14" width="11.88671875" bestFit="1" customWidth="1"/>
    <col min="15" max="15" width="17.5546875" bestFit="1" customWidth="1"/>
  </cols>
  <sheetData>
    <row r="2" spans="2:15" x14ac:dyDescent="0.3">
      <c r="B2" s="45" t="s">
        <v>0</v>
      </c>
      <c r="C2" s="46" t="s">
        <v>1</v>
      </c>
      <c r="D2" s="46" t="s">
        <v>2</v>
      </c>
      <c r="E2" s="46" t="s">
        <v>3</v>
      </c>
      <c r="F2" s="46" t="s">
        <v>4</v>
      </c>
      <c r="G2" s="46" t="s">
        <v>5</v>
      </c>
      <c r="H2" s="47" t="s">
        <v>6</v>
      </c>
      <c r="I2" s="46" t="s">
        <v>1092</v>
      </c>
      <c r="J2" s="51" t="s">
        <v>1093</v>
      </c>
      <c r="K2" s="46" t="s">
        <v>1094</v>
      </c>
      <c r="L2" s="46" t="s">
        <v>1095</v>
      </c>
      <c r="M2" s="46" t="s">
        <v>1096</v>
      </c>
      <c r="N2" s="46" t="s">
        <v>1097</v>
      </c>
      <c r="O2" s="46" t="s">
        <v>1098</v>
      </c>
    </row>
    <row r="3" spans="2:15" hidden="1" x14ac:dyDescent="0.3">
      <c r="B3" s="7">
        <v>1</v>
      </c>
      <c r="C3" s="3" t="s">
        <v>7</v>
      </c>
      <c r="D3" s="2" t="s">
        <v>1042</v>
      </c>
      <c r="E3" s="3" t="s">
        <v>1007</v>
      </c>
      <c r="F3" s="3">
        <v>36</v>
      </c>
      <c r="G3" s="3">
        <v>36</v>
      </c>
      <c r="H3" s="8">
        <v>3000</v>
      </c>
      <c r="I3" s="48">
        <f>Table13[[#This Row],[Physical_Stock_Qty]]-Table13[[#This Row],[System_Stock_Qty]]</f>
        <v>0</v>
      </c>
      <c r="J3" s="52" t="str" cm="1">
        <f t="array" ref="J3">_xlfn.IFS(I3=0,"Matched",I3&gt;0,"Excess",I3&lt;0,"Shortage")</f>
        <v>Matched</v>
      </c>
      <c r="K3" s="50">
        <f>ABS(Table13[[#This Row],[Stock Difference]])</f>
        <v>0</v>
      </c>
      <c r="L3" s="17">
        <f>(K3*H3)</f>
        <v>0</v>
      </c>
      <c r="M3" s="17">
        <f>F3*H3</f>
        <v>108000</v>
      </c>
      <c r="N3" s="17" t="str" cm="1">
        <f t="array" ref="N3">_xlfn.IFS(K3=0,"Matched", K3&gt;100,"High", K3&gt;=50,"Medium", K3&lt;50,"Low")</f>
        <v>Matched</v>
      </c>
      <c r="O3" s="17" t="str">
        <f>IF(L3&gt;500000,"Yes",IF(L3=0,"No Match","No"))</f>
        <v>No Match</v>
      </c>
    </row>
    <row r="4" spans="2:15" hidden="1" x14ac:dyDescent="0.3">
      <c r="B4" s="7">
        <v>2</v>
      </c>
      <c r="C4" s="3" t="s">
        <v>8</v>
      </c>
      <c r="D4" s="2" t="s">
        <v>1028</v>
      </c>
      <c r="E4" s="3" t="s">
        <v>1008</v>
      </c>
      <c r="F4" s="3">
        <v>192</v>
      </c>
      <c r="G4" s="3">
        <v>192</v>
      </c>
      <c r="H4" s="8">
        <v>15000</v>
      </c>
      <c r="I4" s="48">
        <f>Table13[[#This Row],[Physical_Stock_Qty]]-Table13[[#This Row],[System_Stock_Qty]]</f>
        <v>0</v>
      </c>
      <c r="J4" s="53" t="str" cm="1">
        <f t="array" ref="J4">_xlfn.IFS(I4=0,"Matched",I4&gt;0,"Excess",I4&lt;0,"Shortage")</f>
        <v>Matched</v>
      </c>
      <c r="K4" s="50">
        <f>ABS(Table13[[#This Row],[Stock Difference]])</f>
        <v>0</v>
      </c>
      <c r="L4" s="17">
        <f t="shared" ref="L4:L67" si="0">(K4*H4)</f>
        <v>0</v>
      </c>
      <c r="M4" s="17">
        <f t="shared" ref="M4:M67" si="1">F4*H4</f>
        <v>2880000</v>
      </c>
      <c r="N4" s="17" t="str" cm="1">
        <f t="array" ref="N4">_xlfn.IFS(K4=0,"Matched", K4&gt;100,"High", K4&gt;=50,"Medium", K4&lt;50,"Low")</f>
        <v>Matched</v>
      </c>
      <c r="O4" s="17" t="str">
        <f t="shared" ref="O4:O67" si="2">IF(L4&gt;500000,"Yes",IF(L4=0,"No Match","No"))</f>
        <v>No Match</v>
      </c>
    </row>
    <row r="5" spans="2:15" hidden="1" x14ac:dyDescent="0.3">
      <c r="B5" s="7">
        <v>3</v>
      </c>
      <c r="C5" s="3" t="s">
        <v>9</v>
      </c>
      <c r="D5" s="2" t="s">
        <v>1069</v>
      </c>
      <c r="E5" s="3" t="s">
        <v>1009</v>
      </c>
      <c r="F5" s="3">
        <v>191</v>
      </c>
      <c r="G5" s="3">
        <v>191</v>
      </c>
      <c r="H5" s="8">
        <v>200</v>
      </c>
      <c r="I5" s="48">
        <f>Table13[[#This Row],[Physical_Stock_Qty]]-Table13[[#This Row],[System_Stock_Qty]]</f>
        <v>0</v>
      </c>
      <c r="J5" s="53" t="str" cm="1">
        <f t="array" ref="J5">_xlfn.IFS(I5=0,"Matched",I5&gt;0,"Excess",I5&lt;0,"Shortage")</f>
        <v>Matched</v>
      </c>
      <c r="K5" s="50">
        <f>ABS(Table13[[#This Row],[Stock Difference]])</f>
        <v>0</v>
      </c>
      <c r="L5" s="17">
        <f t="shared" si="0"/>
        <v>0</v>
      </c>
      <c r="M5" s="17">
        <f t="shared" si="1"/>
        <v>38200</v>
      </c>
      <c r="N5" s="17" t="str" cm="1">
        <f t="array" ref="N5">_xlfn.IFS(K5=0,"Matched", K5&gt;100,"High", K5&gt;=50,"Medium", K5&lt;50,"Low")</f>
        <v>Matched</v>
      </c>
      <c r="O5" s="17" t="str">
        <f t="shared" si="2"/>
        <v>No Match</v>
      </c>
    </row>
    <row r="6" spans="2:15" hidden="1" x14ac:dyDescent="0.3">
      <c r="B6" s="7">
        <v>4</v>
      </c>
      <c r="C6" s="3" t="s">
        <v>10</v>
      </c>
      <c r="D6" s="2" t="s">
        <v>1043</v>
      </c>
      <c r="E6" s="3" t="s">
        <v>1010</v>
      </c>
      <c r="F6" s="3">
        <v>91</v>
      </c>
      <c r="G6" s="3">
        <v>91</v>
      </c>
      <c r="H6" s="8">
        <v>50</v>
      </c>
      <c r="I6" s="48">
        <f>Table13[[#This Row],[Physical_Stock_Qty]]-Table13[[#This Row],[System_Stock_Qty]]</f>
        <v>0</v>
      </c>
      <c r="J6" s="53" t="str" cm="1">
        <f t="array" ref="J6">_xlfn.IFS(I6=0,"Matched",I6&gt;0,"Excess",I6&lt;0,"Shortage")</f>
        <v>Matched</v>
      </c>
      <c r="K6" s="50">
        <f>ABS(Table13[[#This Row],[Stock Difference]])</f>
        <v>0</v>
      </c>
      <c r="L6" s="17">
        <f t="shared" si="0"/>
        <v>0</v>
      </c>
      <c r="M6" s="17">
        <f t="shared" si="1"/>
        <v>4550</v>
      </c>
      <c r="N6" s="17" t="str" cm="1">
        <f t="array" ref="N6">_xlfn.IFS(K6=0,"Matched", K6&gt;100,"High", K6&gt;=50,"Medium", K6&lt;50,"Low")</f>
        <v>Matched</v>
      </c>
      <c r="O6" s="17" t="str">
        <f t="shared" si="2"/>
        <v>No Match</v>
      </c>
    </row>
    <row r="7" spans="2:15" hidden="1" x14ac:dyDescent="0.3">
      <c r="B7" s="7">
        <v>5</v>
      </c>
      <c r="C7" s="3" t="s">
        <v>11</v>
      </c>
      <c r="D7" s="2" t="s">
        <v>1087</v>
      </c>
      <c r="E7" s="3" t="s">
        <v>1011</v>
      </c>
      <c r="F7" s="3">
        <v>62</v>
      </c>
      <c r="G7" s="3">
        <v>62</v>
      </c>
      <c r="H7" s="8">
        <v>5000</v>
      </c>
      <c r="I7" s="48">
        <f>Table13[[#This Row],[Physical_Stock_Qty]]-Table13[[#This Row],[System_Stock_Qty]]</f>
        <v>0</v>
      </c>
      <c r="J7" s="53" t="str" cm="1">
        <f t="array" ref="J7">_xlfn.IFS(I7=0,"Matched",I7&gt;0,"Excess",I7&lt;0,"Shortage")</f>
        <v>Matched</v>
      </c>
      <c r="K7" s="50">
        <f>ABS(Table13[[#This Row],[Stock Difference]])</f>
        <v>0</v>
      </c>
      <c r="L7" s="17">
        <f t="shared" si="0"/>
        <v>0</v>
      </c>
      <c r="M7" s="17">
        <f t="shared" si="1"/>
        <v>310000</v>
      </c>
      <c r="N7" s="17" t="str" cm="1">
        <f t="array" ref="N7">_xlfn.IFS(K7=0,"Matched", K7&gt;100,"High", K7&gt;=50,"Medium", K7&lt;50,"Low")</f>
        <v>Matched</v>
      </c>
      <c r="O7" s="17" t="str">
        <f t="shared" si="2"/>
        <v>No Match</v>
      </c>
    </row>
    <row r="8" spans="2:15" hidden="1" x14ac:dyDescent="0.3">
      <c r="B8" s="7">
        <v>6</v>
      </c>
      <c r="C8" s="3" t="s">
        <v>12</v>
      </c>
      <c r="D8" s="2" t="s">
        <v>1048</v>
      </c>
      <c r="E8" s="3" t="s">
        <v>1010</v>
      </c>
      <c r="F8" s="3">
        <v>98</v>
      </c>
      <c r="G8" s="3">
        <v>98</v>
      </c>
      <c r="H8" s="8">
        <v>50</v>
      </c>
      <c r="I8" s="48">
        <f>Table13[[#This Row],[Physical_Stock_Qty]]-Table13[[#This Row],[System_Stock_Qty]]</f>
        <v>0</v>
      </c>
      <c r="J8" s="53" t="str" cm="1">
        <f t="array" ref="J8">_xlfn.IFS(I8=0,"Matched",I8&gt;0,"Excess",I8&lt;0,"Shortage")</f>
        <v>Matched</v>
      </c>
      <c r="K8" s="50">
        <f>ABS(Table13[[#This Row],[Stock Difference]])</f>
        <v>0</v>
      </c>
      <c r="L8" s="17">
        <f t="shared" si="0"/>
        <v>0</v>
      </c>
      <c r="M8" s="17">
        <f t="shared" si="1"/>
        <v>4900</v>
      </c>
      <c r="N8" s="17" t="str" cm="1">
        <f t="array" ref="N8">_xlfn.IFS(K8=0,"Matched", K8&gt;100,"High", K8&gt;=50,"Medium", K8&lt;50,"Low")</f>
        <v>Matched</v>
      </c>
      <c r="O8" s="17" t="str">
        <f t="shared" si="2"/>
        <v>No Match</v>
      </c>
    </row>
    <row r="9" spans="2:15" hidden="1" x14ac:dyDescent="0.3">
      <c r="B9" s="7">
        <v>7</v>
      </c>
      <c r="C9" s="3" t="s">
        <v>13</v>
      </c>
      <c r="D9" s="2" t="s">
        <v>1082</v>
      </c>
      <c r="E9" s="3" t="s">
        <v>1011</v>
      </c>
      <c r="F9" s="3">
        <v>184</v>
      </c>
      <c r="G9" s="3">
        <v>184</v>
      </c>
      <c r="H9" s="8">
        <v>2000</v>
      </c>
      <c r="I9" s="48">
        <f>Table13[[#This Row],[Physical_Stock_Qty]]-Table13[[#This Row],[System_Stock_Qty]]</f>
        <v>0</v>
      </c>
      <c r="J9" s="53" t="str" cm="1">
        <f t="array" ref="J9">_xlfn.IFS(I9=0,"Matched",I9&gt;0,"Excess",I9&lt;0,"Shortage")</f>
        <v>Matched</v>
      </c>
      <c r="K9" s="50">
        <f>ABS(Table13[[#This Row],[Stock Difference]])</f>
        <v>0</v>
      </c>
      <c r="L9" s="17">
        <f t="shared" si="0"/>
        <v>0</v>
      </c>
      <c r="M9" s="17">
        <f t="shared" si="1"/>
        <v>368000</v>
      </c>
      <c r="N9" s="17" t="str" cm="1">
        <f t="array" ref="N9">_xlfn.IFS(K9=0,"Matched", K9&gt;100,"High", K9&gt;=50,"Medium", K9&lt;50,"Low")</f>
        <v>Matched</v>
      </c>
      <c r="O9" s="17" t="str">
        <f t="shared" si="2"/>
        <v>No Match</v>
      </c>
    </row>
    <row r="10" spans="2:15" hidden="1" x14ac:dyDescent="0.3">
      <c r="B10" s="7">
        <v>8</v>
      </c>
      <c r="C10" s="3" t="s">
        <v>14</v>
      </c>
      <c r="D10" s="2" t="s">
        <v>1036</v>
      </c>
      <c r="E10" s="3" t="s">
        <v>1007</v>
      </c>
      <c r="F10" s="3">
        <v>79</v>
      </c>
      <c r="G10" s="3">
        <v>79</v>
      </c>
      <c r="H10" s="8">
        <v>8000</v>
      </c>
      <c r="I10" s="48">
        <f>Table13[[#This Row],[Physical_Stock_Qty]]-Table13[[#This Row],[System_Stock_Qty]]</f>
        <v>0</v>
      </c>
      <c r="J10" s="53" t="str" cm="1">
        <f t="array" ref="J10">_xlfn.IFS(I10=0,"Matched",I10&gt;0,"Excess",I10&lt;0,"Shortage")</f>
        <v>Matched</v>
      </c>
      <c r="K10" s="50">
        <f>ABS(Table13[[#This Row],[Stock Difference]])</f>
        <v>0</v>
      </c>
      <c r="L10" s="17">
        <f t="shared" si="0"/>
        <v>0</v>
      </c>
      <c r="M10" s="17">
        <f t="shared" si="1"/>
        <v>632000</v>
      </c>
      <c r="N10" s="17" t="str" cm="1">
        <f t="array" ref="N10">_xlfn.IFS(K10=0,"Matched", K10&gt;100,"High", K10&gt;=50,"Medium", K10&lt;50,"Low")</f>
        <v>Matched</v>
      </c>
      <c r="O10" s="17" t="str">
        <f t="shared" si="2"/>
        <v>No Match</v>
      </c>
    </row>
    <row r="11" spans="2:15" hidden="1" x14ac:dyDescent="0.3">
      <c r="B11" s="7">
        <v>9</v>
      </c>
      <c r="C11" s="3" t="s">
        <v>15</v>
      </c>
      <c r="D11" s="2" t="s">
        <v>1079</v>
      </c>
      <c r="E11" s="3" t="s">
        <v>1011</v>
      </c>
      <c r="F11" s="3">
        <v>68</v>
      </c>
      <c r="G11" s="3">
        <v>68</v>
      </c>
      <c r="H11" s="8">
        <v>5000</v>
      </c>
      <c r="I11" s="48">
        <f>Table13[[#This Row],[Physical_Stock_Qty]]-Table13[[#This Row],[System_Stock_Qty]]</f>
        <v>0</v>
      </c>
      <c r="J11" s="53" t="str" cm="1">
        <f t="array" ref="J11">_xlfn.IFS(I11=0,"Matched",I11&gt;0,"Excess",I11&lt;0,"Shortage")</f>
        <v>Matched</v>
      </c>
      <c r="K11" s="50">
        <f>ABS(Table13[[#This Row],[Stock Difference]])</f>
        <v>0</v>
      </c>
      <c r="L11" s="17">
        <f t="shared" si="0"/>
        <v>0</v>
      </c>
      <c r="M11" s="17">
        <f t="shared" si="1"/>
        <v>340000</v>
      </c>
      <c r="N11" s="17" t="str" cm="1">
        <f t="array" ref="N11">_xlfn.IFS(K11=0,"Matched", K11&gt;100,"High", K11&gt;=50,"Medium", K11&lt;50,"Low")</f>
        <v>Matched</v>
      </c>
      <c r="O11" s="17" t="str">
        <f t="shared" si="2"/>
        <v>No Match</v>
      </c>
    </row>
    <row r="12" spans="2:15" hidden="1" x14ac:dyDescent="0.3">
      <c r="B12" s="7">
        <v>10</v>
      </c>
      <c r="C12" s="3" t="s">
        <v>16</v>
      </c>
      <c r="D12" s="2" t="s">
        <v>1027</v>
      </c>
      <c r="E12" s="3" t="s">
        <v>1008</v>
      </c>
      <c r="F12" s="3">
        <v>161</v>
      </c>
      <c r="G12" s="3">
        <v>161</v>
      </c>
      <c r="H12" s="8">
        <v>30000</v>
      </c>
      <c r="I12" s="48">
        <f>Table13[[#This Row],[Physical_Stock_Qty]]-Table13[[#This Row],[System_Stock_Qty]]</f>
        <v>0</v>
      </c>
      <c r="J12" s="53" t="str" cm="1">
        <f t="array" ref="J12">_xlfn.IFS(I12=0,"Matched",I12&gt;0,"Excess",I12&lt;0,"Shortage")</f>
        <v>Matched</v>
      </c>
      <c r="K12" s="50">
        <f>ABS(Table13[[#This Row],[Stock Difference]])</f>
        <v>0</v>
      </c>
      <c r="L12" s="17">
        <f t="shared" si="0"/>
        <v>0</v>
      </c>
      <c r="M12" s="17">
        <f t="shared" si="1"/>
        <v>4830000</v>
      </c>
      <c r="N12" s="17" t="str" cm="1">
        <f t="array" ref="N12">_xlfn.IFS(K12=0,"Matched", K12&gt;100,"High", K12&gt;=50,"Medium", K12&lt;50,"Low")</f>
        <v>Matched</v>
      </c>
      <c r="O12" s="17" t="str">
        <f t="shared" si="2"/>
        <v>No Match</v>
      </c>
    </row>
    <row r="13" spans="2:15" hidden="1" x14ac:dyDescent="0.3">
      <c r="B13" s="7">
        <v>11</v>
      </c>
      <c r="C13" s="3" t="s">
        <v>17</v>
      </c>
      <c r="D13" s="2" t="s">
        <v>1058</v>
      </c>
      <c r="E13" s="3" t="s">
        <v>1012</v>
      </c>
      <c r="F13" s="3">
        <v>34</v>
      </c>
      <c r="G13" s="3">
        <v>34</v>
      </c>
      <c r="H13" s="8">
        <v>500</v>
      </c>
      <c r="I13" s="48">
        <f>Table13[[#This Row],[Physical_Stock_Qty]]-Table13[[#This Row],[System_Stock_Qty]]</f>
        <v>0</v>
      </c>
      <c r="J13" s="53" t="str" cm="1">
        <f t="array" ref="J13">_xlfn.IFS(I13=0,"Matched",I13&gt;0,"Excess",I13&lt;0,"Shortage")</f>
        <v>Matched</v>
      </c>
      <c r="K13" s="50">
        <f>ABS(Table13[[#This Row],[Stock Difference]])</f>
        <v>0</v>
      </c>
      <c r="L13" s="17">
        <f t="shared" si="0"/>
        <v>0</v>
      </c>
      <c r="M13" s="17">
        <f t="shared" si="1"/>
        <v>17000</v>
      </c>
      <c r="N13" s="17" t="str" cm="1">
        <f t="array" ref="N13">_xlfn.IFS(K13=0,"Matched", K13&gt;100,"High", K13&gt;=50,"Medium", K13&lt;50,"Low")</f>
        <v>Matched</v>
      </c>
      <c r="O13" s="17" t="str">
        <f t="shared" si="2"/>
        <v>No Match</v>
      </c>
    </row>
    <row r="14" spans="2:15" hidden="1" x14ac:dyDescent="0.3">
      <c r="B14" s="7">
        <v>12</v>
      </c>
      <c r="C14" s="3" t="s">
        <v>18</v>
      </c>
      <c r="D14" s="2" t="s">
        <v>1018</v>
      </c>
      <c r="E14" s="3" t="s">
        <v>1012</v>
      </c>
      <c r="F14" s="3">
        <v>43</v>
      </c>
      <c r="G14" s="3">
        <v>43</v>
      </c>
      <c r="H14" s="8">
        <v>3000</v>
      </c>
      <c r="I14" s="48">
        <f>Table13[[#This Row],[Physical_Stock_Qty]]-Table13[[#This Row],[System_Stock_Qty]]</f>
        <v>0</v>
      </c>
      <c r="J14" s="53" t="str" cm="1">
        <f t="array" ref="J14">_xlfn.IFS(I14=0,"Matched",I14&gt;0,"Excess",I14&lt;0,"Shortage")</f>
        <v>Matched</v>
      </c>
      <c r="K14" s="50">
        <f>ABS(Table13[[#This Row],[Stock Difference]])</f>
        <v>0</v>
      </c>
      <c r="L14" s="17">
        <f t="shared" si="0"/>
        <v>0</v>
      </c>
      <c r="M14" s="17">
        <f t="shared" si="1"/>
        <v>129000</v>
      </c>
      <c r="N14" s="17" t="str" cm="1">
        <f t="array" ref="N14">_xlfn.IFS(K14=0,"Matched", K14&gt;100,"High", K14&gt;=50,"Medium", K14&lt;50,"Low")</f>
        <v>Matched</v>
      </c>
      <c r="O14" s="17" t="str">
        <f t="shared" si="2"/>
        <v>No Match</v>
      </c>
    </row>
    <row r="15" spans="2:15" hidden="1" x14ac:dyDescent="0.3">
      <c r="B15" s="7">
        <v>13</v>
      </c>
      <c r="C15" s="3" t="s">
        <v>19</v>
      </c>
      <c r="D15" s="2" t="s">
        <v>1060</v>
      </c>
      <c r="E15" s="3" t="s">
        <v>1012</v>
      </c>
      <c r="F15" s="3">
        <v>79</v>
      </c>
      <c r="G15" s="3">
        <v>79</v>
      </c>
      <c r="H15" s="8">
        <v>1500</v>
      </c>
      <c r="I15" s="48">
        <f>Table13[[#This Row],[Physical_Stock_Qty]]-Table13[[#This Row],[System_Stock_Qty]]</f>
        <v>0</v>
      </c>
      <c r="J15" s="53" t="str" cm="1">
        <f t="array" ref="J15">_xlfn.IFS(I15=0,"Matched",I15&gt;0,"Excess",I15&lt;0,"Shortage")</f>
        <v>Matched</v>
      </c>
      <c r="K15" s="50">
        <f>ABS(Table13[[#This Row],[Stock Difference]])</f>
        <v>0</v>
      </c>
      <c r="L15" s="17">
        <f t="shared" si="0"/>
        <v>0</v>
      </c>
      <c r="M15" s="17">
        <f t="shared" si="1"/>
        <v>118500</v>
      </c>
      <c r="N15" s="17" t="str" cm="1">
        <f t="array" ref="N15">_xlfn.IFS(K15=0,"Matched", K15&gt;100,"High", K15&gt;=50,"Medium", K15&lt;50,"Low")</f>
        <v>Matched</v>
      </c>
      <c r="O15" s="17" t="str">
        <f t="shared" si="2"/>
        <v>No Match</v>
      </c>
    </row>
    <row r="16" spans="2:15" hidden="1" x14ac:dyDescent="0.3">
      <c r="B16" s="7">
        <v>14</v>
      </c>
      <c r="C16" s="3" t="s">
        <v>20</v>
      </c>
      <c r="D16" s="2" t="s">
        <v>1050</v>
      </c>
      <c r="E16" s="3" t="s">
        <v>1010</v>
      </c>
      <c r="F16" s="3">
        <v>195</v>
      </c>
      <c r="G16" s="3">
        <v>195</v>
      </c>
      <c r="H16" s="8">
        <v>30</v>
      </c>
      <c r="I16" s="48">
        <f>Table13[[#This Row],[Physical_Stock_Qty]]-Table13[[#This Row],[System_Stock_Qty]]</f>
        <v>0</v>
      </c>
      <c r="J16" s="53" t="str" cm="1">
        <f t="array" ref="J16">_xlfn.IFS(I16=0,"Matched",I16&gt;0,"Excess",I16&lt;0,"Shortage")</f>
        <v>Matched</v>
      </c>
      <c r="K16" s="50">
        <f>ABS(Table13[[#This Row],[Stock Difference]])</f>
        <v>0</v>
      </c>
      <c r="L16" s="17">
        <f t="shared" si="0"/>
        <v>0</v>
      </c>
      <c r="M16" s="17">
        <f t="shared" si="1"/>
        <v>5850</v>
      </c>
      <c r="N16" s="17" t="str" cm="1">
        <f t="array" ref="N16">_xlfn.IFS(K16=0,"Matched", K16&gt;100,"High", K16&gt;=50,"Medium", K16&lt;50,"Low")</f>
        <v>Matched</v>
      </c>
      <c r="O16" s="17" t="str">
        <f t="shared" si="2"/>
        <v>No Match</v>
      </c>
    </row>
    <row r="17" spans="2:15" hidden="1" x14ac:dyDescent="0.3">
      <c r="B17" s="7">
        <v>15</v>
      </c>
      <c r="C17" s="3" t="s">
        <v>21</v>
      </c>
      <c r="D17" s="2" t="s">
        <v>1043</v>
      </c>
      <c r="E17" s="3" t="s">
        <v>1010</v>
      </c>
      <c r="F17" s="3">
        <v>184</v>
      </c>
      <c r="G17" s="3">
        <v>184</v>
      </c>
      <c r="H17" s="8">
        <v>50</v>
      </c>
      <c r="I17" s="48">
        <f>Table13[[#This Row],[Physical_Stock_Qty]]-Table13[[#This Row],[System_Stock_Qty]]</f>
        <v>0</v>
      </c>
      <c r="J17" s="53" t="str" cm="1">
        <f t="array" ref="J17">_xlfn.IFS(I17=0,"Matched",I17&gt;0,"Excess",I17&lt;0,"Shortage")</f>
        <v>Matched</v>
      </c>
      <c r="K17" s="50">
        <f>ABS(Table13[[#This Row],[Stock Difference]])</f>
        <v>0</v>
      </c>
      <c r="L17" s="17">
        <f t="shared" si="0"/>
        <v>0</v>
      </c>
      <c r="M17" s="17">
        <f t="shared" si="1"/>
        <v>9200</v>
      </c>
      <c r="N17" s="17" t="str" cm="1">
        <f t="array" ref="N17">_xlfn.IFS(K17=0,"Matched", K17&gt;100,"High", K17&gt;=50,"Medium", K17&lt;50,"Low")</f>
        <v>Matched</v>
      </c>
      <c r="O17" s="17" t="str">
        <f t="shared" si="2"/>
        <v>No Match</v>
      </c>
    </row>
    <row r="18" spans="2:15" hidden="1" x14ac:dyDescent="0.3">
      <c r="B18" s="7">
        <v>16</v>
      </c>
      <c r="C18" s="3" t="s">
        <v>22</v>
      </c>
      <c r="D18" s="2" t="s">
        <v>1036</v>
      </c>
      <c r="E18" s="3" t="s">
        <v>1007</v>
      </c>
      <c r="F18" s="3">
        <v>46</v>
      </c>
      <c r="G18" s="3">
        <v>46</v>
      </c>
      <c r="H18" s="8">
        <v>8000</v>
      </c>
      <c r="I18" s="48">
        <f>Table13[[#This Row],[Physical_Stock_Qty]]-Table13[[#This Row],[System_Stock_Qty]]</f>
        <v>0</v>
      </c>
      <c r="J18" s="53" t="str" cm="1">
        <f t="array" ref="J18">_xlfn.IFS(I18=0,"Matched",I18&gt;0,"Excess",I18&lt;0,"Shortage")</f>
        <v>Matched</v>
      </c>
      <c r="K18" s="50">
        <f>ABS(Table13[[#This Row],[Stock Difference]])</f>
        <v>0</v>
      </c>
      <c r="L18" s="17">
        <f t="shared" si="0"/>
        <v>0</v>
      </c>
      <c r="M18" s="17">
        <f t="shared" si="1"/>
        <v>368000</v>
      </c>
      <c r="N18" s="17" t="str" cm="1">
        <f t="array" ref="N18">_xlfn.IFS(K18=0,"Matched", K18&gt;100,"High", K18&gt;=50,"Medium", K18&lt;50,"Low")</f>
        <v>Matched</v>
      </c>
      <c r="O18" s="17" t="str">
        <f t="shared" si="2"/>
        <v>No Match</v>
      </c>
    </row>
    <row r="19" spans="2:15" hidden="1" x14ac:dyDescent="0.3">
      <c r="B19" s="7">
        <v>17</v>
      </c>
      <c r="C19" s="3" t="s">
        <v>23</v>
      </c>
      <c r="D19" s="2" t="s">
        <v>1026</v>
      </c>
      <c r="E19" s="3" t="s">
        <v>1008</v>
      </c>
      <c r="F19" s="3">
        <v>165</v>
      </c>
      <c r="G19" s="3">
        <v>165</v>
      </c>
      <c r="H19" s="8">
        <v>6000</v>
      </c>
      <c r="I19" s="48">
        <f>Table13[[#This Row],[Physical_Stock_Qty]]-Table13[[#This Row],[System_Stock_Qty]]</f>
        <v>0</v>
      </c>
      <c r="J19" s="53" t="str" cm="1">
        <f t="array" ref="J19">_xlfn.IFS(I19=0,"Matched",I19&gt;0,"Excess",I19&lt;0,"Shortage")</f>
        <v>Matched</v>
      </c>
      <c r="K19" s="50">
        <f>ABS(Table13[[#This Row],[Stock Difference]])</f>
        <v>0</v>
      </c>
      <c r="L19" s="17">
        <f t="shared" si="0"/>
        <v>0</v>
      </c>
      <c r="M19" s="17">
        <f t="shared" si="1"/>
        <v>990000</v>
      </c>
      <c r="N19" s="17" t="str" cm="1">
        <f t="array" ref="N19">_xlfn.IFS(K19=0,"Matched", K19&gt;100,"High", K19&gt;=50,"Medium", K19&lt;50,"Low")</f>
        <v>Matched</v>
      </c>
      <c r="O19" s="17" t="str">
        <f t="shared" si="2"/>
        <v>No Match</v>
      </c>
    </row>
    <row r="20" spans="2:15" hidden="1" x14ac:dyDescent="0.3">
      <c r="B20" s="7">
        <v>18</v>
      </c>
      <c r="C20" s="3" t="s">
        <v>24</v>
      </c>
      <c r="D20" s="2" t="s">
        <v>1035</v>
      </c>
      <c r="E20" s="3" t="s">
        <v>1007</v>
      </c>
      <c r="F20" s="3">
        <v>40</v>
      </c>
      <c r="G20" s="3">
        <v>40</v>
      </c>
      <c r="H20" s="8">
        <v>15000</v>
      </c>
      <c r="I20" s="48">
        <f>Table13[[#This Row],[Physical_Stock_Qty]]-Table13[[#This Row],[System_Stock_Qty]]</f>
        <v>0</v>
      </c>
      <c r="J20" s="53" t="str" cm="1">
        <f t="array" ref="J20">_xlfn.IFS(I20=0,"Matched",I20&gt;0,"Excess",I20&lt;0,"Shortage")</f>
        <v>Matched</v>
      </c>
      <c r="K20" s="50">
        <f>ABS(Table13[[#This Row],[Stock Difference]])</f>
        <v>0</v>
      </c>
      <c r="L20" s="17">
        <f t="shared" si="0"/>
        <v>0</v>
      </c>
      <c r="M20" s="17">
        <f t="shared" si="1"/>
        <v>600000</v>
      </c>
      <c r="N20" s="17" t="str" cm="1">
        <f t="array" ref="N20">_xlfn.IFS(K20=0,"Matched", K20&gt;100,"High", K20&gt;=50,"Medium", K20&lt;50,"Low")</f>
        <v>Matched</v>
      </c>
      <c r="O20" s="17" t="str">
        <f t="shared" si="2"/>
        <v>No Match</v>
      </c>
    </row>
    <row r="21" spans="2:15" hidden="1" x14ac:dyDescent="0.3">
      <c r="B21" s="7">
        <v>19</v>
      </c>
      <c r="C21" s="3" t="s">
        <v>25</v>
      </c>
      <c r="D21" s="2" t="s">
        <v>1067</v>
      </c>
      <c r="E21" s="3" t="s">
        <v>1009</v>
      </c>
      <c r="F21" s="3">
        <v>96</v>
      </c>
      <c r="G21" s="3">
        <v>96</v>
      </c>
      <c r="H21" s="8">
        <v>100</v>
      </c>
      <c r="I21" s="48">
        <f>Table13[[#This Row],[Physical_Stock_Qty]]-Table13[[#This Row],[System_Stock_Qty]]</f>
        <v>0</v>
      </c>
      <c r="J21" s="53" t="str" cm="1">
        <f t="array" ref="J21">_xlfn.IFS(I21=0,"Matched",I21&gt;0,"Excess",I21&lt;0,"Shortage")</f>
        <v>Matched</v>
      </c>
      <c r="K21" s="50">
        <f>ABS(Table13[[#This Row],[Stock Difference]])</f>
        <v>0</v>
      </c>
      <c r="L21" s="17">
        <f t="shared" si="0"/>
        <v>0</v>
      </c>
      <c r="M21" s="17">
        <f t="shared" si="1"/>
        <v>9600</v>
      </c>
      <c r="N21" s="17" t="str" cm="1">
        <f t="array" ref="N21">_xlfn.IFS(K21=0,"Matched", K21&gt;100,"High", K21&gt;=50,"Medium", K21&lt;50,"Low")</f>
        <v>Matched</v>
      </c>
      <c r="O21" s="17" t="str">
        <f t="shared" si="2"/>
        <v>No Match</v>
      </c>
    </row>
    <row r="22" spans="2:15" hidden="1" x14ac:dyDescent="0.3">
      <c r="B22" s="7">
        <v>20</v>
      </c>
      <c r="C22" s="3" t="s">
        <v>26</v>
      </c>
      <c r="D22" s="2" t="s">
        <v>1054</v>
      </c>
      <c r="E22" s="3" t="s">
        <v>1010</v>
      </c>
      <c r="F22" s="3">
        <v>159</v>
      </c>
      <c r="G22" s="3">
        <v>159</v>
      </c>
      <c r="H22" s="8">
        <v>30</v>
      </c>
      <c r="I22" s="48">
        <f>Table13[[#This Row],[Physical_Stock_Qty]]-Table13[[#This Row],[System_Stock_Qty]]</f>
        <v>0</v>
      </c>
      <c r="J22" s="53" t="str" cm="1">
        <f t="array" ref="J22">_xlfn.IFS(I22=0,"Matched",I22&gt;0,"Excess",I22&lt;0,"Shortage")</f>
        <v>Matched</v>
      </c>
      <c r="K22" s="50">
        <f>ABS(Table13[[#This Row],[Stock Difference]])</f>
        <v>0</v>
      </c>
      <c r="L22" s="17">
        <f t="shared" si="0"/>
        <v>0</v>
      </c>
      <c r="M22" s="17">
        <f t="shared" si="1"/>
        <v>4770</v>
      </c>
      <c r="N22" s="17" t="str" cm="1">
        <f t="array" ref="N22">_xlfn.IFS(K22=0,"Matched", K22&gt;100,"High", K22&gt;=50,"Medium", K22&lt;50,"Low")</f>
        <v>Matched</v>
      </c>
      <c r="O22" s="17" t="str">
        <f t="shared" si="2"/>
        <v>No Match</v>
      </c>
    </row>
    <row r="23" spans="2:15" hidden="1" x14ac:dyDescent="0.3">
      <c r="B23" s="7">
        <v>21</v>
      </c>
      <c r="C23" s="3" t="s">
        <v>27</v>
      </c>
      <c r="D23" s="2" t="s">
        <v>1021</v>
      </c>
      <c r="E23" s="3" t="s">
        <v>1008</v>
      </c>
      <c r="F23" s="3">
        <v>159</v>
      </c>
      <c r="G23" s="3">
        <v>159</v>
      </c>
      <c r="H23" s="8">
        <v>20000</v>
      </c>
      <c r="I23" s="48">
        <f>Table13[[#This Row],[Physical_Stock_Qty]]-Table13[[#This Row],[System_Stock_Qty]]</f>
        <v>0</v>
      </c>
      <c r="J23" s="53" t="str" cm="1">
        <f t="array" ref="J23">_xlfn.IFS(I23=0,"Matched",I23&gt;0,"Excess",I23&lt;0,"Shortage")</f>
        <v>Matched</v>
      </c>
      <c r="K23" s="50">
        <f>ABS(Table13[[#This Row],[Stock Difference]])</f>
        <v>0</v>
      </c>
      <c r="L23" s="17">
        <f t="shared" si="0"/>
        <v>0</v>
      </c>
      <c r="M23" s="17">
        <f t="shared" si="1"/>
        <v>3180000</v>
      </c>
      <c r="N23" s="17" t="str" cm="1">
        <f t="array" ref="N23">_xlfn.IFS(K23=0,"Matched", K23&gt;100,"High", K23&gt;=50,"Medium", K23&lt;50,"Low")</f>
        <v>Matched</v>
      </c>
      <c r="O23" s="17" t="str">
        <f t="shared" si="2"/>
        <v>No Match</v>
      </c>
    </row>
    <row r="24" spans="2:15" hidden="1" x14ac:dyDescent="0.3">
      <c r="B24" s="7">
        <v>22</v>
      </c>
      <c r="C24" s="3" t="s">
        <v>28</v>
      </c>
      <c r="D24" s="2" t="s">
        <v>1038</v>
      </c>
      <c r="E24" s="3" t="s">
        <v>1007</v>
      </c>
      <c r="F24" s="3">
        <v>52</v>
      </c>
      <c r="G24" s="3">
        <v>52</v>
      </c>
      <c r="H24" s="8">
        <v>5000</v>
      </c>
      <c r="I24" s="48">
        <f>Table13[[#This Row],[Physical_Stock_Qty]]-Table13[[#This Row],[System_Stock_Qty]]</f>
        <v>0</v>
      </c>
      <c r="J24" s="53" t="str" cm="1">
        <f t="array" ref="J24">_xlfn.IFS(I24=0,"Matched",I24&gt;0,"Excess",I24&lt;0,"Shortage")</f>
        <v>Matched</v>
      </c>
      <c r="K24" s="50">
        <f>ABS(Table13[[#This Row],[Stock Difference]])</f>
        <v>0</v>
      </c>
      <c r="L24" s="17">
        <f t="shared" si="0"/>
        <v>0</v>
      </c>
      <c r="M24" s="17">
        <f t="shared" si="1"/>
        <v>260000</v>
      </c>
      <c r="N24" s="17" t="str" cm="1">
        <f t="array" ref="N24">_xlfn.IFS(K24=0,"Matched", K24&gt;100,"High", K24&gt;=50,"Medium", K24&lt;50,"Low")</f>
        <v>Matched</v>
      </c>
      <c r="O24" s="17" t="str">
        <f t="shared" si="2"/>
        <v>No Match</v>
      </c>
    </row>
    <row r="25" spans="2:15" hidden="1" x14ac:dyDescent="0.3">
      <c r="B25" s="7">
        <v>23</v>
      </c>
      <c r="C25" s="3" t="s">
        <v>29</v>
      </c>
      <c r="D25" s="2" t="s">
        <v>1040</v>
      </c>
      <c r="E25" s="3" t="s">
        <v>1007</v>
      </c>
      <c r="F25" s="3">
        <v>178</v>
      </c>
      <c r="G25" s="3">
        <v>178</v>
      </c>
      <c r="H25" s="8">
        <v>5000</v>
      </c>
      <c r="I25" s="48">
        <f>Table13[[#This Row],[Physical_Stock_Qty]]-Table13[[#This Row],[System_Stock_Qty]]</f>
        <v>0</v>
      </c>
      <c r="J25" s="53" t="str" cm="1">
        <f t="array" ref="J25">_xlfn.IFS(I25=0,"Matched",I25&gt;0,"Excess",I25&lt;0,"Shortage")</f>
        <v>Matched</v>
      </c>
      <c r="K25" s="50">
        <f>ABS(Table13[[#This Row],[Stock Difference]])</f>
        <v>0</v>
      </c>
      <c r="L25" s="17">
        <f t="shared" si="0"/>
        <v>0</v>
      </c>
      <c r="M25" s="17">
        <f t="shared" si="1"/>
        <v>890000</v>
      </c>
      <c r="N25" s="17" t="str" cm="1">
        <f t="array" ref="N25">_xlfn.IFS(K25=0,"Matched", K25&gt;100,"High", K25&gt;=50,"Medium", K25&lt;50,"Low")</f>
        <v>Matched</v>
      </c>
      <c r="O25" s="17" t="str">
        <f t="shared" si="2"/>
        <v>No Match</v>
      </c>
    </row>
    <row r="26" spans="2:15" x14ac:dyDescent="0.3">
      <c r="B26" s="7">
        <v>24</v>
      </c>
      <c r="C26" s="3" t="s">
        <v>30</v>
      </c>
      <c r="D26" s="2" t="s">
        <v>1056</v>
      </c>
      <c r="E26" s="3" t="s">
        <v>1012</v>
      </c>
      <c r="F26" s="3">
        <v>93</v>
      </c>
      <c r="G26" s="3">
        <v>53</v>
      </c>
      <c r="H26" s="8">
        <v>100</v>
      </c>
      <c r="I26" s="48">
        <f>Table13[[#This Row],[Physical_Stock_Qty]]-Table13[[#This Row],[System_Stock_Qty]]</f>
        <v>-40</v>
      </c>
      <c r="J26" s="53" t="str" cm="1">
        <f t="array" ref="J26">_xlfn.IFS(I26=0,"Matched",I26&gt;0,"Excess",I26&lt;0,"Shortage")</f>
        <v>Shortage</v>
      </c>
      <c r="K26" s="50">
        <f>ABS(Table13[[#This Row],[Stock Difference]])</f>
        <v>40</v>
      </c>
      <c r="L26" s="17">
        <f t="shared" si="0"/>
        <v>4000</v>
      </c>
      <c r="M26" s="17">
        <f t="shared" si="1"/>
        <v>9300</v>
      </c>
      <c r="N26" s="17" t="str" cm="1">
        <f t="array" ref="N26">_xlfn.IFS(K26=0,"Matched", K26&gt;100,"High", K26&gt;=50,"Medium", K26&lt;50,"Low")</f>
        <v>Low</v>
      </c>
      <c r="O26" s="17" t="str">
        <f t="shared" si="2"/>
        <v>No</v>
      </c>
    </row>
    <row r="27" spans="2:15" x14ac:dyDescent="0.3">
      <c r="B27" s="7">
        <v>25</v>
      </c>
      <c r="C27" s="3" t="s">
        <v>31</v>
      </c>
      <c r="D27" s="2" t="s">
        <v>1058</v>
      </c>
      <c r="E27" s="3" t="s">
        <v>1012</v>
      </c>
      <c r="F27" s="3">
        <v>31</v>
      </c>
      <c r="G27" s="3">
        <v>70</v>
      </c>
      <c r="H27" s="8">
        <v>500</v>
      </c>
      <c r="I27" s="48">
        <f>Table13[[#This Row],[Physical_Stock_Qty]]-Table13[[#This Row],[System_Stock_Qty]]</f>
        <v>39</v>
      </c>
      <c r="J27" s="53" t="str" cm="1">
        <f t="array" ref="J27">_xlfn.IFS(I27=0,"Matched",I27&gt;0,"Excess",I27&lt;0,"Shortage")</f>
        <v>Excess</v>
      </c>
      <c r="K27" s="50">
        <f>ABS(Table13[[#This Row],[Stock Difference]])</f>
        <v>39</v>
      </c>
      <c r="L27" s="17">
        <f t="shared" si="0"/>
        <v>19500</v>
      </c>
      <c r="M27" s="17">
        <f t="shared" si="1"/>
        <v>15500</v>
      </c>
      <c r="N27" s="17" t="str" cm="1">
        <f t="array" ref="N27">_xlfn.IFS(K27=0,"Matched", K27&gt;100,"High", K27&gt;=50,"Medium", K27&lt;50,"Low")</f>
        <v>Low</v>
      </c>
      <c r="O27" s="17" t="str">
        <f t="shared" si="2"/>
        <v>No</v>
      </c>
    </row>
    <row r="28" spans="2:15" x14ac:dyDescent="0.3">
      <c r="B28" s="7">
        <v>26</v>
      </c>
      <c r="C28" s="3" t="s">
        <v>32</v>
      </c>
      <c r="D28" s="2" t="s">
        <v>1065</v>
      </c>
      <c r="E28" s="3" t="s">
        <v>1009</v>
      </c>
      <c r="F28" s="3">
        <v>99</v>
      </c>
      <c r="G28" s="3">
        <v>35</v>
      </c>
      <c r="H28" s="8">
        <v>200</v>
      </c>
      <c r="I28" s="48">
        <f>Table13[[#This Row],[Physical_Stock_Qty]]-Table13[[#This Row],[System_Stock_Qty]]</f>
        <v>-64</v>
      </c>
      <c r="J28" s="53" t="str" cm="1">
        <f t="array" ref="J28">_xlfn.IFS(I28=0,"Matched",I28&gt;0,"Excess",I28&lt;0,"Shortage")</f>
        <v>Shortage</v>
      </c>
      <c r="K28" s="50">
        <f>ABS(Table13[[#This Row],[Stock Difference]])</f>
        <v>64</v>
      </c>
      <c r="L28" s="17">
        <f t="shared" si="0"/>
        <v>12800</v>
      </c>
      <c r="M28" s="17">
        <f t="shared" si="1"/>
        <v>19800</v>
      </c>
      <c r="N28" s="17" t="str" cm="1">
        <f t="array" ref="N28">_xlfn.IFS(K28=0,"Matched", K28&gt;100,"High", K28&gt;=50,"Medium", K28&lt;50,"Low")</f>
        <v>Medium</v>
      </c>
      <c r="O28" s="17" t="str">
        <f t="shared" si="2"/>
        <v>No</v>
      </c>
    </row>
    <row r="29" spans="2:15" x14ac:dyDescent="0.3">
      <c r="B29" s="7">
        <v>27</v>
      </c>
      <c r="C29" s="3" t="s">
        <v>33</v>
      </c>
      <c r="D29" s="2" t="s">
        <v>1075</v>
      </c>
      <c r="E29" s="3" t="s">
        <v>1009</v>
      </c>
      <c r="F29" s="3">
        <v>82</v>
      </c>
      <c r="G29" s="3">
        <v>128</v>
      </c>
      <c r="H29" s="8">
        <v>2000</v>
      </c>
      <c r="I29" s="48">
        <f>Table13[[#This Row],[Physical_Stock_Qty]]-Table13[[#This Row],[System_Stock_Qty]]</f>
        <v>46</v>
      </c>
      <c r="J29" s="53" t="str" cm="1">
        <f t="array" ref="J29">_xlfn.IFS(I29=0,"Matched",I29&gt;0,"Excess",I29&lt;0,"Shortage")</f>
        <v>Excess</v>
      </c>
      <c r="K29" s="50">
        <f>ABS(Table13[[#This Row],[Stock Difference]])</f>
        <v>46</v>
      </c>
      <c r="L29" s="17">
        <f t="shared" si="0"/>
        <v>92000</v>
      </c>
      <c r="M29" s="17">
        <f t="shared" si="1"/>
        <v>164000</v>
      </c>
      <c r="N29" s="17" t="str" cm="1">
        <f t="array" ref="N29">_xlfn.IFS(K29=0,"Matched", K29&gt;100,"High", K29&gt;=50,"Medium", K29&lt;50,"Low")</f>
        <v>Low</v>
      </c>
      <c r="O29" s="17" t="str">
        <f t="shared" si="2"/>
        <v>No</v>
      </c>
    </row>
    <row r="30" spans="2:15" x14ac:dyDescent="0.3">
      <c r="B30" s="7">
        <v>28</v>
      </c>
      <c r="C30" s="3" t="s">
        <v>34</v>
      </c>
      <c r="D30" s="2" t="s">
        <v>1018</v>
      </c>
      <c r="E30" s="3" t="s">
        <v>1012</v>
      </c>
      <c r="F30" s="3">
        <v>91</v>
      </c>
      <c r="G30" s="3">
        <v>60</v>
      </c>
      <c r="H30" s="8">
        <v>3000</v>
      </c>
      <c r="I30" s="48">
        <f>Table13[[#This Row],[Physical_Stock_Qty]]-Table13[[#This Row],[System_Stock_Qty]]</f>
        <v>-31</v>
      </c>
      <c r="J30" s="53" t="str" cm="1">
        <f t="array" ref="J30">_xlfn.IFS(I30=0,"Matched",I30&gt;0,"Excess",I30&lt;0,"Shortage")</f>
        <v>Shortage</v>
      </c>
      <c r="K30" s="50">
        <f>ABS(Table13[[#This Row],[Stock Difference]])</f>
        <v>31</v>
      </c>
      <c r="L30" s="17">
        <f t="shared" si="0"/>
        <v>93000</v>
      </c>
      <c r="M30" s="17">
        <f t="shared" si="1"/>
        <v>273000</v>
      </c>
      <c r="N30" s="17" t="str" cm="1">
        <f t="array" ref="N30">_xlfn.IFS(K30=0,"Matched", K30&gt;100,"High", K30&gt;=50,"Medium", K30&lt;50,"Low")</f>
        <v>Low</v>
      </c>
      <c r="O30" s="17" t="str">
        <f t="shared" si="2"/>
        <v>No</v>
      </c>
    </row>
    <row r="31" spans="2:15" x14ac:dyDescent="0.3">
      <c r="B31" s="7">
        <v>29</v>
      </c>
      <c r="C31" s="3" t="s">
        <v>35</v>
      </c>
      <c r="D31" s="2" t="s">
        <v>1017</v>
      </c>
      <c r="E31" s="3" t="s">
        <v>1012</v>
      </c>
      <c r="F31" s="3">
        <v>165</v>
      </c>
      <c r="G31" s="3">
        <v>74</v>
      </c>
      <c r="H31" s="8">
        <v>200</v>
      </c>
      <c r="I31" s="48">
        <f>Table13[[#This Row],[Physical_Stock_Qty]]-Table13[[#This Row],[System_Stock_Qty]]</f>
        <v>-91</v>
      </c>
      <c r="J31" s="53" t="str" cm="1">
        <f t="array" ref="J31">_xlfn.IFS(I31=0,"Matched",I31&gt;0,"Excess",I31&lt;0,"Shortage")</f>
        <v>Shortage</v>
      </c>
      <c r="K31" s="50">
        <f>ABS(Table13[[#This Row],[Stock Difference]])</f>
        <v>91</v>
      </c>
      <c r="L31" s="17">
        <f t="shared" si="0"/>
        <v>18200</v>
      </c>
      <c r="M31" s="17">
        <f t="shared" si="1"/>
        <v>33000</v>
      </c>
      <c r="N31" s="17" t="str" cm="1">
        <f t="array" ref="N31">_xlfn.IFS(K31=0,"Matched", K31&gt;100,"High", K31&gt;=50,"Medium", K31&lt;50,"Low")</f>
        <v>Medium</v>
      </c>
      <c r="O31" s="17" t="str">
        <f t="shared" si="2"/>
        <v>No</v>
      </c>
    </row>
    <row r="32" spans="2:15" x14ac:dyDescent="0.3">
      <c r="B32" s="7">
        <v>30</v>
      </c>
      <c r="C32" s="3" t="s">
        <v>36</v>
      </c>
      <c r="D32" s="2" t="s">
        <v>1038</v>
      </c>
      <c r="E32" s="3" t="s">
        <v>1007</v>
      </c>
      <c r="F32" s="3">
        <v>76</v>
      </c>
      <c r="G32" s="3">
        <v>133</v>
      </c>
      <c r="H32" s="8">
        <v>5000</v>
      </c>
      <c r="I32" s="48">
        <f>Table13[[#This Row],[Physical_Stock_Qty]]-Table13[[#This Row],[System_Stock_Qty]]</f>
        <v>57</v>
      </c>
      <c r="J32" s="53" t="str" cm="1">
        <f t="array" ref="J32">_xlfn.IFS(I32=0,"Matched",I32&gt;0,"Excess",I32&lt;0,"Shortage")</f>
        <v>Excess</v>
      </c>
      <c r="K32" s="50">
        <f>ABS(Table13[[#This Row],[Stock Difference]])</f>
        <v>57</v>
      </c>
      <c r="L32" s="17">
        <f t="shared" si="0"/>
        <v>285000</v>
      </c>
      <c r="M32" s="17">
        <f t="shared" si="1"/>
        <v>380000</v>
      </c>
      <c r="N32" s="17" t="str" cm="1">
        <f t="array" ref="N32">_xlfn.IFS(K32=0,"Matched", K32&gt;100,"High", K32&gt;=50,"Medium", K32&lt;50,"Low")</f>
        <v>Medium</v>
      </c>
      <c r="O32" s="17" t="str">
        <f t="shared" si="2"/>
        <v>No</v>
      </c>
    </row>
    <row r="33" spans="2:15" hidden="1" x14ac:dyDescent="0.3">
      <c r="B33" s="7">
        <v>31</v>
      </c>
      <c r="C33" s="3" t="s">
        <v>37</v>
      </c>
      <c r="D33" s="2" t="s">
        <v>1038</v>
      </c>
      <c r="E33" s="3" t="s">
        <v>1007</v>
      </c>
      <c r="F33" s="3">
        <v>86</v>
      </c>
      <c r="G33" s="3">
        <v>86</v>
      </c>
      <c r="H33" s="8">
        <v>5000</v>
      </c>
      <c r="I33" s="48">
        <f>Table13[[#This Row],[Physical_Stock_Qty]]-Table13[[#This Row],[System_Stock_Qty]]</f>
        <v>0</v>
      </c>
      <c r="J33" s="53" t="str" cm="1">
        <f t="array" ref="J33">_xlfn.IFS(I33=0,"Matched",I33&gt;0,"Excess",I33&lt;0,"Shortage")</f>
        <v>Matched</v>
      </c>
      <c r="K33" s="50">
        <f>ABS(Table13[[#This Row],[Stock Difference]])</f>
        <v>0</v>
      </c>
      <c r="L33" s="17">
        <f t="shared" si="0"/>
        <v>0</v>
      </c>
      <c r="M33" s="17">
        <f t="shared" si="1"/>
        <v>430000</v>
      </c>
      <c r="N33" s="17" t="str" cm="1">
        <f t="array" ref="N33">_xlfn.IFS(K33=0,"Matched", K33&gt;100,"High", K33&gt;=50,"Medium", K33&lt;50,"Low")</f>
        <v>Matched</v>
      </c>
      <c r="O33" s="17" t="str">
        <f t="shared" si="2"/>
        <v>No Match</v>
      </c>
    </row>
    <row r="34" spans="2:15" hidden="1" x14ac:dyDescent="0.3">
      <c r="B34" s="7">
        <v>32</v>
      </c>
      <c r="C34" s="3" t="s">
        <v>38</v>
      </c>
      <c r="D34" s="2" t="s">
        <v>1048</v>
      </c>
      <c r="E34" s="3" t="s">
        <v>1010</v>
      </c>
      <c r="F34" s="3">
        <v>197</v>
      </c>
      <c r="G34" s="3">
        <v>197</v>
      </c>
      <c r="H34" s="8">
        <v>50</v>
      </c>
      <c r="I34" s="48">
        <f>Table13[[#This Row],[Physical_Stock_Qty]]-Table13[[#This Row],[System_Stock_Qty]]</f>
        <v>0</v>
      </c>
      <c r="J34" s="53" t="str" cm="1">
        <f t="array" ref="J34">_xlfn.IFS(I34=0,"Matched",I34&gt;0,"Excess",I34&lt;0,"Shortage")</f>
        <v>Matched</v>
      </c>
      <c r="K34" s="50">
        <f>ABS(Table13[[#This Row],[Stock Difference]])</f>
        <v>0</v>
      </c>
      <c r="L34" s="17">
        <f t="shared" si="0"/>
        <v>0</v>
      </c>
      <c r="M34" s="17">
        <f t="shared" si="1"/>
        <v>9850</v>
      </c>
      <c r="N34" s="17" t="str" cm="1">
        <f t="array" ref="N34">_xlfn.IFS(K34=0,"Matched", K34&gt;100,"High", K34&gt;=50,"Medium", K34&lt;50,"Low")</f>
        <v>Matched</v>
      </c>
      <c r="O34" s="17" t="str">
        <f t="shared" si="2"/>
        <v>No Match</v>
      </c>
    </row>
    <row r="35" spans="2:15" hidden="1" x14ac:dyDescent="0.3">
      <c r="B35" s="7">
        <v>33</v>
      </c>
      <c r="C35" s="3" t="s">
        <v>39</v>
      </c>
      <c r="D35" s="2" t="s">
        <v>1047</v>
      </c>
      <c r="E35" s="3" t="s">
        <v>1010</v>
      </c>
      <c r="F35" s="3">
        <v>39</v>
      </c>
      <c r="G35" s="3">
        <v>39</v>
      </c>
      <c r="H35" s="8">
        <v>500</v>
      </c>
      <c r="I35" s="48">
        <f>Table13[[#This Row],[Physical_Stock_Qty]]-Table13[[#This Row],[System_Stock_Qty]]</f>
        <v>0</v>
      </c>
      <c r="J35" s="53" t="str" cm="1">
        <f t="array" ref="J35">_xlfn.IFS(I35=0,"Matched",I35&gt;0,"Excess",I35&lt;0,"Shortage")</f>
        <v>Matched</v>
      </c>
      <c r="K35" s="50">
        <f>ABS(Table13[[#This Row],[Stock Difference]])</f>
        <v>0</v>
      </c>
      <c r="L35" s="17">
        <f t="shared" si="0"/>
        <v>0</v>
      </c>
      <c r="M35" s="17">
        <f t="shared" si="1"/>
        <v>19500</v>
      </c>
      <c r="N35" s="17" t="str" cm="1">
        <f t="array" ref="N35">_xlfn.IFS(K35=0,"Matched", K35&gt;100,"High", K35&gt;=50,"Medium", K35&lt;50,"Low")</f>
        <v>Matched</v>
      </c>
      <c r="O35" s="17" t="str">
        <f t="shared" si="2"/>
        <v>No Match</v>
      </c>
    </row>
    <row r="36" spans="2:15" hidden="1" x14ac:dyDescent="0.3">
      <c r="B36" s="7">
        <v>34</v>
      </c>
      <c r="C36" s="3" t="s">
        <v>40</v>
      </c>
      <c r="D36" s="2" t="s">
        <v>1063</v>
      </c>
      <c r="E36" s="3" t="s">
        <v>1009</v>
      </c>
      <c r="F36" s="3">
        <v>184</v>
      </c>
      <c r="G36" s="3">
        <v>184</v>
      </c>
      <c r="H36" s="8">
        <v>4500</v>
      </c>
      <c r="I36" s="48">
        <f>Table13[[#This Row],[Physical_Stock_Qty]]-Table13[[#This Row],[System_Stock_Qty]]</f>
        <v>0</v>
      </c>
      <c r="J36" s="53" t="str" cm="1">
        <f t="array" ref="J36">_xlfn.IFS(I36=0,"Matched",I36&gt;0,"Excess",I36&lt;0,"Shortage")</f>
        <v>Matched</v>
      </c>
      <c r="K36" s="50">
        <f>ABS(Table13[[#This Row],[Stock Difference]])</f>
        <v>0</v>
      </c>
      <c r="L36" s="17">
        <f t="shared" si="0"/>
        <v>0</v>
      </c>
      <c r="M36" s="17">
        <f t="shared" si="1"/>
        <v>828000</v>
      </c>
      <c r="N36" s="17" t="str" cm="1">
        <f t="array" ref="N36">_xlfn.IFS(K36=0,"Matched", K36&gt;100,"High", K36&gt;=50,"Medium", K36&lt;50,"Low")</f>
        <v>Matched</v>
      </c>
      <c r="O36" s="17" t="str">
        <f t="shared" si="2"/>
        <v>No Match</v>
      </c>
    </row>
    <row r="37" spans="2:15" hidden="1" x14ac:dyDescent="0.3">
      <c r="B37" s="7">
        <v>35</v>
      </c>
      <c r="C37" s="3" t="s">
        <v>41</v>
      </c>
      <c r="D37" s="2" t="s">
        <v>1029</v>
      </c>
      <c r="E37" s="3" t="s">
        <v>1008</v>
      </c>
      <c r="F37" s="3">
        <v>43</v>
      </c>
      <c r="G37" s="3">
        <v>43</v>
      </c>
      <c r="H37" s="8">
        <v>3000</v>
      </c>
      <c r="I37" s="48">
        <f>Table13[[#This Row],[Physical_Stock_Qty]]-Table13[[#This Row],[System_Stock_Qty]]</f>
        <v>0</v>
      </c>
      <c r="J37" s="53" t="str" cm="1">
        <f t="array" ref="J37">_xlfn.IFS(I37=0,"Matched",I37&gt;0,"Excess",I37&lt;0,"Shortage")</f>
        <v>Matched</v>
      </c>
      <c r="K37" s="50">
        <f>ABS(Table13[[#This Row],[Stock Difference]])</f>
        <v>0</v>
      </c>
      <c r="L37" s="17">
        <f t="shared" si="0"/>
        <v>0</v>
      </c>
      <c r="M37" s="17">
        <f t="shared" si="1"/>
        <v>129000</v>
      </c>
      <c r="N37" s="17" t="str" cm="1">
        <f t="array" ref="N37">_xlfn.IFS(K37=0,"Matched", K37&gt;100,"High", K37&gt;=50,"Medium", K37&lt;50,"Low")</f>
        <v>Matched</v>
      </c>
      <c r="O37" s="17" t="str">
        <f t="shared" si="2"/>
        <v>No Match</v>
      </c>
    </row>
    <row r="38" spans="2:15" hidden="1" x14ac:dyDescent="0.3">
      <c r="B38" s="7">
        <v>36</v>
      </c>
      <c r="C38" s="3" t="s">
        <v>42</v>
      </c>
      <c r="D38" s="2" t="s">
        <v>1058</v>
      </c>
      <c r="E38" s="3" t="s">
        <v>1012</v>
      </c>
      <c r="F38" s="3">
        <v>149</v>
      </c>
      <c r="G38" s="3">
        <v>149</v>
      </c>
      <c r="H38" s="8">
        <v>500</v>
      </c>
      <c r="I38" s="48">
        <f>Table13[[#This Row],[Physical_Stock_Qty]]-Table13[[#This Row],[System_Stock_Qty]]</f>
        <v>0</v>
      </c>
      <c r="J38" s="53" t="str" cm="1">
        <f t="array" ref="J38">_xlfn.IFS(I38=0,"Matched",I38&gt;0,"Excess",I38&lt;0,"Shortage")</f>
        <v>Matched</v>
      </c>
      <c r="K38" s="50">
        <f>ABS(Table13[[#This Row],[Stock Difference]])</f>
        <v>0</v>
      </c>
      <c r="L38" s="17">
        <f t="shared" si="0"/>
        <v>0</v>
      </c>
      <c r="M38" s="17">
        <f t="shared" si="1"/>
        <v>74500</v>
      </c>
      <c r="N38" s="17" t="str" cm="1">
        <f t="array" ref="N38">_xlfn.IFS(K38=0,"Matched", K38&gt;100,"High", K38&gt;=50,"Medium", K38&lt;50,"Low")</f>
        <v>Matched</v>
      </c>
      <c r="O38" s="17" t="str">
        <f t="shared" si="2"/>
        <v>No Match</v>
      </c>
    </row>
    <row r="39" spans="2:15" hidden="1" x14ac:dyDescent="0.3">
      <c r="B39" s="7">
        <v>37</v>
      </c>
      <c r="C39" s="3" t="s">
        <v>43</v>
      </c>
      <c r="D39" s="2" t="s">
        <v>1081</v>
      </c>
      <c r="E39" s="3" t="s">
        <v>1011</v>
      </c>
      <c r="F39" s="3">
        <v>179</v>
      </c>
      <c r="G39" s="3">
        <v>179</v>
      </c>
      <c r="H39" s="8">
        <v>1000</v>
      </c>
      <c r="I39" s="48">
        <f>Table13[[#This Row],[Physical_Stock_Qty]]-Table13[[#This Row],[System_Stock_Qty]]</f>
        <v>0</v>
      </c>
      <c r="J39" s="53" t="str" cm="1">
        <f t="array" ref="J39">_xlfn.IFS(I39=0,"Matched",I39&gt;0,"Excess",I39&lt;0,"Shortage")</f>
        <v>Matched</v>
      </c>
      <c r="K39" s="50">
        <f>ABS(Table13[[#This Row],[Stock Difference]])</f>
        <v>0</v>
      </c>
      <c r="L39" s="17">
        <f t="shared" si="0"/>
        <v>0</v>
      </c>
      <c r="M39" s="17">
        <f t="shared" si="1"/>
        <v>179000</v>
      </c>
      <c r="N39" s="17" t="str" cm="1">
        <f t="array" ref="N39">_xlfn.IFS(K39=0,"Matched", K39&gt;100,"High", K39&gt;=50,"Medium", K39&lt;50,"Low")</f>
        <v>Matched</v>
      </c>
      <c r="O39" s="17" t="str">
        <f t="shared" si="2"/>
        <v>No Match</v>
      </c>
    </row>
    <row r="40" spans="2:15" hidden="1" x14ac:dyDescent="0.3">
      <c r="B40" s="7">
        <v>38</v>
      </c>
      <c r="C40" s="3" t="s">
        <v>44</v>
      </c>
      <c r="D40" s="2" t="s">
        <v>1049</v>
      </c>
      <c r="E40" s="3" t="s">
        <v>1010</v>
      </c>
      <c r="F40" s="3">
        <v>165</v>
      </c>
      <c r="G40" s="3">
        <v>165</v>
      </c>
      <c r="H40" s="8">
        <v>20</v>
      </c>
      <c r="I40" s="48">
        <f>Table13[[#This Row],[Physical_Stock_Qty]]-Table13[[#This Row],[System_Stock_Qty]]</f>
        <v>0</v>
      </c>
      <c r="J40" s="53" t="str" cm="1">
        <f t="array" ref="J40">_xlfn.IFS(I40=0,"Matched",I40&gt;0,"Excess",I40&lt;0,"Shortage")</f>
        <v>Matched</v>
      </c>
      <c r="K40" s="50">
        <f>ABS(Table13[[#This Row],[Stock Difference]])</f>
        <v>0</v>
      </c>
      <c r="L40" s="17">
        <f t="shared" si="0"/>
        <v>0</v>
      </c>
      <c r="M40" s="17">
        <f t="shared" si="1"/>
        <v>3300</v>
      </c>
      <c r="N40" s="17" t="str" cm="1">
        <f t="array" ref="N40">_xlfn.IFS(K40=0,"Matched", K40&gt;100,"High", K40&gt;=50,"Medium", K40&lt;50,"Low")</f>
        <v>Matched</v>
      </c>
      <c r="O40" s="17" t="str">
        <f t="shared" si="2"/>
        <v>No Match</v>
      </c>
    </row>
    <row r="41" spans="2:15" hidden="1" x14ac:dyDescent="0.3">
      <c r="B41" s="7">
        <v>39</v>
      </c>
      <c r="C41" s="3" t="s">
        <v>45</v>
      </c>
      <c r="D41" s="2" t="s">
        <v>1054</v>
      </c>
      <c r="E41" s="3" t="s">
        <v>1010</v>
      </c>
      <c r="F41" s="3">
        <v>33</v>
      </c>
      <c r="G41" s="3">
        <v>33</v>
      </c>
      <c r="H41" s="8">
        <v>30</v>
      </c>
      <c r="I41" s="48">
        <f>Table13[[#This Row],[Physical_Stock_Qty]]-Table13[[#This Row],[System_Stock_Qty]]</f>
        <v>0</v>
      </c>
      <c r="J41" s="53" t="str" cm="1">
        <f t="array" ref="J41">_xlfn.IFS(I41=0,"Matched",I41&gt;0,"Excess",I41&lt;0,"Shortage")</f>
        <v>Matched</v>
      </c>
      <c r="K41" s="50">
        <f>ABS(Table13[[#This Row],[Stock Difference]])</f>
        <v>0</v>
      </c>
      <c r="L41" s="17">
        <f t="shared" si="0"/>
        <v>0</v>
      </c>
      <c r="M41" s="17">
        <f t="shared" si="1"/>
        <v>990</v>
      </c>
      <c r="N41" s="17" t="str" cm="1">
        <f t="array" ref="N41">_xlfn.IFS(K41=0,"Matched", K41&gt;100,"High", K41&gt;=50,"Medium", K41&lt;50,"Low")</f>
        <v>Matched</v>
      </c>
      <c r="O41" s="17" t="str">
        <f t="shared" si="2"/>
        <v>No Match</v>
      </c>
    </row>
    <row r="42" spans="2:15" hidden="1" x14ac:dyDescent="0.3">
      <c r="B42" s="7">
        <v>40</v>
      </c>
      <c r="C42" s="3" t="s">
        <v>46</v>
      </c>
      <c r="D42" s="2" t="s">
        <v>1025</v>
      </c>
      <c r="E42" s="3" t="s">
        <v>1008</v>
      </c>
      <c r="F42" s="3">
        <v>180</v>
      </c>
      <c r="G42" s="3">
        <v>180</v>
      </c>
      <c r="H42" s="8">
        <v>30000</v>
      </c>
      <c r="I42" s="48">
        <f>Table13[[#This Row],[Physical_Stock_Qty]]-Table13[[#This Row],[System_Stock_Qty]]</f>
        <v>0</v>
      </c>
      <c r="J42" s="53" t="str" cm="1">
        <f t="array" ref="J42">_xlfn.IFS(I42=0,"Matched",I42&gt;0,"Excess",I42&lt;0,"Shortage")</f>
        <v>Matched</v>
      </c>
      <c r="K42" s="50">
        <f>ABS(Table13[[#This Row],[Stock Difference]])</f>
        <v>0</v>
      </c>
      <c r="L42" s="17">
        <f t="shared" si="0"/>
        <v>0</v>
      </c>
      <c r="M42" s="17">
        <f t="shared" si="1"/>
        <v>5400000</v>
      </c>
      <c r="N42" s="17" t="str" cm="1">
        <f t="array" ref="N42">_xlfn.IFS(K42=0,"Matched", K42&gt;100,"High", K42&gt;=50,"Medium", K42&lt;50,"Low")</f>
        <v>Matched</v>
      </c>
      <c r="O42" s="17" t="str">
        <f t="shared" si="2"/>
        <v>No Match</v>
      </c>
    </row>
    <row r="43" spans="2:15" hidden="1" x14ac:dyDescent="0.3">
      <c r="B43" s="7">
        <v>41</v>
      </c>
      <c r="C43" s="3" t="s">
        <v>47</v>
      </c>
      <c r="D43" s="2" t="s">
        <v>1017</v>
      </c>
      <c r="E43" s="3" t="s">
        <v>1012</v>
      </c>
      <c r="F43" s="3">
        <v>55</v>
      </c>
      <c r="G43" s="3">
        <v>55</v>
      </c>
      <c r="H43" s="8">
        <v>200</v>
      </c>
      <c r="I43" s="48">
        <f>Table13[[#This Row],[Physical_Stock_Qty]]-Table13[[#This Row],[System_Stock_Qty]]</f>
        <v>0</v>
      </c>
      <c r="J43" s="53" t="str" cm="1">
        <f t="array" ref="J43">_xlfn.IFS(I43=0,"Matched",I43&gt;0,"Excess",I43&lt;0,"Shortage")</f>
        <v>Matched</v>
      </c>
      <c r="K43" s="50">
        <f>ABS(Table13[[#This Row],[Stock Difference]])</f>
        <v>0</v>
      </c>
      <c r="L43" s="17">
        <f t="shared" si="0"/>
        <v>0</v>
      </c>
      <c r="M43" s="17">
        <f t="shared" si="1"/>
        <v>11000</v>
      </c>
      <c r="N43" s="17" t="str" cm="1">
        <f t="array" ref="N43">_xlfn.IFS(K43=0,"Matched", K43&gt;100,"High", K43&gt;=50,"Medium", K43&lt;50,"Low")</f>
        <v>Matched</v>
      </c>
      <c r="O43" s="17" t="str">
        <f t="shared" si="2"/>
        <v>No Match</v>
      </c>
    </row>
    <row r="44" spans="2:15" hidden="1" x14ac:dyDescent="0.3">
      <c r="B44" s="7">
        <v>42</v>
      </c>
      <c r="C44" s="3" t="s">
        <v>48</v>
      </c>
      <c r="D44" s="2" t="s">
        <v>1045</v>
      </c>
      <c r="E44" s="3" t="s">
        <v>1010</v>
      </c>
      <c r="F44" s="3">
        <v>156</v>
      </c>
      <c r="G44" s="3">
        <v>156</v>
      </c>
      <c r="H44" s="8">
        <v>100</v>
      </c>
      <c r="I44" s="48">
        <f>Table13[[#This Row],[Physical_Stock_Qty]]-Table13[[#This Row],[System_Stock_Qty]]</f>
        <v>0</v>
      </c>
      <c r="J44" s="53" t="str" cm="1">
        <f t="array" ref="J44">_xlfn.IFS(I44=0,"Matched",I44&gt;0,"Excess",I44&lt;0,"Shortage")</f>
        <v>Matched</v>
      </c>
      <c r="K44" s="50">
        <f>ABS(Table13[[#This Row],[Stock Difference]])</f>
        <v>0</v>
      </c>
      <c r="L44" s="17">
        <f t="shared" si="0"/>
        <v>0</v>
      </c>
      <c r="M44" s="17">
        <f t="shared" si="1"/>
        <v>15600</v>
      </c>
      <c r="N44" s="17" t="str" cm="1">
        <f t="array" ref="N44">_xlfn.IFS(K44=0,"Matched", K44&gt;100,"High", K44&gt;=50,"Medium", K44&lt;50,"Low")</f>
        <v>Matched</v>
      </c>
      <c r="O44" s="17" t="str">
        <f t="shared" si="2"/>
        <v>No Match</v>
      </c>
    </row>
    <row r="45" spans="2:15" hidden="1" x14ac:dyDescent="0.3">
      <c r="B45" s="7">
        <v>43</v>
      </c>
      <c r="C45" s="3" t="s">
        <v>49</v>
      </c>
      <c r="D45" s="2" t="s">
        <v>1053</v>
      </c>
      <c r="E45" s="3" t="s">
        <v>1010</v>
      </c>
      <c r="F45" s="3">
        <v>53</v>
      </c>
      <c r="G45" s="3">
        <v>53</v>
      </c>
      <c r="H45" s="8">
        <v>10</v>
      </c>
      <c r="I45" s="48">
        <f>Table13[[#This Row],[Physical_Stock_Qty]]-Table13[[#This Row],[System_Stock_Qty]]</f>
        <v>0</v>
      </c>
      <c r="J45" s="53" t="str" cm="1">
        <f t="array" ref="J45">_xlfn.IFS(I45=0,"Matched",I45&gt;0,"Excess",I45&lt;0,"Shortage")</f>
        <v>Matched</v>
      </c>
      <c r="K45" s="50">
        <f>ABS(Table13[[#This Row],[Stock Difference]])</f>
        <v>0</v>
      </c>
      <c r="L45" s="17">
        <f t="shared" si="0"/>
        <v>0</v>
      </c>
      <c r="M45" s="17">
        <f t="shared" si="1"/>
        <v>530</v>
      </c>
      <c r="N45" s="17" t="str" cm="1">
        <f t="array" ref="N45">_xlfn.IFS(K45=0,"Matched", K45&gt;100,"High", K45&gt;=50,"Medium", K45&lt;50,"Low")</f>
        <v>Matched</v>
      </c>
      <c r="O45" s="17" t="str">
        <f t="shared" si="2"/>
        <v>No Match</v>
      </c>
    </row>
    <row r="46" spans="2:15" hidden="1" x14ac:dyDescent="0.3">
      <c r="B46" s="7">
        <v>44</v>
      </c>
      <c r="C46" s="3" t="s">
        <v>50</v>
      </c>
      <c r="D46" s="2" t="s">
        <v>1039</v>
      </c>
      <c r="E46" s="3" t="s">
        <v>1007</v>
      </c>
      <c r="F46" s="3">
        <v>35</v>
      </c>
      <c r="G46" s="3">
        <v>35</v>
      </c>
      <c r="H46" s="8">
        <v>12000</v>
      </c>
      <c r="I46" s="48">
        <f>Table13[[#This Row],[Physical_Stock_Qty]]-Table13[[#This Row],[System_Stock_Qty]]</f>
        <v>0</v>
      </c>
      <c r="J46" s="53" t="str" cm="1">
        <f t="array" ref="J46">_xlfn.IFS(I46=0,"Matched",I46&gt;0,"Excess",I46&lt;0,"Shortage")</f>
        <v>Matched</v>
      </c>
      <c r="K46" s="50">
        <f>ABS(Table13[[#This Row],[Stock Difference]])</f>
        <v>0</v>
      </c>
      <c r="L46" s="17">
        <f t="shared" si="0"/>
        <v>0</v>
      </c>
      <c r="M46" s="17">
        <f t="shared" si="1"/>
        <v>420000</v>
      </c>
      <c r="N46" s="17" t="str" cm="1">
        <f t="array" ref="N46">_xlfn.IFS(K46=0,"Matched", K46&gt;100,"High", K46&gt;=50,"Medium", K46&lt;50,"Low")</f>
        <v>Matched</v>
      </c>
      <c r="O46" s="17" t="str">
        <f t="shared" si="2"/>
        <v>No Match</v>
      </c>
    </row>
    <row r="47" spans="2:15" hidden="1" x14ac:dyDescent="0.3">
      <c r="B47" s="7">
        <v>45</v>
      </c>
      <c r="C47" s="3" t="s">
        <v>51</v>
      </c>
      <c r="D47" s="2" t="s">
        <v>1053</v>
      </c>
      <c r="E47" s="3" t="s">
        <v>1010</v>
      </c>
      <c r="F47" s="3">
        <v>104</v>
      </c>
      <c r="G47" s="3">
        <v>104</v>
      </c>
      <c r="H47" s="8">
        <v>10</v>
      </c>
      <c r="I47" s="48">
        <f>Table13[[#This Row],[Physical_Stock_Qty]]-Table13[[#This Row],[System_Stock_Qty]]</f>
        <v>0</v>
      </c>
      <c r="J47" s="53" t="str" cm="1">
        <f t="array" ref="J47">_xlfn.IFS(I47=0,"Matched",I47&gt;0,"Excess",I47&lt;0,"Shortage")</f>
        <v>Matched</v>
      </c>
      <c r="K47" s="50">
        <f>ABS(Table13[[#This Row],[Stock Difference]])</f>
        <v>0</v>
      </c>
      <c r="L47" s="17">
        <f t="shared" si="0"/>
        <v>0</v>
      </c>
      <c r="M47" s="17">
        <f t="shared" si="1"/>
        <v>1040</v>
      </c>
      <c r="N47" s="17" t="str" cm="1">
        <f t="array" ref="N47">_xlfn.IFS(K47=0,"Matched", K47&gt;100,"High", K47&gt;=50,"Medium", K47&lt;50,"Low")</f>
        <v>Matched</v>
      </c>
      <c r="O47" s="17" t="str">
        <f t="shared" si="2"/>
        <v>No Match</v>
      </c>
    </row>
    <row r="48" spans="2:15" hidden="1" x14ac:dyDescent="0.3">
      <c r="B48" s="7">
        <v>46</v>
      </c>
      <c r="C48" s="3" t="s">
        <v>52</v>
      </c>
      <c r="D48" s="2" t="s">
        <v>1063</v>
      </c>
      <c r="E48" s="3" t="s">
        <v>1009</v>
      </c>
      <c r="F48" s="3">
        <v>57</v>
      </c>
      <c r="G48" s="3">
        <v>57</v>
      </c>
      <c r="H48" s="8">
        <v>4500</v>
      </c>
      <c r="I48" s="48">
        <f>Table13[[#This Row],[Physical_Stock_Qty]]-Table13[[#This Row],[System_Stock_Qty]]</f>
        <v>0</v>
      </c>
      <c r="J48" s="53" t="str" cm="1">
        <f t="array" ref="J48">_xlfn.IFS(I48=0,"Matched",I48&gt;0,"Excess",I48&lt;0,"Shortage")</f>
        <v>Matched</v>
      </c>
      <c r="K48" s="50">
        <f>ABS(Table13[[#This Row],[Stock Difference]])</f>
        <v>0</v>
      </c>
      <c r="L48" s="17">
        <f t="shared" si="0"/>
        <v>0</v>
      </c>
      <c r="M48" s="17">
        <f t="shared" si="1"/>
        <v>256500</v>
      </c>
      <c r="N48" s="17" t="str" cm="1">
        <f t="array" ref="N48">_xlfn.IFS(K48=0,"Matched", K48&gt;100,"High", K48&gt;=50,"Medium", K48&lt;50,"Low")</f>
        <v>Matched</v>
      </c>
      <c r="O48" s="17" t="str">
        <f t="shared" si="2"/>
        <v>No Match</v>
      </c>
    </row>
    <row r="49" spans="2:15" hidden="1" x14ac:dyDescent="0.3">
      <c r="B49" s="7">
        <v>47</v>
      </c>
      <c r="C49" s="3" t="s">
        <v>53</v>
      </c>
      <c r="D49" s="2" t="s">
        <v>1079</v>
      </c>
      <c r="E49" s="3" t="s">
        <v>1011</v>
      </c>
      <c r="F49" s="3">
        <v>37</v>
      </c>
      <c r="G49" s="3">
        <v>37</v>
      </c>
      <c r="H49" s="8">
        <v>5000</v>
      </c>
      <c r="I49" s="48">
        <f>Table13[[#This Row],[Physical_Stock_Qty]]-Table13[[#This Row],[System_Stock_Qty]]</f>
        <v>0</v>
      </c>
      <c r="J49" s="53" t="str" cm="1">
        <f t="array" ref="J49">_xlfn.IFS(I49=0,"Matched",I49&gt;0,"Excess",I49&lt;0,"Shortage")</f>
        <v>Matched</v>
      </c>
      <c r="K49" s="50">
        <f>ABS(Table13[[#This Row],[Stock Difference]])</f>
        <v>0</v>
      </c>
      <c r="L49" s="17">
        <f t="shared" si="0"/>
        <v>0</v>
      </c>
      <c r="M49" s="17">
        <f t="shared" si="1"/>
        <v>185000</v>
      </c>
      <c r="N49" s="17" t="str" cm="1">
        <f t="array" ref="N49">_xlfn.IFS(K49=0,"Matched", K49&gt;100,"High", K49&gt;=50,"Medium", K49&lt;50,"Low")</f>
        <v>Matched</v>
      </c>
      <c r="O49" s="17" t="str">
        <f t="shared" si="2"/>
        <v>No Match</v>
      </c>
    </row>
    <row r="50" spans="2:15" hidden="1" x14ac:dyDescent="0.3">
      <c r="B50" s="7">
        <v>48</v>
      </c>
      <c r="C50" s="3" t="s">
        <v>54</v>
      </c>
      <c r="D50" s="2" t="s">
        <v>1037</v>
      </c>
      <c r="E50" s="3" t="s">
        <v>1007</v>
      </c>
      <c r="F50" s="3">
        <v>163</v>
      </c>
      <c r="G50" s="3">
        <v>163</v>
      </c>
      <c r="H50" s="8">
        <v>10000</v>
      </c>
      <c r="I50" s="48">
        <f>Table13[[#This Row],[Physical_Stock_Qty]]-Table13[[#This Row],[System_Stock_Qty]]</f>
        <v>0</v>
      </c>
      <c r="J50" s="53" t="str" cm="1">
        <f t="array" ref="J50">_xlfn.IFS(I50=0,"Matched",I50&gt;0,"Excess",I50&lt;0,"Shortage")</f>
        <v>Matched</v>
      </c>
      <c r="K50" s="50">
        <f>ABS(Table13[[#This Row],[Stock Difference]])</f>
        <v>0</v>
      </c>
      <c r="L50" s="17">
        <f t="shared" si="0"/>
        <v>0</v>
      </c>
      <c r="M50" s="17">
        <f t="shared" si="1"/>
        <v>1630000</v>
      </c>
      <c r="N50" s="17" t="str" cm="1">
        <f t="array" ref="N50">_xlfn.IFS(K50=0,"Matched", K50&gt;100,"High", K50&gt;=50,"Medium", K50&lt;50,"Low")</f>
        <v>Matched</v>
      </c>
      <c r="O50" s="17" t="str">
        <f t="shared" si="2"/>
        <v>No Match</v>
      </c>
    </row>
    <row r="51" spans="2:15" hidden="1" x14ac:dyDescent="0.3">
      <c r="B51" s="7">
        <v>49</v>
      </c>
      <c r="C51" s="3" t="s">
        <v>55</v>
      </c>
      <c r="D51" s="2" t="s">
        <v>1036</v>
      </c>
      <c r="E51" s="3" t="s">
        <v>1007</v>
      </c>
      <c r="F51" s="3">
        <v>107</v>
      </c>
      <c r="G51" s="3">
        <v>107</v>
      </c>
      <c r="H51" s="8">
        <v>8000</v>
      </c>
      <c r="I51" s="48">
        <f>Table13[[#This Row],[Physical_Stock_Qty]]-Table13[[#This Row],[System_Stock_Qty]]</f>
        <v>0</v>
      </c>
      <c r="J51" s="53" t="str" cm="1">
        <f t="array" ref="J51">_xlfn.IFS(I51=0,"Matched",I51&gt;0,"Excess",I51&lt;0,"Shortage")</f>
        <v>Matched</v>
      </c>
      <c r="K51" s="50">
        <f>ABS(Table13[[#This Row],[Stock Difference]])</f>
        <v>0</v>
      </c>
      <c r="L51" s="17">
        <f t="shared" si="0"/>
        <v>0</v>
      </c>
      <c r="M51" s="17">
        <f t="shared" si="1"/>
        <v>856000</v>
      </c>
      <c r="N51" s="17" t="str" cm="1">
        <f t="array" ref="N51">_xlfn.IFS(K51=0,"Matched", K51&gt;100,"High", K51&gt;=50,"Medium", K51&lt;50,"Low")</f>
        <v>Matched</v>
      </c>
      <c r="O51" s="17" t="str">
        <f t="shared" si="2"/>
        <v>No Match</v>
      </c>
    </row>
    <row r="52" spans="2:15" hidden="1" x14ac:dyDescent="0.3">
      <c r="B52" s="7">
        <v>50</v>
      </c>
      <c r="C52" s="3" t="s">
        <v>56</v>
      </c>
      <c r="D52" s="2" t="s">
        <v>1039</v>
      </c>
      <c r="E52" s="3" t="s">
        <v>1007</v>
      </c>
      <c r="F52" s="3">
        <v>187</v>
      </c>
      <c r="G52" s="3">
        <v>187</v>
      </c>
      <c r="H52" s="8">
        <v>12000</v>
      </c>
      <c r="I52" s="48">
        <f>Table13[[#This Row],[Physical_Stock_Qty]]-Table13[[#This Row],[System_Stock_Qty]]</f>
        <v>0</v>
      </c>
      <c r="J52" s="53" t="str" cm="1">
        <f t="array" ref="J52">_xlfn.IFS(I52=0,"Matched",I52&gt;0,"Excess",I52&lt;0,"Shortage")</f>
        <v>Matched</v>
      </c>
      <c r="K52" s="50">
        <f>ABS(Table13[[#This Row],[Stock Difference]])</f>
        <v>0</v>
      </c>
      <c r="L52" s="17">
        <f t="shared" si="0"/>
        <v>0</v>
      </c>
      <c r="M52" s="17">
        <f t="shared" si="1"/>
        <v>2244000</v>
      </c>
      <c r="N52" s="17" t="str" cm="1">
        <f t="array" ref="N52">_xlfn.IFS(K52=0,"Matched", K52&gt;100,"High", K52&gt;=50,"Medium", K52&lt;50,"Low")</f>
        <v>Matched</v>
      </c>
      <c r="O52" s="17" t="str">
        <f t="shared" si="2"/>
        <v>No Match</v>
      </c>
    </row>
    <row r="53" spans="2:15" hidden="1" x14ac:dyDescent="0.3">
      <c r="B53" s="7">
        <v>51</v>
      </c>
      <c r="C53" s="3" t="s">
        <v>57</v>
      </c>
      <c r="D53" s="2" t="s">
        <v>1035</v>
      </c>
      <c r="E53" s="3" t="s">
        <v>1007</v>
      </c>
      <c r="F53" s="3">
        <v>183</v>
      </c>
      <c r="G53" s="3">
        <v>183</v>
      </c>
      <c r="H53" s="8">
        <v>15000</v>
      </c>
      <c r="I53" s="48">
        <f>Table13[[#This Row],[Physical_Stock_Qty]]-Table13[[#This Row],[System_Stock_Qty]]</f>
        <v>0</v>
      </c>
      <c r="J53" s="53" t="str" cm="1">
        <f t="array" ref="J53">_xlfn.IFS(I53=0,"Matched",I53&gt;0,"Excess",I53&lt;0,"Shortage")</f>
        <v>Matched</v>
      </c>
      <c r="K53" s="50">
        <f>ABS(Table13[[#This Row],[Stock Difference]])</f>
        <v>0</v>
      </c>
      <c r="L53" s="17">
        <f t="shared" si="0"/>
        <v>0</v>
      </c>
      <c r="M53" s="17">
        <f t="shared" si="1"/>
        <v>2745000</v>
      </c>
      <c r="N53" s="17" t="str" cm="1">
        <f t="array" ref="N53">_xlfn.IFS(K53=0,"Matched", K53&gt;100,"High", K53&gt;=50,"Medium", K53&lt;50,"Low")</f>
        <v>Matched</v>
      </c>
      <c r="O53" s="17" t="str">
        <f t="shared" si="2"/>
        <v>No Match</v>
      </c>
    </row>
    <row r="54" spans="2:15" hidden="1" x14ac:dyDescent="0.3">
      <c r="B54" s="7">
        <v>52</v>
      </c>
      <c r="C54" s="3" t="s">
        <v>58</v>
      </c>
      <c r="D54" s="2" t="s">
        <v>1084</v>
      </c>
      <c r="E54" s="3" t="s">
        <v>1011</v>
      </c>
      <c r="F54" s="3">
        <v>58</v>
      </c>
      <c r="G54" s="3">
        <v>58</v>
      </c>
      <c r="H54" s="8">
        <v>2000</v>
      </c>
      <c r="I54" s="48">
        <f>Table13[[#This Row],[Physical_Stock_Qty]]-Table13[[#This Row],[System_Stock_Qty]]</f>
        <v>0</v>
      </c>
      <c r="J54" s="53" t="str" cm="1">
        <f t="array" ref="J54">_xlfn.IFS(I54=0,"Matched",I54&gt;0,"Excess",I54&lt;0,"Shortage")</f>
        <v>Matched</v>
      </c>
      <c r="K54" s="50">
        <f>ABS(Table13[[#This Row],[Stock Difference]])</f>
        <v>0</v>
      </c>
      <c r="L54" s="17">
        <f t="shared" si="0"/>
        <v>0</v>
      </c>
      <c r="M54" s="17">
        <f t="shared" si="1"/>
        <v>116000</v>
      </c>
      <c r="N54" s="17" t="str" cm="1">
        <f t="array" ref="N54">_xlfn.IFS(K54=0,"Matched", K54&gt;100,"High", K54&gt;=50,"Medium", K54&lt;50,"Low")</f>
        <v>Matched</v>
      </c>
      <c r="O54" s="17" t="str">
        <f t="shared" si="2"/>
        <v>No Match</v>
      </c>
    </row>
    <row r="55" spans="2:15" hidden="1" x14ac:dyDescent="0.3">
      <c r="B55" s="7">
        <v>53</v>
      </c>
      <c r="C55" s="3" t="s">
        <v>59</v>
      </c>
      <c r="D55" s="2" t="s">
        <v>1079</v>
      </c>
      <c r="E55" s="3" t="s">
        <v>1011</v>
      </c>
      <c r="F55" s="3">
        <v>49</v>
      </c>
      <c r="G55" s="3">
        <v>49</v>
      </c>
      <c r="H55" s="8">
        <v>5000</v>
      </c>
      <c r="I55" s="48">
        <f>Table13[[#This Row],[Physical_Stock_Qty]]-Table13[[#This Row],[System_Stock_Qty]]</f>
        <v>0</v>
      </c>
      <c r="J55" s="53" t="str" cm="1">
        <f t="array" ref="J55">_xlfn.IFS(I55=0,"Matched",I55&gt;0,"Excess",I55&lt;0,"Shortage")</f>
        <v>Matched</v>
      </c>
      <c r="K55" s="50">
        <f>ABS(Table13[[#This Row],[Stock Difference]])</f>
        <v>0</v>
      </c>
      <c r="L55" s="17">
        <f t="shared" si="0"/>
        <v>0</v>
      </c>
      <c r="M55" s="17">
        <f t="shared" si="1"/>
        <v>245000</v>
      </c>
      <c r="N55" s="17" t="str" cm="1">
        <f t="array" ref="N55">_xlfn.IFS(K55=0,"Matched", K55&gt;100,"High", K55&gt;=50,"Medium", K55&lt;50,"Low")</f>
        <v>Matched</v>
      </c>
      <c r="O55" s="17" t="str">
        <f t="shared" si="2"/>
        <v>No Match</v>
      </c>
    </row>
    <row r="56" spans="2:15" hidden="1" x14ac:dyDescent="0.3">
      <c r="B56" s="7">
        <v>54</v>
      </c>
      <c r="C56" s="3" t="s">
        <v>60</v>
      </c>
      <c r="D56" s="2" t="s">
        <v>1065</v>
      </c>
      <c r="E56" s="3" t="s">
        <v>1009</v>
      </c>
      <c r="F56" s="3">
        <v>124</v>
      </c>
      <c r="G56" s="3">
        <v>124</v>
      </c>
      <c r="H56" s="8">
        <v>200</v>
      </c>
      <c r="I56" s="48">
        <f>Table13[[#This Row],[Physical_Stock_Qty]]-Table13[[#This Row],[System_Stock_Qty]]</f>
        <v>0</v>
      </c>
      <c r="J56" s="53" t="str" cm="1">
        <f t="array" ref="J56">_xlfn.IFS(I56=0,"Matched",I56&gt;0,"Excess",I56&lt;0,"Shortage")</f>
        <v>Matched</v>
      </c>
      <c r="K56" s="50">
        <f>ABS(Table13[[#This Row],[Stock Difference]])</f>
        <v>0</v>
      </c>
      <c r="L56" s="17">
        <f t="shared" si="0"/>
        <v>0</v>
      </c>
      <c r="M56" s="17">
        <f t="shared" si="1"/>
        <v>24800</v>
      </c>
      <c r="N56" s="17" t="str" cm="1">
        <f t="array" ref="N56">_xlfn.IFS(K56=0,"Matched", K56&gt;100,"High", K56&gt;=50,"Medium", K56&lt;50,"Low")</f>
        <v>Matched</v>
      </c>
      <c r="O56" s="17" t="str">
        <f t="shared" si="2"/>
        <v>No Match</v>
      </c>
    </row>
    <row r="57" spans="2:15" hidden="1" x14ac:dyDescent="0.3">
      <c r="B57" s="7">
        <v>55</v>
      </c>
      <c r="C57" s="3" t="s">
        <v>61</v>
      </c>
      <c r="D57" s="2" t="s">
        <v>1083</v>
      </c>
      <c r="E57" s="3" t="s">
        <v>1011</v>
      </c>
      <c r="F57" s="3">
        <v>52</v>
      </c>
      <c r="G57" s="3">
        <v>52</v>
      </c>
      <c r="H57" s="8">
        <v>3000</v>
      </c>
      <c r="I57" s="48">
        <f>Table13[[#This Row],[Physical_Stock_Qty]]-Table13[[#This Row],[System_Stock_Qty]]</f>
        <v>0</v>
      </c>
      <c r="J57" s="53" t="str" cm="1">
        <f t="array" ref="J57">_xlfn.IFS(I57=0,"Matched",I57&gt;0,"Excess",I57&lt;0,"Shortage")</f>
        <v>Matched</v>
      </c>
      <c r="K57" s="50">
        <f>ABS(Table13[[#This Row],[Stock Difference]])</f>
        <v>0</v>
      </c>
      <c r="L57" s="17">
        <f t="shared" si="0"/>
        <v>0</v>
      </c>
      <c r="M57" s="17">
        <f t="shared" si="1"/>
        <v>156000</v>
      </c>
      <c r="N57" s="17" t="str" cm="1">
        <f t="array" ref="N57">_xlfn.IFS(K57=0,"Matched", K57&gt;100,"High", K57&gt;=50,"Medium", K57&lt;50,"Low")</f>
        <v>Matched</v>
      </c>
      <c r="O57" s="17" t="str">
        <f t="shared" si="2"/>
        <v>No Match</v>
      </c>
    </row>
    <row r="58" spans="2:15" hidden="1" x14ac:dyDescent="0.3">
      <c r="B58" s="7">
        <v>56</v>
      </c>
      <c r="C58" s="3" t="s">
        <v>62</v>
      </c>
      <c r="D58" s="2" t="s">
        <v>1083</v>
      </c>
      <c r="E58" s="3" t="s">
        <v>1011</v>
      </c>
      <c r="F58" s="3">
        <v>177</v>
      </c>
      <c r="G58" s="3">
        <v>177</v>
      </c>
      <c r="H58" s="8">
        <v>3000</v>
      </c>
      <c r="I58" s="48">
        <f>Table13[[#This Row],[Physical_Stock_Qty]]-Table13[[#This Row],[System_Stock_Qty]]</f>
        <v>0</v>
      </c>
      <c r="J58" s="53" t="str" cm="1">
        <f t="array" ref="J58">_xlfn.IFS(I58=0,"Matched",I58&gt;0,"Excess",I58&lt;0,"Shortage")</f>
        <v>Matched</v>
      </c>
      <c r="K58" s="50">
        <f>ABS(Table13[[#This Row],[Stock Difference]])</f>
        <v>0</v>
      </c>
      <c r="L58" s="17">
        <f t="shared" si="0"/>
        <v>0</v>
      </c>
      <c r="M58" s="17">
        <f t="shared" si="1"/>
        <v>531000</v>
      </c>
      <c r="N58" s="17" t="str" cm="1">
        <f t="array" ref="N58">_xlfn.IFS(K58=0,"Matched", K58&gt;100,"High", K58&gt;=50,"Medium", K58&lt;50,"Low")</f>
        <v>Matched</v>
      </c>
      <c r="O58" s="17" t="str">
        <f t="shared" si="2"/>
        <v>No Match</v>
      </c>
    </row>
    <row r="59" spans="2:15" hidden="1" x14ac:dyDescent="0.3">
      <c r="B59" s="7">
        <v>57</v>
      </c>
      <c r="C59" s="3" t="s">
        <v>63</v>
      </c>
      <c r="D59" s="2" t="s">
        <v>1035</v>
      </c>
      <c r="E59" s="3" t="s">
        <v>1007</v>
      </c>
      <c r="F59" s="3">
        <v>180</v>
      </c>
      <c r="G59" s="3">
        <v>180</v>
      </c>
      <c r="H59" s="8">
        <v>15000</v>
      </c>
      <c r="I59" s="48">
        <f>Table13[[#This Row],[Physical_Stock_Qty]]-Table13[[#This Row],[System_Stock_Qty]]</f>
        <v>0</v>
      </c>
      <c r="J59" s="53" t="str" cm="1">
        <f t="array" ref="J59">_xlfn.IFS(I59=0,"Matched",I59&gt;0,"Excess",I59&lt;0,"Shortage")</f>
        <v>Matched</v>
      </c>
      <c r="K59" s="50">
        <f>ABS(Table13[[#This Row],[Stock Difference]])</f>
        <v>0</v>
      </c>
      <c r="L59" s="17">
        <f t="shared" si="0"/>
        <v>0</v>
      </c>
      <c r="M59" s="17">
        <f t="shared" si="1"/>
        <v>2700000</v>
      </c>
      <c r="N59" s="17" t="str" cm="1">
        <f t="array" ref="N59">_xlfn.IFS(K59=0,"Matched", K59&gt;100,"High", K59&gt;=50,"Medium", K59&lt;50,"Low")</f>
        <v>Matched</v>
      </c>
      <c r="O59" s="17" t="str">
        <f t="shared" si="2"/>
        <v>No Match</v>
      </c>
    </row>
    <row r="60" spans="2:15" hidden="1" x14ac:dyDescent="0.3">
      <c r="B60" s="7">
        <v>58</v>
      </c>
      <c r="C60" s="3" t="s">
        <v>64</v>
      </c>
      <c r="D60" s="2" t="s">
        <v>1049</v>
      </c>
      <c r="E60" s="3" t="s">
        <v>1010</v>
      </c>
      <c r="F60" s="3">
        <v>140</v>
      </c>
      <c r="G60" s="3">
        <v>140</v>
      </c>
      <c r="H60" s="8">
        <v>20</v>
      </c>
      <c r="I60" s="48">
        <f>Table13[[#This Row],[Physical_Stock_Qty]]-Table13[[#This Row],[System_Stock_Qty]]</f>
        <v>0</v>
      </c>
      <c r="J60" s="53" t="str" cm="1">
        <f t="array" ref="J60">_xlfn.IFS(I60=0,"Matched",I60&gt;0,"Excess",I60&lt;0,"Shortage")</f>
        <v>Matched</v>
      </c>
      <c r="K60" s="50">
        <f>ABS(Table13[[#This Row],[Stock Difference]])</f>
        <v>0</v>
      </c>
      <c r="L60" s="17">
        <f t="shared" si="0"/>
        <v>0</v>
      </c>
      <c r="M60" s="17">
        <f t="shared" si="1"/>
        <v>2800</v>
      </c>
      <c r="N60" s="17" t="str" cm="1">
        <f t="array" ref="N60">_xlfn.IFS(K60=0,"Matched", K60&gt;100,"High", K60&gt;=50,"Medium", K60&lt;50,"Low")</f>
        <v>Matched</v>
      </c>
      <c r="O60" s="17" t="str">
        <f t="shared" si="2"/>
        <v>No Match</v>
      </c>
    </row>
    <row r="61" spans="2:15" hidden="1" x14ac:dyDescent="0.3">
      <c r="B61" s="7">
        <v>59</v>
      </c>
      <c r="C61" s="3" t="s">
        <v>65</v>
      </c>
      <c r="D61" s="2" t="s">
        <v>1053</v>
      </c>
      <c r="E61" s="3" t="s">
        <v>1010</v>
      </c>
      <c r="F61" s="3">
        <v>158</v>
      </c>
      <c r="G61" s="3">
        <v>158</v>
      </c>
      <c r="H61" s="8">
        <v>10</v>
      </c>
      <c r="I61" s="48">
        <f>Table13[[#This Row],[Physical_Stock_Qty]]-Table13[[#This Row],[System_Stock_Qty]]</f>
        <v>0</v>
      </c>
      <c r="J61" s="53" t="str" cm="1">
        <f t="array" ref="J61">_xlfn.IFS(I61=0,"Matched",I61&gt;0,"Excess",I61&lt;0,"Shortage")</f>
        <v>Matched</v>
      </c>
      <c r="K61" s="50">
        <f>ABS(Table13[[#This Row],[Stock Difference]])</f>
        <v>0</v>
      </c>
      <c r="L61" s="17">
        <f t="shared" si="0"/>
        <v>0</v>
      </c>
      <c r="M61" s="17">
        <f t="shared" si="1"/>
        <v>1580</v>
      </c>
      <c r="N61" s="17" t="str" cm="1">
        <f t="array" ref="N61">_xlfn.IFS(K61=0,"Matched", K61&gt;100,"High", K61&gt;=50,"Medium", K61&lt;50,"Low")</f>
        <v>Matched</v>
      </c>
      <c r="O61" s="17" t="str">
        <f t="shared" si="2"/>
        <v>No Match</v>
      </c>
    </row>
    <row r="62" spans="2:15" hidden="1" x14ac:dyDescent="0.3">
      <c r="B62" s="7">
        <v>60</v>
      </c>
      <c r="C62" s="3" t="s">
        <v>66</v>
      </c>
      <c r="D62" s="2" t="s">
        <v>1027</v>
      </c>
      <c r="E62" s="3" t="s">
        <v>1008</v>
      </c>
      <c r="F62" s="3">
        <v>182</v>
      </c>
      <c r="G62" s="3">
        <v>182</v>
      </c>
      <c r="H62" s="8">
        <v>30000</v>
      </c>
      <c r="I62" s="48">
        <f>Table13[[#This Row],[Physical_Stock_Qty]]-Table13[[#This Row],[System_Stock_Qty]]</f>
        <v>0</v>
      </c>
      <c r="J62" s="53" t="str" cm="1">
        <f t="array" ref="J62">_xlfn.IFS(I62=0,"Matched",I62&gt;0,"Excess",I62&lt;0,"Shortage")</f>
        <v>Matched</v>
      </c>
      <c r="K62" s="50">
        <f>ABS(Table13[[#This Row],[Stock Difference]])</f>
        <v>0</v>
      </c>
      <c r="L62" s="17">
        <f t="shared" si="0"/>
        <v>0</v>
      </c>
      <c r="M62" s="17">
        <f t="shared" si="1"/>
        <v>5460000</v>
      </c>
      <c r="N62" s="17" t="str" cm="1">
        <f t="array" ref="N62">_xlfn.IFS(K62=0,"Matched", K62&gt;100,"High", K62&gt;=50,"Medium", K62&lt;50,"Low")</f>
        <v>Matched</v>
      </c>
      <c r="O62" s="17" t="str">
        <f t="shared" si="2"/>
        <v>No Match</v>
      </c>
    </row>
    <row r="63" spans="2:15" x14ac:dyDescent="0.3">
      <c r="B63" s="7">
        <v>61</v>
      </c>
      <c r="C63" s="3" t="s">
        <v>67</v>
      </c>
      <c r="D63" s="2" t="s">
        <v>1037</v>
      </c>
      <c r="E63" s="3" t="s">
        <v>1007</v>
      </c>
      <c r="F63" s="3">
        <v>184</v>
      </c>
      <c r="G63" s="3">
        <v>59</v>
      </c>
      <c r="H63" s="8">
        <v>10000</v>
      </c>
      <c r="I63" s="48">
        <f>Table13[[#This Row],[Physical_Stock_Qty]]-Table13[[#This Row],[System_Stock_Qty]]</f>
        <v>-125</v>
      </c>
      <c r="J63" s="53" t="str" cm="1">
        <f t="array" ref="J63">_xlfn.IFS(I63=0,"Matched",I63&gt;0,"Excess",I63&lt;0,"Shortage")</f>
        <v>Shortage</v>
      </c>
      <c r="K63" s="50">
        <f>ABS(Table13[[#This Row],[Stock Difference]])</f>
        <v>125</v>
      </c>
      <c r="L63" s="17">
        <f t="shared" si="0"/>
        <v>1250000</v>
      </c>
      <c r="M63" s="17">
        <f t="shared" si="1"/>
        <v>1840000</v>
      </c>
      <c r="N63" s="17" t="str" cm="1">
        <f t="array" ref="N63">_xlfn.IFS(K63=0,"Matched", K63&gt;100,"High", K63&gt;=50,"Medium", K63&lt;50,"Low")</f>
        <v>High</v>
      </c>
      <c r="O63" s="17" t="str">
        <f t="shared" si="2"/>
        <v>Yes</v>
      </c>
    </row>
    <row r="64" spans="2:15" x14ac:dyDescent="0.3">
      <c r="B64" s="7">
        <v>62</v>
      </c>
      <c r="C64" s="3" t="s">
        <v>68</v>
      </c>
      <c r="D64" s="2" t="s">
        <v>1053</v>
      </c>
      <c r="E64" s="3" t="s">
        <v>1010</v>
      </c>
      <c r="F64" s="3">
        <v>164</v>
      </c>
      <c r="G64" s="3">
        <v>61</v>
      </c>
      <c r="H64" s="8">
        <v>10</v>
      </c>
      <c r="I64" s="48">
        <f>Table13[[#This Row],[Physical_Stock_Qty]]-Table13[[#This Row],[System_Stock_Qty]]</f>
        <v>-103</v>
      </c>
      <c r="J64" s="53" t="str" cm="1">
        <f t="array" ref="J64">_xlfn.IFS(I64=0,"Matched",I64&gt;0,"Excess",I64&lt;0,"Shortage")</f>
        <v>Shortage</v>
      </c>
      <c r="K64" s="50">
        <f>ABS(Table13[[#This Row],[Stock Difference]])</f>
        <v>103</v>
      </c>
      <c r="L64" s="17">
        <f t="shared" si="0"/>
        <v>1030</v>
      </c>
      <c r="M64" s="17">
        <f t="shared" si="1"/>
        <v>1640</v>
      </c>
      <c r="N64" s="17" t="str" cm="1">
        <f t="array" ref="N64">_xlfn.IFS(K64=0,"Matched", K64&gt;100,"High", K64&gt;=50,"Medium", K64&lt;50,"Low")</f>
        <v>High</v>
      </c>
      <c r="O64" s="17" t="str">
        <f t="shared" si="2"/>
        <v>No</v>
      </c>
    </row>
    <row r="65" spans="2:15" x14ac:dyDescent="0.3">
      <c r="B65" s="7">
        <v>63</v>
      </c>
      <c r="C65" s="3" t="s">
        <v>69</v>
      </c>
      <c r="D65" s="2" t="s">
        <v>1037</v>
      </c>
      <c r="E65" s="3" t="s">
        <v>1007</v>
      </c>
      <c r="F65" s="3">
        <v>120</v>
      </c>
      <c r="G65" s="3">
        <v>33</v>
      </c>
      <c r="H65" s="8">
        <v>10000</v>
      </c>
      <c r="I65" s="48">
        <f>Table13[[#This Row],[Physical_Stock_Qty]]-Table13[[#This Row],[System_Stock_Qty]]</f>
        <v>-87</v>
      </c>
      <c r="J65" s="53" t="str" cm="1">
        <f t="array" ref="J65">_xlfn.IFS(I65=0,"Matched",I65&gt;0,"Excess",I65&lt;0,"Shortage")</f>
        <v>Shortage</v>
      </c>
      <c r="K65" s="50">
        <f>ABS(Table13[[#This Row],[Stock Difference]])</f>
        <v>87</v>
      </c>
      <c r="L65" s="17">
        <f t="shared" si="0"/>
        <v>870000</v>
      </c>
      <c r="M65" s="17">
        <f t="shared" si="1"/>
        <v>1200000</v>
      </c>
      <c r="N65" s="17" t="str" cm="1">
        <f t="array" ref="N65">_xlfn.IFS(K65=0,"Matched", K65&gt;100,"High", K65&gt;=50,"Medium", K65&lt;50,"Low")</f>
        <v>Medium</v>
      </c>
      <c r="O65" s="17" t="str">
        <f t="shared" si="2"/>
        <v>Yes</v>
      </c>
    </row>
    <row r="66" spans="2:15" x14ac:dyDescent="0.3">
      <c r="B66" s="7">
        <v>64</v>
      </c>
      <c r="C66" s="3" t="s">
        <v>70</v>
      </c>
      <c r="D66" s="2" t="s">
        <v>1026</v>
      </c>
      <c r="E66" s="3" t="s">
        <v>1008</v>
      </c>
      <c r="F66" s="3">
        <v>116</v>
      </c>
      <c r="G66" s="3">
        <v>192</v>
      </c>
      <c r="H66" s="8">
        <v>6000</v>
      </c>
      <c r="I66" s="48">
        <f>Table13[[#This Row],[Physical_Stock_Qty]]-Table13[[#This Row],[System_Stock_Qty]]</f>
        <v>76</v>
      </c>
      <c r="J66" s="53" t="str" cm="1">
        <f t="array" ref="J66">_xlfn.IFS(I66=0,"Matched",I66&gt;0,"Excess",I66&lt;0,"Shortage")</f>
        <v>Excess</v>
      </c>
      <c r="K66" s="50">
        <f>ABS(Table13[[#This Row],[Stock Difference]])</f>
        <v>76</v>
      </c>
      <c r="L66" s="17">
        <f t="shared" si="0"/>
        <v>456000</v>
      </c>
      <c r="M66" s="17">
        <f t="shared" si="1"/>
        <v>696000</v>
      </c>
      <c r="N66" s="17" t="str" cm="1">
        <f t="array" ref="N66">_xlfn.IFS(K66=0,"Matched", K66&gt;100,"High", K66&gt;=50,"Medium", K66&lt;50,"Low")</f>
        <v>Medium</v>
      </c>
      <c r="O66" s="17" t="str">
        <f t="shared" si="2"/>
        <v>No</v>
      </c>
    </row>
    <row r="67" spans="2:15" x14ac:dyDescent="0.3">
      <c r="B67" s="7">
        <v>65</v>
      </c>
      <c r="C67" s="3" t="s">
        <v>71</v>
      </c>
      <c r="D67" s="2" t="s">
        <v>1062</v>
      </c>
      <c r="E67" s="3" t="s">
        <v>1009</v>
      </c>
      <c r="F67" s="3">
        <v>44</v>
      </c>
      <c r="G67" s="3">
        <v>160</v>
      </c>
      <c r="H67" s="8">
        <v>100</v>
      </c>
      <c r="I67" s="48">
        <f>Table13[[#This Row],[Physical_Stock_Qty]]-Table13[[#This Row],[System_Stock_Qty]]</f>
        <v>116</v>
      </c>
      <c r="J67" s="53" t="str" cm="1">
        <f t="array" ref="J67">_xlfn.IFS(I67=0,"Matched",I67&gt;0,"Excess",I67&lt;0,"Shortage")</f>
        <v>Excess</v>
      </c>
      <c r="K67" s="50">
        <f>ABS(Table13[[#This Row],[Stock Difference]])</f>
        <v>116</v>
      </c>
      <c r="L67" s="17">
        <f t="shared" si="0"/>
        <v>11600</v>
      </c>
      <c r="M67" s="17">
        <f t="shared" si="1"/>
        <v>4400</v>
      </c>
      <c r="N67" s="17" t="str" cm="1">
        <f t="array" ref="N67">_xlfn.IFS(K67=0,"Matched", K67&gt;100,"High", K67&gt;=50,"Medium", K67&lt;50,"Low")</f>
        <v>High</v>
      </c>
      <c r="O67" s="17" t="str">
        <f t="shared" si="2"/>
        <v>No</v>
      </c>
    </row>
    <row r="68" spans="2:15" x14ac:dyDescent="0.3">
      <c r="B68" s="7">
        <v>66</v>
      </c>
      <c r="C68" s="3" t="s">
        <v>72</v>
      </c>
      <c r="D68" s="2" t="s">
        <v>1027</v>
      </c>
      <c r="E68" s="3" t="s">
        <v>1008</v>
      </c>
      <c r="F68" s="3">
        <v>64</v>
      </c>
      <c r="G68" s="3">
        <v>137</v>
      </c>
      <c r="H68" s="8">
        <v>30000</v>
      </c>
      <c r="I68" s="48">
        <f>Table13[[#This Row],[Physical_Stock_Qty]]-Table13[[#This Row],[System_Stock_Qty]]</f>
        <v>73</v>
      </c>
      <c r="J68" s="53" t="str" cm="1">
        <f t="array" ref="J68">_xlfn.IFS(I68=0,"Matched",I68&gt;0,"Excess",I68&lt;0,"Shortage")</f>
        <v>Excess</v>
      </c>
      <c r="K68" s="50">
        <f>ABS(Table13[[#This Row],[Stock Difference]])</f>
        <v>73</v>
      </c>
      <c r="L68" s="17">
        <f t="shared" ref="L68:L131" si="3">(K68*H68)</f>
        <v>2190000</v>
      </c>
      <c r="M68" s="17">
        <f t="shared" ref="M68:M131" si="4">F68*H68</f>
        <v>1920000</v>
      </c>
      <c r="N68" s="17" t="str" cm="1">
        <f t="array" ref="N68">_xlfn.IFS(K68=0,"Matched", K68&gt;100,"High", K68&gt;=50,"Medium", K68&lt;50,"Low")</f>
        <v>Medium</v>
      </c>
      <c r="O68" s="17" t="str">
        <f t="shared" ref="O68:O131" si="5">IF(L68&gt;500000,"Yes",IF(L68=0,"No Match","No"))</f>
        <v>Yes</v>
      </c>
    </row>
    <row r="69" spans="2:15" x14ac:dyDescent="0.3">
      <c r="B69" s="7">
        <v>67</v>
      </c>
      <c r="C69" s="3" t="s">
        <v>73</v>
      </c>
      <c r="D69" s="2" t="s">
        <v>1082</v>
      </c>
      <c r="E69" s="3" t="s">
        <v>1011</v>
      </c>
      <c r="F69" s="3">
        <v>100</v>
      </c>
      <c r="G69" s="3">
        <v>195</v>
      </c>
      <c r="H69" s="8">
        <v>2000</v>
      </c>
      <c r="I69" s="48">
        <f>Table13[[#This Row],[Physical_Stock_Qty]]-Table13[[#This Row],[System_Stock_Qty]]</f>
        <v>95</v>
      </c>
      <c r="J69" s="53" t="str" cm="1">
        <f t="array" ref="J69">_xlfn.IFS(I69=0,"Matched",I69&gt;0,"Excess",I69&lt;0,"Shortage")</f>
        <v>Excess</v>
      </c>
      <c r="K69" s="50">
        <f>ABS(Table13[[#This Row],[Stock Difference]])</f>
        <v>95</v>
      </c>
      <c r="L69" s="17">
        <f t="shared" si="3"/>
        <v>190000</v>
      </c>
      <c r="M69" s="17">
        <f t="shared" si="4"/>
        <v>200000</v>
      </c>
      <c r="N69" s="17" t="str" cm="1">
        <f t="array" ref="N69">_xlfn.IFS(K69=0,"Matched", K69&gt;100,"High", K69&gt;=50,"Medium", K69&lt;50,"Low")</f>
        <v>Medium</v>
      </c>
      <c r="O69" s="17" t="str">
        <f t="shared" si="5"/>
        <v>No</v>
      </c>
    </row>
    <row r="70" spans="2:15" x14ac:dyDescent="0.3">
      <c r="B70" s="7">
        <v>68</v>
      </c>
      <c r="C70" s="3" t="s">
        <v>74</v>
      </c>
      <c r="D70" s="2" t="s">
        <v>1041</v>
      </c>
      <c r="E70" s="3" t="s">
        <v>1007</v>
      </c>
      <c r="F70" s="3">
        <v>135</v>
      </c>
      <c r="G70" s="3">
        <v>118</v>
      </c>
      <c r="H70" s="8">
        <v>2000</v>
      </c>
      <c r="I70" s="48">
        <f>Table13[[#This Row],[Physical_Stock_Qty]]-Table13[[#This Row],[System_Stock_Qty]]</f>
        <v>-17</v>
      </c>
      <c r="J70" s="53" t="str" cm="1">
        <f t="array" ref="J70">_xlfn.IFS(I70=0,"Matched",I70&gt;0,"Excess",I70&lt;0,"Shortage")</f>
        <v>Shortage</v>
      </c>
      <c r="K70" s="50">
        <f>ABS(Table13[[#This Row],[Stock Difference]])</f>
        <v>17</v>
      </c>
      <c r="L70" s="17">
        <f t="shared" si="3"/>
        <v>34000</v>
      </c>
      <c r="M70" s="17">
        <f t="shared" si="4"/>
        <v>270000</v>
      </c>
      <c r="N70" s="17" t="str" cm="1">
        <f t="array" ref="N70">_xlfn.IFS(K70=0,"Matched", K70&gt;100,"High", K70&gt;=50,"Medium", K70&lt;50,"Low")</f>
        <v>Low</v>
      </c>
      <c r="O70" s="17" t="str">
        <f t="shared" si="5"/>
        <v>No</v>
      </c>
    </row>
    <row r="71" spans="2:15" x14ac:dyDescent="0.3">
      <c r="B71" s="7">
        <v>69</v>
      </c>
      <c r="C71" s="3" t="s">
        <v>75</v>
      </c>
      <c r="D71" s="2" t="s">
        <v>1045</v>
      </c>
      <c r="E71" s="3" t="s">
        <v>1010</v>
      </c>
      <c r="F71" s="3">
        <v>174</v>
      </c>
      <c r="G71" s="3">
        <v>163</v>
      </c>
      <c r="H71" s="8">
        <v>100</v>
      </c>
      <c r="I71" s="48">
        <f>Table13[[#This Row],[Physical_Stock_Qty]]-Table13[[#This Row],[System_Stock_Qty]]</f>
        <v>-11</v>
      </c>
      <c r="J71" s="53" t="str" cm="1">
        <f t="array" ref="J71">_xlfn.IFS(I71=0,"Matched",I71&gt;0,"Excess",I71&lt;0,"Shortage")</f>
        <v>Shortage</v>
      </c>
      <c r="K71" s="50">
        <f>ABS(Table13[[#This Row],[Stock Difference]])</f>
        <v>11</v>
      </c>
      <c r="L71" s="17">
        <f t="shared" si="3"/>
        <v>1100</v>
      </c>
      <c r="M71" s="17">
        <f t="shared" si="4"/>
        <v>17400</v>
      </c>
      <c r="N71" s="17" t="str" cm="1">
        <f t="array" ref="N71">_xlfn.IFS(K71=0,"Matched", K71&gt;100,"High", K71&gt;=50,"Medium", K71&lt;50,"Low")</f>
        <v>Low</v>
      </c>
      <c r="O71" s="17" t="str">
        <f t="shared" si="5"/>
        <v>No</v>
      </c>
    </row>
    <row r="72" spans="2:15" x14ac:dyDescent="0.3">
      <c r="B72" s="7">
        <v>70</v>
      </c>
      <c r="C72" s="3" t="s">
        <v>76</v>
      </c>
      <c r="D72" s="2" t="s">
        <v>1084</v>
      </c>
      <c r="E72" s="3" t="s">
        <v>1011</v>
      </c>
      <c r="F72" s="3">
        <v>104</v>
      </c>
      <c r="G72" s="3">
        <v>46</v>
      </c>
      <c r="H72" s="8">
        <v>2000</v>
      </c>
      <c r="I72" s="48">
        <f>Table13[[#This Row],[Physical_Stock_Qty]]-Table13[[#This Row],[System_Stock_Qty]]</f>
        <v>-58</v>
      </c>
      <c r="J72" s="53" t="str" cm="1">
        <f t="array" ref="J72">_xlfn.IFS(I72=0,"Matched",I72&gt;0,"Excess",I72&lt;0,"Shortage")</f>
        <v>Shortage</v>
      </c>
      <c r="K72" s="50">
        <f>ABS(Table13[[#This Row],[Stock Difference]])</f>
        <v>58</v>
      </c>
      <c r="L72" s="17">
        <f t="shared" si="3"/>
        <v>116000</v>
      </c>
      <c r="M72" s="17">
        <f t="shared" si="4"/>
        <v>208000</v>
      </c>
      <c r="N72" s="17" t="str" cm="1">
        <f t="array" ref="N72">_xlfn.IFS(K72=0,"Matched", K72&gt;100,"High", K72&gt;=50,"Medium", K72&lt;50,"Low")</f>
        <v>Medium</v>
      </c>
      <c r="O72" s="17" t="str">
        <f t="shared" si="5"/>
        <v>No</v>
      </c>
    </row>
    <row r="73" spans="2:15" x14ac:dyDescent="0.3">
      <c r="B73" s="7">
        <v>71</v>
      </c>
      <c r="C73" s="3" t="s">
        <v>77</v>
      </c>
      <c r="D73" s="2" t="s">
        <v>1070</v>
      </c>
      <c r="E73" s="3" t="s">
        <v>1009</v>
      </c>
      <c r="F73" s="3">
        <v>74</v>
      </c>
      <c r="G73" s="3">
        <v>103</v>
      </c>
      <c r="H73" s="8">
        <v>1500</v>
      </c>
      <c r="I73" s="48">
        <f>Table13[[#This Row],[Physical_Stock_Qty]]-Table13[[#This Row],[System_Stock_Qty]]</f>
        <v>29</v>
      </c>
      <c r="J73" s="53" t="str" cm="1">
        <f t="array" ref="J73">_xlfn.IFS(I73=0,"Matched",I73&gt;0,"Excess",I73&lt;0,"Shortage")</f>
        <v>Excess</v>
      </c>
      <c r="K73" s="50">
        <f>ABS(Table13[[#This Row],[Stock Difference]])</f>
        <v>29</v>
      </c>
      <c r="L73" s="17">
        <f t="shared" si="3"/>
        <v>43500</v>
      </c>
      <c r="M73" s="17">
        <f t="shared" si="4"/>
        <v>111000</v>
      </c>
      <c r="N73" s="17" t="str" cm="1">
        <f t="array" ref="N73">_xlfn.IFS(K73=0,"Matched", K73&gt;100,"High", K73&gt;=50,"Medium", K73&lt;50,"Low")</f>
        <v>Low</v>
      </c>
      <c r="O73" s="17" t="str">
        <f t="shared" si="5"/>
        <v>No</v>
      </c>
    </row>
    <row r="74" spans="2:15" x14ac:dyDescent="0.3">
      <c r="B74" s="7">
        <v>72</v>
      </c>
      <c r="C74" s="3" t="s">
        <v>78</v>
      </c>
      <c r="D74" s="2" t="s">
        <v>1051</v>
      </c>
      <c r="E74" s="3" t="s">
        <v>1010</v>
      </c>
      <c r="F74" s="3">
        <v>131</v>
      </c>
      <c r="G74" s="3">
        <v>132</v>
      </c>
      <c r="H74" s="8">
        <v>50</v>
      </c>
      <c r="I74" s="48">
        <f>Table13[[#This Row],[Physical_Stock_Qty]]-Table13[[#This Row],[System_Stock_Qty]]</f>
        <v>1</v>
      </c>
      <c r="J74" s="53" t="str" cm="1">
        <f t="array" ref="J74">_xlfn.IFS(I74=0,"Matched",I74&gt;0,"Excess",I74&lt;0,"Shortage")</f>
        <v>Excess</v>
      </c>
      <c r="K74" s="50">
        <f>ABS(Table13[[#This Row],[Stock Difference]])</f>
        <v>1</v>
      </c>
      <c r="L74" s="17">
        <f t="shared" si="3"/>
        <v>50</v>
      </c>
      <c r="M74" s="17">
        <f t="shared" si="4"/>
        <v>6550</v>
      </c>
      <c r="N74" s="17" t="str" cm="1">
        <f t="array" ref="N74">_xlfn.IFS(K74=0,"Matched", K74&gt;100,"High", K74&gt;=50,"Medium", K74&lt;50,"Low")</f>
        <v>Low</v>
      </c>
      <c r="O74" s="17" t="str">
        <f t="shared" si="5"/>
        <v>No</v>
      </c>
    </row>
    <row r="75" spans="2:15" x14ac:dyDescent="0.3">
      <c r="B75" s="7">
        <v>73</v>
      </c>
      <c r="C75" s="3" t="s">
        <v>79</v>
      </c>
      <c r="D75" s="2" t="s">
        <v>1058</v>
      </c>
      <c r="E75" s="3" t="s">
        <v>1012</v>
      </c>
      <c r="F75" s="3">
        <v>163</v>
      </c>
      <c r="G75" s="3">
        <v>158</v>
      </c>
      <c r="H75" s="8">
        <v>500</v>
      </c>
      <c r="I75" s="48">
        <f>Table13[[#This Row],[Physical_Stock_Qty]]-Table13[[#This Row],[System_Stock_Qty]]</f>
        <v>-5</v>
      </c>
      <c r="J75" s="53" t="str" cm="1">
        <f t="array" ref="J75">_xlfn.IFS(I75=0,"Matched",I75&gt;0,"Excess",I75&lt;0,"Shortage")</f>
        <v>Shortage</v>
      </c>
      <c r="K75" s="50">
        <f>ABS(Table13[[#This Row],[Stock Difference]])</f>
        <v>5</v>
      </c>
      <c r="L75" s="17">
        <f t="shared" si="3"/>
        <v>2500</v>
      </c>
      <c r="M75" s="17">
        <f t="shared" si="4"/>
        <v>81500</v>
      </c>
      <c r="N75" s="17" t="str" cm="1">
        <f t="array" ref="N75">_xlfn.IFS(K75=0,"Matched", K75&gt;100,"High", K75&gt;=50,"Medium", K75&lt;50,"Low")</f>
        <v>Low</v>
      </c>
      <c r="O75" s="17" t="str">
        <f t="shared" si="5"/>
        <v>No</v>
      </c>
    </row>
    <row r="76" spans="2:15" x14ac:dyDescent="0.3">
      <c r="B76" s="7">
        <v>74</v>
      </c>
      <c r="C76" s="3" t="s">
        <v>80</v>
      </c>
      <c r="D76" s="2" t="s">
        <v>1079</v>
      </c>
      <c r="E76" s="3" t="s">
        <v>1011</v>
      </c>
      <c r="F76" s="3">
        <v>187</v>
      </c>
      <c r="G76" s="3">
        <v>75</v>
      </c>
      <c r="H76" s="8">
        <v>5000</v>
      </c>
      <c r="I76" s="48">
        <f>Table13[[#This Row],[Physical_Stock_Qty]]-Table13[[#This Row],[System_Stock_Qty]]</f>
        <v>-112</v>
      </c>
      <c r="J76" s="53" t="str" cm="1">
        <f t="array" ref="J76">_xlfn.IFS(I76=0,"Matched",I76&gt;0,"Excess",I76&lt;0,"Shortage")</f>
        <v>Shortage</v>
      </c>
      <c r="K76" s="50">
        <f>ABS(Table13[[#This Row],[Stock Difference]])</f>
        <v>112</v>
      </c>
      <c r="L76" s="17">
        <f t="shared" si="3"/>
        <v>560000</v>
      </c>
      <c r="M76" s="17">
        <f t="shared" si="4"/>
        <v>935000</v>
      </c>
      <c r="N76" s="17" t="str" cm="1">
        <f t="array" ref="N76">_xlfn.IFS(K76=0,"Matched", K76&gt;100,"High", K76&gt;=50,"Medium", K76&lt;50,"Low")</f>
        <v>High</v>
      </c>
      <c r="O76" s="17" t="str">
        <f t="shared" si="5"/>
        <v>Yes</v>
      </c>
    </row>
    <row r="77" spans="2:15" x14ac:dyDescent="0.3">
      <c r="B77" s="7">
        <v>75</v>
      </c>
      <c r="C77" s="3" t="s">
        <v>81</v>
      </c>
      <c r="D77" s="2" t="s">
        <v>1030</v>
      </c>
      <c r="E77" s="3" t="s">
        <v>1008</v>
      </c>
      <c r="F77" s="3">
        <v>124</v>
      </c>
      <c r="G77" s="3">
        <v>155</v>
      </c>
      <c r="H77" s="8">
        <v>70000</v>
      </c>
      <c r="I77" s="48">
        <f>Table13[[#This Row],[Physical_Stock_Qty]]-Table13[[#This Row],[System_Stock_Qty]]</f>
        <v>31</v>
      </c>
      <c r="J77" s="53" t="str" cm="1">
        <f t="array" ref="J77">_xlfn.IFS(I77=0,"Matched",I77&gt;0,"Excess",I77&lt;0,"Shortage")</f>
        <v>Excess</v>
      </c>
      <c r="K77" s="50">
        <f>ABS(Table13[[#This Row],[Stock Difference]])</f>
        <v>31</v>
      </c>
      <c r="L77" s="17">
        <f t="shared" si="3"/>
        <v>2170000</v>
      </c>
      <c r="M77" s="17">
        <f t="shared" si="4"/>
        <v>8680000</v>
      </c>
      <c r="N77" s="17" t="str" cm="1">
        <f t="array" ref="N77">_xlfn.IFS(K77=0,"Matched", K77&gt;100,"High", K77&gt;=50,"Medium", K77&lt;50,"Low")</f>
        <v>Low</v>
      </c>
      <c r="O77" s="17" t="str">
        <f t="shared" si="5"/>
        <v>Yes</v>
      </c>
    </row>
    <row r="78" spans="2:15" x14ac:dyDescent="0.3">
      <c r="B78" s="7">
        <v>76</v>
      </c>
      <c r="C78" s="3" t="s">
        <v>82</v>
      </c>
      <c r="D78" s="2" t="s">
        <v>1023</v>
      </c>
      <c r="E78" s="3" t="s">
        <v>1008</v>
      </c>
      <c r="F78" s="3">
        <v>133</v>
      </c>
      <c r="G78" s="3">
        <v>75</v>
      </c>
      <c r="H78" s="8">
        <v>20000</v>
      </c>
      <c r="I78" s="48">
        <f>Table13[[#This Row],[Physical_Stock_Qty]]-Table13[[#This Row],[System_Stock_Qty]]</f>
        <v>-58</v>
      </c>
      <c r="J78" s="53" t="str" cm="1">
        <f t="array" ref="J78">_xlfn.IFS(I78=0,"Matched",I78&gt;0,"Excess",I78&lt;0,"Shortage")</f>
        <v>Shortage</v>
      </c>
      <c r="K78" s="50">
        <f>ABS(Table13[[#This Row],[Stock Difference]])</f>
        <v>58</v>
      </c>
      <c r="L78" s="17">
        <f t="shared" si="3"/>
        <v>1160000</v>
      </c>
      <c r="M78" s="17">
        <f t="shared" si="4"/>
        <v>2660000</v>
      </c>
      <c r="N78" s="17" t="str" cm="1">
        <f t="array" ref="N78">_xlfn.IFS(K78=0,"Matched", K78&gt;100,"High", K78&gt;=50,"Medium", K78&lt;50,"Low")</f>
        <v>Medium</v>
      </c>
      <c r="O78" s="17" t="str">
        <f t="shared" si="5"/>
        <v>Yes</v>
      </c>
    </row>
    <row r="79" spans="2:15" x14ac:dyDescent="0.3">
      <c r="B79" s="7">
        <v>77</v>
      </c>
      <c r="C79" s="3" t="s">
        <v>83</v>
      </c>
      <c r="D79" s="2" t="s">
        <v>1056</v>
      </c>
      <c r="E79" s="3" t="s">
        <v>1012</v>
      </c>
      <c r="F79" s="3">
        <v>49</v>
      </c>
      <c r="G79" s="3">
        <v>169</v>
      </c>
      <c r="H79" s="8">
        <v>100</v>
      </c>
      <c r="I79" s="48">
        <f>Table13[[#This Row],[Physical_Stock_Qty]]-Table13[[#This Row],[System_Stock_Qty]]</f>
        <v>120</v>
      </c>
      <c r="J79" s="53" t="str" cm="1">
        <f t="array" ref="J79">_xlfn.IFS(I79=0,"Matched",I79&gt;0,"Excess",I79&lt;0,"Shortage")</f>
        <v>Excess</v>
      </c>
      <c r="K79" s="50">
        <f>ABS(Table13[[#This Row],[Stock Difference]])</f>
        <v>120</v>
      </c>
      <c r="L79" s="17">
        <f t="shared" si="3"/>
        <v>12000</v>
      </c>
      <c r="M79" s="17">
        <f t="shared" si="4"/>
        <v>4900</v>
      </c>
      <c r="N79" s="17" t="str" cm="1">
        <f t="array" ref="N79">_xlfn.IFS(K79=0,"Matched", K79&gt;100,"High", K79&gt;=50,"Medium", K79&lt;50,"Low")</f>
        <v>High</v>
      </c>
      <c r="O79" s="17" t="str">
        <f t="shared" si="5"/>
        <v>No</v>
      </c>
    </row>
    <row r="80" spans="2:15" x14ac:dyDescent="0.3">
      <c r="B80" s="7">
        <v>78</v>
      </c>
      <c r="C80" s="3" t="s">
        <v>84</v>
      </c>
      <c r="D80" s="2" t="s">
        <v>1036</v>
      </c>
      <c r="E80" s="3" t="s">
        <v>1007</v>
      </c>
      <c r="F80" s="3">
        <v>64</v>
      </c>
      <c r="G80" s="3">
        <v>119</v>
      </c>
      <c r="H80" s="8">
        <v>8000</v>
      </c>
      <c r="I80" s="48">
        <f>Table13[[#This Row],[Physical_Stock_Qty]]-Table13[[#This Row],[System_Stock_Qty]]</f>
        <v>55</v>
      </c>
      <c r="J80" s="53" t="str" cm="1">
        <f t="array" ref="J80">_xlfn.IFS(I80=0,"Matched",I80&gt;0,"Excess",I80&lt;0,"Shortage")</f>
        <v>Excess</v>
      </c>
      <c r="K80" s="50">
        <f>ABS(Table13[[#This Row],[Stock Difference]])</f>
        <v>55</v>
      </c>
      <c r="L80" s="17">
        <f t="shared" si="3"/>
        <v>440000</v>
      </c>
      <c r="M80" s="17">
        <f t="shared" si="4"/>
        <v>512000</v>
      </c>
      <c r="N80" s="17" t="str" cm="1">
        <f t="array" ref="N80">_xlfn.IFS(K80=0,"Matched", K80&gt;100,"High", K80&gt;=50,"Medium", K80&lt;50,"Low")</f>
        <v>Medium</v>
      </c>
      <c r="O80" s="17" t="str">
        <f t="shared" si="5"/>
        <v>No</v>
      </c>
    </row>
    <row r="81" spans="2:15" x14ac:dyDescent="0.3">
      <c r="B81" s="7">
        <v>79</v>
      </c>
      <c r="C81" s="3" t="s">
        <v>85</v>
      </c>
      <c r="D81" s="2" t="s">
        <v>1047</v>
      </c>
      <c r="E81" s="3" t="s">
        <v>1010</v>
      </c>
      <c r="F81" s="3">
        <v>129</v>
      </c>
      <c r="G81" s="3">
        <v>163</v>
      </c>
      <c r="H81" s="8">
        <v>500</v>
      </c>
      <c r="I81" s="48">
        <f>Table13[[#This Row],[Physical_Stock_Qty]]-Table13[[#This Row],[System_Stock_Qty]]</f>
        <v>34</v>
      </c>
      <c r="J81" s="53" t="str" cm="1">
        <f t="array" ref="J81">_xlfn.IFS(I81=0,"Matched",I81&gt;0,"Excess",I81&lt;0,"Shortage")</f>
        <v>Excess</v>
      </c>
      <c r="K81" s="50">
        <f>ABS(Table13[[#This Row],[Stock Difference]])</f>
        <v>34</v>
      </c>
      <c r="L81" s="17">
        <f t="shared" si="3"/>
        <v>17000</v>
      </c>
      <c r="M81" s="17">
        <f t="shared" si="4"/>
        <v>64500</v>
      </c>
      <c r="N81" s="17" t="str" cm="1">
        <f t="array" ref="N81">_xlfn.IFS(K81=0,"Matched", K81&gt;100,"High", K81&gt;=50,"Medium", K81&lt;50,"Low")</f>
        <v>Low</v>
      </c>
      <c r="O81" s="17" t="str">
        <f t="shared" si="5"/>
        <v>No</v>
      </c>
    </row>
    <row r="82" spans="2:15" x14ac:dyDescent="0.3">
      <c r="B82" s="7">
        <v>80</v>
      </c>
      <c r="C82" s="3" t="s">
        <v>86</v>
      </c>
      <c r="D82" s="2" t="s">
        <v>1057</v>
      </c>
      <c r="E82" s="3" t="s">
        <v>1012</v>
      </c>
      <c r="F82" s="3">
        <v>54</v>
      </c>
      <c r="G82" s="3">
        <v>171</v>
      </c>
      <c r="H82" s="8">
        <v>500</v>
      </c>
      <c r="I82" s="48">
        <f>Table13[[#This Row],[Physical_Stock_Qty]]-Table13[[#This Row],[System_Stock_Qty]]</f>
        <v>117</v>
      </c>
      <c r="J82" s="53" t="str" cm="1">
        <f t="array" ref="J82">_xlfn.IFS(I82=0,"Matched",I82&gt;0,"Excess",I82&lt;0,"Shortage")</f>
        <v>Excess</v>
      </c>
      <c r="K82" s="50">
        <f>ABS(Table13[[#This Row],[Stock Difference]])</f>
        <v>117</v>
      </c>
      <c r="L82" s="17">
        <f t="shared" si="3"/>
        <v>58500</v>
      </c>
      <c r="M82" s="17">
        <f t="shared" si="4"/>
        <v>27000</v>
      </c>
      <c r="N82" s="17" t="str" cm="1">
        <f t="array" ref="N82">_xlfn.IFS(K82=0,"Matched", K82&gt;100,"High", K82&gt;=50,"Medium", K82&lt;50,"Low")</f>
        <v>High</v>
      </c>
      <c r="O82" s="17" t="str">
        <f t="shared" si="5"/>
        <v>No</v>
      </c>
    </row>
    <row r="83" spans="2:15" x14ac:dyDescent="0.3">
      <c r="B83" s="7">
        <v>81</v>
      </c>
      <c r="C83" s="3" t="s">
        <v>87</v>
      </c>
      <c r="D83" s="2" t="s">
        <v>1035</v>
      </c>
      <c r="E83" s="3" t="s">
        <v>1007</v>
      </c>
      <c r="F83" s="3">
        <v>196</v>
      </c>
      <c r="G83" s="3">
        <v>30</v>
      </c>
      <c r="H83" s="8">
        <v>15000</v>
      </c>
      <c r="I83" s="48">
        <f>Table13[[#This Row],[Physical_Stock_Qty]]-Table13[[#This Row],[System_Stock_Qty]]</f>
        <v>-166</v>
      </c>
      <c r="J83" s="53" t="str" cm="1">
        <f t="array" ref="J83">_xlfn.IFS(I83=0,"Matched",I83&gt;0,"Excess",I83&lt;0,"Shortage")</f>
        <v>Shortage</v>
      </c>
      <c r="K83" s="50">
        <f>ABS(Table13[[#This Row],[Stock Difference]])</f>
        <v>166</v>
      </c>
      <c r="L83" s="17">
        <f t="shared" si="3"/>
        <v>2490000</v>
      </c>
      <c r="M83" s="17">
        <f t="shared" si="4"/>
        <v>2940000</v>
      </c>
      <c r="N83" s="17" t="str" cm="1">
        <f t="array" ref="N83">_xlfn.IFS(K83=0,"Matched", K83&gt;100,"High", K83&gt;=50,"Medium", K83&lt;50,"Low")</f>
        <v>High</v>
      </c>
      <c r="O83" s="17" t="str">
        <f t="shared" si="5"/>
        <v>Yes</v>
      </c>
    </row>
    <row r="84" spans="2:15" x14ac:dyDescent="0.3">
      <c r="B84" s="7">
        <v>82</v>
      </c>
      <c r="C84" s="3" t="s">
        <v>88</v>
      </c>
      <c r="D84" s="2" t="s">
        <v>1031</v>
      </c>
      <c r="E84" s="3" t="s">
        <v>1008</v>
      </c>
      <c r="F84" s="3">
        <v>168</v>
      </c>
      <c r="G84" s="3">
        <v>104</v>
      </c>
      <c r="H84" s="8">
        <v>40000</v>
      </c>
      <c r="I84" s="48">
        <f>Table13[[#This Row],[Physical_Stock_Qty]]-Table13[[#This Row],[System_Stock_Qty]]</f>
        <v>-64</v>
      </c>
      <c r="J84" s="53" t="str" cm="1">
        <f t="array" ref="J84">_xlfn.IFS(I84=0,"Matched",I84&gt;0,"Excess",I84&lt;0,"Shortage")</f>
        <v>Shortage</v>
      </c>
      <c r="K84" s="50">
        <f>ABS(Table13[[#This Row],[Stock Difference]])</f>
        <v>64</v>
      </c>
      <c r="L84" s="17">
        <f t="shared" si="3"/>
        <v>2560000</v>
      </c>
      <c r="M84" s="17">
        <f t="shared" si="4"/>
        <v>6720000</v>
      </c>
      <c r="N84" s="17" t="str" cm="1">
        <f t="array" ref="N84">_xlfn.IFS(K84=0,"Matched", K84&gt;100,"High", K84&gt;=50,"Medium", K84&lt;50,"Low")</f>
        <v>Medium</v>
      </c>
      <c r="O84" s="17" t="str">
        <f t="shared" si="5"/>
        <v>Yes</v>
      </c>
    </row>
    <row r="85" spans="2:15" x14ac:dyDescent="0.3">
      <c r="B85" s="7">
        <v>83</v>
      </c>
      <c r="C85" s="3" t="s">
        <v>89</v>
      </c>
      <c r="D85" s="2" t="s">
        <v>1069</v>
      </c>
      <c r="E85" s="3" t="s">
        <v>1009</v>
      </c>
      <c r="F85" s="3">
        <v>54</v>
      </c>
      <c r="G85" s="3">
        <v>189</v>
      </c>
      <c r="H85" s="8">
        <v>200</v>
      </c>
      <c r="I85" s="48">
        <f>Table13[[#This Row],[Physical_Stock_Qty]]-Table13[[#This Row],[System_Stock_Qty]]</f>
        <v>135</v>
      </c>
      <c r="J85" s="53" t="str" cm="1">
        <f t="array" ref="J85">_xlfn.IFS(I85=0,"Matched",I85&gt;0,"Excess",I85&lt;0,"Shortage")</f>
        <v>Excess</v>
      </c>
      <c r="K85" s="50">
        <f>ABS(Table13[[#This Row],[Stock Difference]])</f>
        <v>135</v>
      </c>
      <c r="L85" s="17">
        <f t="shared" si="3"/>
        <v>27000</v>
      </c>
      <c r="M85" s="17">
        <f t="shared" si="4"/>
        <v>10800</v>
      </c>
      <c r="N85" s="17" t="str" cm="1">
        <f t="array" ref="N85">_xlfn.IFS(K85=0,"Matched", K85&gt;100,"High", K85&gt;=50,"Medium", K85&lt;50,"Low")</f>
        <v>High</v>
      </c>
      <c r="O85" s="17" t="str">
        <f t="shared" si="5"/>
        <v>No</v>
      </c>
    </row>
    <row r="86" spans="2:15" x14ac:dyDescent="0.3">
      <c r="B86" s="7">
        <v>84</v>
      </c>
      <c r="C86" s="3" t="s">
        <v>90</v>
      </c>
      <c r="D86" s="2" t="s">
        <v>1058</v>
      </c>
      <c r="E86" s="3" t="s">
        <v>1012</v>
      </c>
      <c r="F86" s="3">
        <v>199</v>
      </c>
      <c r="G86" s="3">
        <v>90</v>
      </c>
      <c r="H86" s="8">
        <v>500</v>
      </c>
      <c r="I86" s="48">
        <f>Table13[[#This Row],[Physical_Stock_Qty]]-Table13[[#This Row],[System_Stock_Qty]]</f>
        <v>-109</v>
      </c>
      <c r="J86" s="53" t="str" cm="1">
        <f t="array" ref="J86">_xlfn.IFS(I86=0,"Matched",I86&gt;0,"Excess",I86&lt;0,"Shortage")</f>
        <v>Shortage</v>
      </c>
      <c r="K86" s="50">
        <f>ABS(Table13[[#This Row],[Stock Difference]])</f>
        <v>109</v>
      </c>
      <c r="L86" s="17">
        <f t="shared" si="3"/>
        <v>54500</v>
      </c>
      <c r="M86" s="17">
        <f t="shared" si="4"/>
        <v>99500</v>
      </c>
      <c r="N86" s="17" t="str" cm="1">
        <f t="array" ref="N86">_xlfn.IFS(K86=0,"Matched", K86&gt;100,"High", K86&gt;=50,"Medium", K86&lt;50,"Low")</f>
        <v>High</v>
      </c>
      <c r="O86" s="17" t="str">
        <f t="shared" si="5"/>
        <v>No</v>
      </c>
    </row>
    <row r="87" spans="2:15" x14ac:dyDescent="0.3">
      <c r="B87" s="7">
        <v>85</v>
      </c>
      <c r="C87" s="3" t="s">
        <v>91</v>
      </c>
      <c r="D87" s="2" t="s">
        <v>1046</v>
      </c>
      <c r="E87" s="3" t="s">
        <v>1010</v>
      </c>
      <c r="F87" s="3">
        <v>111</v>
      </c>
      <c r="G87" s="3">
        <v>100</v>
      </c>
      <c r="H87" s="8">
        <v>100</v>
      </c>
      <c r="I87" s="48">
        <f>Table13[[#This Row],[Physical_Stock_Qty]]-Table13[[#This Row],[System_Stock_Qty]]</f>
        <v>-11</v>
      </c>
      <c r="J87" s="53" t="str" cm="1">
        <f t="array" ref="J87">_xlfn.IFS(I87=0,"Matched",I87&gt;0,"Excess",I87&lt;0,"Shortage")</f>
        <v>Shortage</v>
      </c>
      <c r="K87" s="50">
        <f>ABS(Table13[[#This Row],[Stock Difference]])</f>
        <v>11</v>
      </c>
      <c r="L87" s="17">
        <f t="shared" si="3"/>
        <v>1100</v>
      </c>
      <c r="M87" s="17">
        <f t="shared" si="4"/>
        <v>11100</v>
      </c>
      <c r="N87" s="17" t="str" cm="1">
        <f t="array" ref="N87">_xlfn.IFS(K87=0,"Matched", K87&gt;100,"High", K87&gt;=50,"Medium", K87&lt;50,"Low")</f>
        <v>Low</v>
      </c>
      <c r="O87" s="17" t="str">
        <f t="shared" si="5"/>
        <v>No</v>
      </c>
    </row>
    <row r="88" spans="2:15" x14ac:dyDescent="0.3">
      <c r="B88" s="7">
        <v>86</v>
      </c>
      <c r="C88" s="3" t="s">
        <v>92</v>
      </c>
      <c r="D88" s="2" t="s">
        <v>1061</v>
      </c>
      <c r="E88" s="3" t="s">
        <v>1012</v>
      </c>
      <c r="F88" s="3">
        <v>31</v>
      </c>
      <c r="G88" s="3">
        <v>100</v>
      </c>
      <c r="H88" s="8">
        <v>500</v>
      </c>
      <c r="I88" s="48">
        <f>Table13[[#This Row],[Physical_Stock_Qty]]-Table13[[#This Row],[System_Stock_Qty]]</f>
        <v>69</v>
      </c>
      <c r="J88" s="53" t="str" cm="1">
        <f t="array" ref="J88">_xlfn.IFS(I88=0,"Matched",I88&gt;0,"Excess",I88&lt;0,"Shortage")</f>
        <v>Excess</v>
      </c>
      <c r="K88" s="50">
        <f>ABS(Table13[[#This Row],[Stock Difference]])</f>
        <v>69</v>
      </c>
      <c r="L88" s="17">
        <f t="shared" si="3"/>
        <v>34500</v>
      </c>
      <c r="M88" s="17">
        <f t="shared" si="4"/>
        <v>15500</v>
      </c>
      <c r="N88" s="17" t="str" cm="1">
        <f t="array" ref="N88">_xlfn.IFS(K88=0,"Matched", K88&gt;100,"High", K88&gt;=50,"Medium", K88&lt;50,"Low")</f>
        <v>Medium</v>
      </c>
      <c r="O88" s="17" t="str">
        <f t="shared" si="5"/>
        <v>No</v>
      </c>
    </row>
    <row r="89" spans="2:15" x14ac:dyDescent="0.3">
      <c r="B89" s="7">
        <v>87</v>
      </c>
      <c r="C89" s="3" t="s">
        <v>93</v>
      </c>
      <c r="D89" s="2" t="s">
        <v>1038</v>
      </c>
      <c r="E89" s="3" t="s">
        <v>1007</v>
      </c>
      <c r="F89" s="3">
        <v>65</v>
      </c>
      <c r="G89" s="3">
        <v>72</v>
      </c>
      <c r="H89" s="8">
        <v>5000</v>
      </c>
      <c r="I89" s="48">
        <f>Table13[[#This Row],[Physical_Stock_Qty]]-Table13[[#This Row],[System_Stock_Qty]]</f>
        <v>7</v>
      </c>
      <c r="J89" s="53" t="str" cm="1">
        <f t="array" ref="J89">_xlfn.IFS(I89=0,"Matched",I89&gt;0,"Excess",I89&lt;0,"Shortage")</f>
        <v>Excess</v>
      </c>
      <c r="K89" s="50">
        <f>ABS(Table13[[#This Row],[Stock Difference]])</f>
        <v>7</v>
      </c>
      <c r="L89" s="17">
        <f t="shared" si="3"/>
        <v>35000</v>
      </c>
      <c r="M89" s="17">
        <f t="shared" si="4"/>
        <v>325000</v>
      </c>
      <c r="N89" s="17" t="str" cm="1">
        <f t="array" ref="N89">_xlfn.IFS(K89=0,"Matched", K89&gt;100,"High", K89&gt;=50,"Medium", K89&lt;50,"Low")</f>
        <v>Low</v>
      </c>
      <c r="O89" s="17" t="str">
        <f t="shared" si="5"/>
        <v>No</v>
      </c>
    </row>
    <row r="90" spans="2:15" x14ac:dyDescent="0.3">
      <c r="B90" s="7">
        <v>88</v>
      </c>
      <c r="C90" s="3" t="s">
        <v>94</v>
      </c>
      <c r="D90" s="2" t="s">
        <v>1084</v>
      </c>
      <c r="E90" s="3" t="s">
        <v>1011</v>
      </c>
      <c r="F90" s="3">
        <v>174</v>
      </c>
      <c r="G90" s="3">
        <v>115</v>
      </c>
      <c r="H90" s="8">
        <v>2000</v>
      </c>
      <c r="I90" s="48">
        <f>Table13[[#This Row],[Physical_Stock_Qty]]-Table13[[#This Row],[System_Stock_Qty]]</f>
        <v>-59</v>
      </c>
      <c r="J90" s="53" t="str" cm="1">
        <f t="array" ref="J90">_xlfn.IFS(I90=0,"Matched",I90&gt;0,"Excess",I90&lt;0,"Shortage")</f>
        <v>Shortage</v>
      </c>
      <c r="K90" s="50">
        <f>ABS(Table13[[#This Row],[Stock Difference]])</f>
        <v>59</v>
      </c>
      <c r="L90" s="17">
        <f t="shared" si="3"/>
        <v>118000</v>
      </c>
      <c r="M90" s="17">
        <f t="shared" si="4"/>
        <v>348000</v>
      </c>
      <c r="N90" s="17" t="str" cm="1">
        <f t="array" ref="N90">_xlfn.IFS(K90=0,"Matched", K90&gt;100,"High", K90&gt;=50,"Medium", K90&lt;50,"Low")</f>
        <v>Medium</v>
      </c>
      <c r="O90" s="17" t="str">
        <f t="shared" si="5"/>
        <v>No</v>
      </c>
    </row>
    <row r="91" spans="2:15" x14ac:dyDescent="0.3">
      <c r="B91" s="7">
        <v>89</v>
      </c>
      <c r="C91" s="3" t="s">
        <v>95</v>
      </c>
      <c r="D91" s="2" t="s">
        <v>1034</v>
      </c>
      <c r="E91" s="3" t="s">
        <v>1008</v>
      </c>
      <c r="F91" s="3">
        <v>132</v>
      </c>
      <c r="G91" s="3">
        <v>48</v>
      </c>
      <c r="H91" s="8">
        <v>50000</v>
      </c>
      <c r="I91" s="48">
        <f>Table13[[#This Row],[Physical_Stock_Qty]]-Table13[[#This Row],[System_Stock_Qty]]</f>
        <v>-84</v>
      </c>
      <c r="J91" s="53" t="str" cm="1">
        <f t="array" ref="J91">_xlfn.IFS(I91=0,"Matched",I91&gt;0,"Excess",I91&lt;0,"Shortage")</f>
        <v>Shortage</v>
      </c>
      <c r="K91" s="50">
        <f>ABS(Table13[[#This Row],[Stock Difference]])</f>
        <v>84</v>
      </c>
      <c r="L91" s="17">
        <f t="shared" si="3"/>
        <v>4200000</v>
      </c>
      <c r="M91" s="17">
        <f t="shared" si="4"/>
        <v>6600000</v>
      </c>
      <c r="N91" s="17" t="str" cm="1">
        <f t="array" ref="N91">_xlfn.IFS(K91=0,"Matched", K91&gt;100,"High", K91&gt;=50,"Medium", K91&lt;50,"Low")</f>
        <v>Medium</v>
      </c>
      <c r="O91" s="17" t="str">
        <f t="shared" si="5"/>
        <v>Yes</v>
      </c>
    </row>
    <row r="92" spans="2:15" x14ac:dyDescent="0.3">
      <c r="B92" s="7">
        <v>90</v>
      </c>
      <c r="C92" s="3" t="s">
        <v>96</v>
      </c>
      <c r="D92" s="2" t="s">
        <v>1028</v>
      </c>
      <c r="E92" s="3" t="s">
        <v>1008</v>
      </c>
      <c r="F92" s="3">
        <v>114</v>
      </c>
      <c r="G92" s="3">
        <v>188</v>
      </c>
      <c r="H92" s="8">
        <v>15000</v>
      </c>
      <c r="I92" s="48">
        <f>Table13[[#This Row],[Physical_Stock_Qty]]-Table13[[#This Row],[System_Stock_Qty]]</f>
        <v>74</v>
      </c>
      <c r="J92" s="53" t="str" cm="1">
        <f t="array" ref="J92">_xlfn.IFS(I92=0,"Matched",I92&gt;0,"Excess",I92&lt;0,"Shortage")</f>
        <v>Excess</v>
      </c>
      <c r="K92" s="50">
        <f>ABS(Table13[[#This Row],[Stock Difference]])</f>
        <v>74</v>
      </c>
      <c r="L92" s="17">
        <f t="shared" si="3"/>
        <v>1110000</v>
      </c>
      <c r="M92" s="17">
        <f t="shared" si="4"/>
        <v>1710000</v>
      </c>
      <c r="N92" s="17" t="str" cm="1">
        <f t="array" ref="N92">_xlfn.IFS(K92=0,"Matched", K92&gt;100,"High", K92&gt;=50,"Medium", K92&lt;50,"Low")</f>
        <v>Medium</v>
      </c>
      <c r="O92" s="17" t="str">
        <f t="shared" si="5"/>
        <v>Yes</v>
      </c>
    </row>
    <row r="93" spans="2:15" x14ac:dyDescent="0.3">
      <c r="B93" s="7">
        <v>91</v>
      </c>
      <c r="C93" s="3" t="s">
        <v>97</v>
      </c>
      <c r="D93" s="2" t="s">
        <v>1038</v>
      </c>
      <c r="E93" s="3" t="s">
        <v>1007</v>
      </c>
      <c r="F93" s="3">
        <v>69</v>
      </c>
      <c r="G93" s="3">
        <v>61</v>
      </c>
      <c r="H93" s="8">
        <v>5000</v>
      </c>
      <c r="I93" s="48">
        <f>Table13[[#This Row],[Physical_Stock_Qty]]-Table13[[#This Row],[System_Stock_Qty]]</f>
        <v>-8</v>
      </c>
      <c r="J93" s="53" t="str" cm="1">
        <f t="array" ref="J93">_xlfn.IFS(I93=0,"Matched",I93&gt;0,"Excess",I93&lt;0,"Shortage")</f>
        <v>Shortage</v>
      </c>
      <c r="K93" s="50">
        <f>ABS(Table13[[#This Row],[Stock Difference]])</f>
        <v>8</v>
      </c>
      <c r="L93" s="17">
        <f t="shared" si="3"/>
        <v>40000</v>
      </c>
      <c r="M93" s="17">
        <f t="shared" si="4"/>
        <v>345000</v>
      </c>
      <c r="N93" s="17" t="str" cm="1">
        <f t="array" ref="N93">_xlfn.IFS(K93=0,"Matched", K93&gt;100,"High", K93&gt;=50,"Medium", K93&lt;50,"Low")</f>
        <v>Low</v>
      </c>
      <c r="O93" s="17" t="str">
        <f t="shared" si="5"/>
        <v>No</v>
      </c>
    </row>
    <row r="94" spans="2:15" x14ac:dyDescent="0.3">
      <c r="B94" s="7">
        <v>92</v>
      </c>
      <c r="C94" s="3" t="s">
        <v>98</v>
      </c>
      <c r="D94" s="2" t="s">
        <v>1033</v>
      </c>
      <c r="E94" s="3" t="s">
        <v>1008</v>
      </c>
      <c r="F94" s="3">
        <v>108</v>
      </c>
      <c r="G94" s="3">
        <v>30</v>
      </c>
      <c r="H94" s="8">
        <v>4000</v>
      </c>
      <c r="I94" s="48">
        <f>Table13[[#This Row],[Physical_Stock_Qty]]-Table13[[#This Row],[System_Stock_Qty]]</f>
        <v>-78</v>
      </c>
      <c r="J94" s="53" t="str" cm="1">
        <f t="array" ref="J94">_xlfn.IFS(I94=0,"Matched",I94&gt;0,"Excess",I94&lt;0,"Shortage")</f>
        <v>Shortage</v>
      </c>
      <c r="K94" s="50">
        <f>ABS(Table13[[#This Row],[Stock Difference]])</f>
        <v>78</v>
      </c>
      <c r="L94" s="17">
        <f t="shared" si="3"/>
        <v>312000</v>
      </c>
      <c r="M94" s="17">
        <f t="shared" si="4"/>
        <v>432000</v>
      </c>
      <c r="N94" s="17" t="str" cm="1">
        <f t="array" ref="N94">_xlfn.IFS(K94=0,"Matched", K94&gt;100,"High", K94&gt;=50,"Medium", K94&lt;50,"Low")</f>
        <v>Medium</v>
      </c>
      <c r="O94" s="17" t="str">
        <f t="shared" si="5"/>
        <v>No</v>
      </c>
    </row>
    <row r="95" spans="2:15" x14ac:dyDescent="0.3">
      <c r="B95" s="7">
        <v>93</v>
      </c>
      <c r="C95" s="3" t="s">
        <v>99</v>
      </c>
      <c r="D95" s="2" t="s">
        <v>1066</v>
      </c>
      <c r="E95" s="3" t="s">
        <v>1009</v>
      </c>
      <c r="F95" s="3">
        <v>53</v>
      </c>
      <c r="G95" s="3">
        <v>147</v>
      </c>
      <c r="H95" s="8">
        <v>800</v>
      </c>
      <c r="I95" s="48">
        <f>Table13[[#This Row],[Physical_Stock_Qty]]-Table13[[#This Row],[System_Stock_Qty]]</f>
        <v>94</v>
      </c>
      <c r="J95" s="53" t="str" cm="1">
        <f t="array" ref="J95">_xlfn.IFS(I95=0,"Matched",I95&gt;0,"Excess",I95&lt;0,"Shortage")</f>
        <v>Excess</v>
      </c>
      <c r="K95" s="50">
        <f>ABS(Table13[[#This Row],[Stock Difference]])</f>
        <v>94</v>
      </c>
      <c r="L95" s="17">
        <f t="shared" si="3"/>
        <v>75200</v>
      </c>
      <c r="M95" s="17">
        <f t="shared" si="4"/>
        <v>42400</v>
      </c>
      <c r="N95" s="17" t="str" cm="1">
        <f t="array" ref="N95">_xlfn.IFS(K95=0,"Matched", K95&gt;100,"High", K95&gt;=50,"Medium", K95&lt;50,"Low")</f>
        <v>Medium</v>
      </c>
      <c r="O95" s="17" t="str">
        <f t="shared" si="5"/>
        <v>No</v>
      </c>
    </row>
    <row r="96" spans="2:15" x14ac:dyDescent="0.3">
      <c r="B96" s="7">
        <v>94</v>
      </c>
      <c r="C96" s="3" t="s">
        <v>100</v>
      </c>
      <c r="D96" s="2" t="s">
        <v>1055</v>
      </c>
      <c r="E96" s="3" t="s">
        <v>1010</v>
      </c>
      <c r="F96" s="3">
        <v>181</v>
      </c>
      <c r="G96" s="3">
        <v>84</v>
      </c>
      <c r="H96" s="8">
        <v>50</v>
      </c>
      <c r="I96" s="48">
        <f>Table13[[#This Row],[Physical_Stock_Qty]]-Table13[[#This Row],[System_Stock_Qty]]</f>
        <v>-97</v>
      </c>
      <c r="J96" s="53" t="str" cm="1">
        <f t="array" ref="J96">_xlfn.IFS(I96=0,"Matched",I96&gt;0,"Excess",I96&lt;0,"Shortage")</f>
        <v>Shortage</v>
      </c>
      <c r="K96" s="50">
        <f>ABS(Table13[[#This Row],[Stock Difference]])</f>
        <v>97</v>
      </c>
      <c r="L96" s="17">
        <f t="shared" si="3"/>
        <v>4850</v>
      </c>
      <c r="M96" s="17">
        <f t="shared" si="4"/>
        <v>9050</v>
      </c>
      <c r="N96" s="17" t="str" cm="1">
        <f t="array" ref="N96">_xlfn.IFS(K96=0,"Matched", K96&gt;100,"High", K96&gt;=50,"Medium", K96&lt;50,"Low")</f>
        <v>Medium</v>
      </c>
      <c r="O96" s="17" t="str">
        <f t="shared" si="5"/>
        <v>No</v>
      </c>
    </row>
    <row r="97" spans="2:15" x14ac:dyDescent="0.3">
      <c r="B97" s="7">
        <v>95</v>
      </c>
      <c r="C97" s="3" t="s">
        <v>101</v>
      </c>
      <c r="D97" s="2" t="s">
        <v>1086</v>
      </c>
      <c r="E97" s="3" t="s">
        <v>1011</v>
      </c>
      <c r="F97" s="3">
        <v>153</v>
      </c>
      <c r="G97" s="3">
        <v>42</v>
      </c>
      <c r="H97" s="8">
        <v>4500</v>
      </c>
      <c r="I97" s="48">
        <f>Table13[[#This Row],[Physical_Stock_Qty]]-Table13[[#This Row],[System_Stock_Qty]]</f>
        <v>-111</v>
      </c>
      <c r="J97" s="53" t="str" cm="1">
        <f t="array" ref="J97">_xlfn.IFS(I97=0,"Matched",I97&gt;0,"Excess",I97&lt;0,"Shortage")</f>
        <v>Shortage</v>
      </c>
      <c r="K97" s="50">
        <f>ABS(Table13[[#This Row],[Stock Difference]])</f>
        <v>111</v>
      </c>
      <c r="L97" s="17">
        <f t="shared" si="3"/>
        <v>499500</v>
      </c>
      <c r="M97" s="17">
        <f t="shared" si="4"/>
        <v>688500</v>
      </c>
      <c r="N97" s="17" t="str" cm="1">
        <f t="array" ref="N97">_xlfn.IFS(K97=0,"Matched", K97&gt;100,"High", K97&gt;=50,"Medium", K97&lt;50,"Low")</f>
        <v>High</v>
      </c>
      <c r="O97" s="17" t="str">
        <f t="shared" si="5"/>
        <v>No</v>
      </c>
    </row>
    <row r="98" spans="2:15" x14ac:dyDescent="0.3">
      <c r="B98" s="7">
        <v>96</v>
      </c>
      <c r="C98" s="3" t="s">
        <v>102</v>
      </c>
      <c r="D98" s="2" t="s">
        <v>1022</v>
      </c>
      <c r="E98" s="3" t="s">
        <v>1008</v>
      </c>
      <c r="F98" s="3">
        <v>111</v>
      </c>
      <c r="G98" s="3">
        <v>188</v>
      </c>
      <c r="H98" s="8">
        <v>0</v>
      </c>
      <c r="I98" s="48">
        <f>Table13[[#This Row],[Physical_Stock_Qty]]-Table13[[#This Row],[System_Stock_Qty]]</f>
        <v>77</v>
      </c>
      <c r="J98" s="53" t="str" cm="1">
        <f t="array" ref="J98">_xlfn.IFS(I98=0,"Matched",I98&gt;0,"Excess",I98&lt;0,"Shortage")</f>
        <v>Excess</v>
      </c>
      <c r="K98" s="50">
        <f>ABS(Table13[[#This Row],[Stock Difference]])</f>
        <v>77</v>
      </c>
      <c r="L98" s="17">
        <f t="shared" si="3"/>
        <v>0</v>
      </c>
      <c r="M98" s="17">
        <f t="shared" si="4"/>
        <v>0</v>
      </c>
      <c r="N98" s="17" t="str" cm="1">
        <f t="array" ref="N98">_xlfn.IFS(K98=0,"Matched", K98&gt;100,"High", K98&gt;=50,"Medium", K98&lt;50,"Low")</f>
        <v>Medium</v>
      </c>
      <c r="O98" s="17" t="str">
        <f t="shared" si="5"/>
        <v>No Match</v>
      </c>
    </row>
    <row r="99" spans="2:15" x14ac:dyDescent="0.3">
      <c r="B99" s="7">
        <v>97</v>
      </c>
      <c r="C99" s="3" t="s">
        <v>103</v>
      </c>
      <c r="D99" s="2" t="s">
        <v>1066</v>
      </c>
      <c r="E99" s="3" t="s">
        <v>1009</v>
      </c>
      <c r="F99" s="3">
        <v>186</v>
      </c>
      <c r="G99" s="3">
        <v>64</v>
      </c>
      <c r="H99" s="8">
        <v>800</v>
      </c>
      <c r="I99" s="48">
        <f>Table13[[#This Row],[Physical_Stock_Qty]]-Table13[[#This Row],[System_Stock_Qty]]</f>
        <v>-122</v>
      </c>
      <c r="J99" s="53" t="str" cm="1">
        <f t="array" ref="J99">_xlfn.IFS(I99=0,"Matched",I99&gt;0,"Excess",I99&lt;0,"Shortage")</f>
        <v>Shortage</v>
      </c>
      <c r="K99" s="50">
        <f>ABS(Table13[[#This Row],[Stock Difference]])</f>
        <v>122</v>
      </c>
      <c r="L99" s="17">
        <f t="shared" si="3"/>
        <v>97600</v>
      </c>
      <c r="M99" s="17">
        <f t="shared" si="4"/>
        <v>148800</v>
      </c>
      <c r="N99" s="17" t="str" cm="1">
        <f t="array" ref="N99">_xlfn.IFS(K99=0,"Matched", K99&gt;100,"High", K99&gt;=50,"Medium", K99&lt;50,"Low")</f>
        <v>High</v>
      </c>
      <c r="O99" s="17" t="str">
        <f t="shared" si="5"/>
        <v>No</v>
      </c>
    </row>
    <row r="100" spans="2:15" x14ac:dyDescent="0.3">
      <c r="B100" s="7">
        <v>98</v>
      </c>
      <c r="C100" s="3" t="s">
        <v>104</v>
      </c>
      <c r="D100" s="2" t="s">
        <v>1023</v>
      </c>
      <c r="E100" s="3" t="s">
        <v>1008</v>
      </c>
      <c r="F100" s="3">
        <v>147</v>
      </c>
      <c r="G100" s="3">
        <v>100</v>
      </c>
      <c r="H100" s="8">
        <v>20000</v>
      </c>
      <c r="I100" s="48">
        <f>Table13[[#This Row],[Physical_Stock_Qty]]-Table13[[#This Row],[System_Stock_Qty]]</f>
        <v>-47</v>
      </c>
      <c r="J100" s="53" t="str" cm="1">
        <f t="array" ref="J100">_xlfn.IFS(I100=0,"Matched",I100&gt;0,"Excess",I100&lt;0,"Shortage")</f>
        <v>Shortage</v>
      </c>
      <c r="K100" s="50">
        <f>ABS(Table13[[#This Row],[Stock Difference]])</f>
        <v>47</v>
      </c>
      <c r="L100" s="17">
        <f t="shared" si="3"/>
        <v>940000</v>
      </c>
      <c r="M100" s="17">
        <f t="shared" si="4"/>
        <v>2940000</v>
      </c>
      <c r="N100" s="17" t="str" cm="1">
        <f t="array" ref="N100">_xlfn.IFS(K100=0,"Matched", K100&gt;100,"High", K100&gt;=50,"Medium", K100&lt;50,"Low")</f>
        <v>Low</v>
      </c>
      <c r="O100" s="17" t="str">
        <f t="shared" si="5"/>
        <v>Yes</v>
      </c>
    </row>
    <row r="101" spans="2:15" x14ac:dyDescent="0.3">
      <c r="B101" s="7">
        <v>99</v>
      </c>
      <c r="C101" s="3" t="s">
        <v>105</v>
      </c>
      <c r="D101" s="2" t="s">
        <v>1062</v>
      </c>
      <c r="E101" s="3" t="s">
        <v>1009</v>
      </c>
      <c r="F101" s="3">
        <v>172</v>
      </c>
      <c r="G101" s="3">
        <v>128</v>
      </c>
      <c r="H101" s="8">
        <v>100</v>
      </c>
      <c r="I101" s="48">
        <f>Table13[[#This Row],[Physical_Stock_Qty]]-Table13[[#This Row],[System_Stock_Qty]]</f>
        <v>-44</v>
      </c>
      <c r="J101" s="53" t="str" cm="1">
        <f t="array" ref="J101">_xlfn.IFS(I101=0,"Matched",I101&gt;0,"Excess",I101&lt;0,"Shortage")</f>
        <v>Shortage</v>
      </c>
      <c r="K101" s="50">
        <f>ABS(Table13[[#This Row],[Stock Difference]])</f>
        <v>44</v>
      </c>
      <c r="L101" s="17">
        <f t="shared" si="3"/>
        <v>4400</v>
      </c>
      <c r="M101" s="17">
        <f t="shared" si="4"/>
        <v>17200</v>
      </c>
      <c r="N101" s="17" t="str" cm="1">
        <f t="array" ref="N101">_xlfn.IFS(K101=0,"Matched", K101&gt;100,"High", K101&gt;=50,"Medium", K101&lt;50,"Low")</f>
        <v>Low</v>
      </c>
      <c r="O101" s="17" t="str">
        <f t="shared" si="5"/>
        <v>No</v>
      </c>
    </row>
    <row r="102" spans="2:15" x14ac:dyDescent="0.3">
      <c r="B102" s="7">
        <v>100</v>
      </c>
      <c r="C102" s="3" t="s">
        <v>106</v>
      </c>
      <c r="D102" s="2" t="s">
        <v>1055</v>
      </c>
      <c r="E102" s="3" t="s">
        <v>1010</v>
      </c>
      <c r="F102" s="3">
        <v>116</v>
      </c>
      <c r="G102" s="3">
        <v>129</v>
      </c>
      <c r="H102" s="8">
        <v>50</v>
      </c>
      <c r="I102" s="48">
        <f>Table13[[#This Row],[Physical_Stock_Qty]]-Table13[[#This Row],[System_Stock_Qty]]</f>
        <v>13</v>
      </c>
      <c r="J102" s="53" t="str" cm="1">
        <f t="array" ref="J102">_xlfn.IFS(I102=0,"Matched",I102&gt;0,"Excess",I102&lt;0,"Shortage")</f>
        <v>Excess</v>
      </c>
      <c r="K102" s="50">
        <f>ABS(Table13[[#This Row],[Stock Difference]])</f>
        <v>13</v>
      </c>
      <c r="L102" s="17">
        <f t="shared" si="3"/>
        <v>650</v>
      </c>
      <c r="M102" s="17">
        <f t="shared" si="4"/>
        <v>5800</v>
      </c>
      <c r="N102" s="17" t="str" cm="1">
        <f t="array" ref="N102">_xlfn.IFS(K102=0,"Matched", K102&gt;100,"High", K102&gt;=50,"Medium", K102&lt;50,"Low")</f>
        <v>Low</v>
      </c>
      <c r="O102" s="17" t="str">
        <f t="shared" si="5"/>
        <v>No</v>
      </c>
    </row>
    <row r="103" spans="2:15" x14ac:dyDescent="0.3">
      <c r="B103" s="7">
        <v>101</v>
      </c>
      <c r="C103" s="3" t="s">
        <v>107</v>
      </c>
      <c r="D103" s="2" t="s">
        <v>1081</v>
      </c>
      <c r="E103" s="3" t="s">
        <v>1011</v>
      </c>
      <c r="F103" s="3">
        <v>155</v>
      </c>
      <c r="G103" s="3">
        <v>62</v>
      </c>
      <c r="H103" s="8">
        <v>1000</v>
      </c>
      <c r="I103" s="48">
        <f>Table13[[#This Row],[Physical_Stock_Qty]]-Table13[[#This Row],[System_Stock_Qty]]</f>
        <v>-93</v>
      </c>
      <c r="J103" s="53" t="str" cm="1">
        <f t="array" ref="J103">_xlfn.IFS(I103=0,"Matched",I103&gt;0,"Excess",I103&lt;0,"Shortage")</f>
        <v>Shortage</v>
      </c>
      <c r="K103" s="50">
        <f>ABS(Table13[[#This Row],[Stock Difference]])</f>
        <v>93</v>
      </c>
      <c r="L103" s="17">
        <f t="shared" si="3"/>
        <v>93000</v>
      </c>
      <c r="M103" s="17">
        <f t="shared" si="4"/>
        <v>155000</v>
      </c>
      <c r="N103" s="17" t="str" cm="1">
        <f t="array" ref="N103">_xlfn.IFS(K103=0,"Matched", K103&gt;100,"High", K103&gt;=50,"Medium", K103&lt;50,"Low")</f>
        <v>Medium</v>
      </c>
      <c r="O103" s="17" t="str">
        <f t="shared" si="5"/>
        <v>No</v>
      </c>
    </row>
    <row r="104" spans="2:15" x14ac:dyDescent="0.3">
      <c r="B104" s="7">
        <v>102</v>
      </c>
      <c r="C104" s="3" t="s">
        <v>108</v>
      </c>
      <c r="D104" s="2" t="s">
        <v>1037</v>
      </c>
      <c r="E104" s="3" t="s">
        <v>1007</v>
      </c>
      <c r="F104" s="3">
        <v>120</v>
      </c>
      <c r="G104" s="3">
        <v>114</v>
      </c>
      <c r="H104" s="8">
        <v>10000</v>
      </c>
      <c r="I104" s="48">
        <f>Table13[[#This Row],[Physical_Stock_Qty]]-Table13[[#This Row],[System_Stock_Qty]]</f>
        <v>-6</v>
      </c>
      <c r="J104" s="53" t="str" cm="1">
        <f t="array" ref="J104">_xlfn.IFS(I104=0,"Matched",I104&gt;0,"Excess",I104&lt;0,"Shortage")</f>
        <v>Shortage</v>
      </c>
      <c r="K104" s="50">
        <f>ABS(Table13[[#This Row],[Stock Difference]])</f>
        <v>6</v>
      </c>
      <c r="L104" s="17">
        <f t="shared" si="3"/>
        <v>60000</v>
      </c>
      <c r="M104" s="17">
        <f t="shared" si="4"/>
        <v>1200000</v>
      </c>
      <c r="N104" s="17" t="str" cm="1">
        <f t="array" ref="N104">_xlfn.IFS(K104=0,"Matched", K104&gt;100,"High", K104&gt;=50,"Medium", K104&lt;50,"Low")</f>
        <v>Low</v>
      </c>
      <c r="O104" s="17" t="str">
        <f t="shared" si="5"/>
        <v>No</v>
      </c>
    </row>
    <row r="105" spans="2:15" hidden="1" x14ac:dyDescent="0.3">
      <c r="B105" s="7">
        <v>103</v>
      </c>
      <c r="C105" s="3" t="s">
        <v>109</v>
      </c>
      <c r="D105" s="2" t="s">
        <v>1039</v>
      </c>
      <c r="E105" s="3" t="s">
        <v>1007</v>
      </c>
      <c r="F105" s="3">
        <v>197</v>
      </c>
      <c r="G105" s="3">
        <v>197</v>
      </c>
      <c r="H105" s="8">
        <v>12000</v>
      </c>
      <c r="I105" s="48">
        <f>Table13[[#This Row],[Physical_Stock_Qty]]-Table13[[#This Row],[System_Stock_Qty]]</f>
        <v>0</v>
      </c>
      <c r="J105" s="53" t="str" cm="1">
        <f t="array" ref="J105">_xlfn.IFS(I105=0,"Matched",I105&gt;0,"Excess",I105&lt;0,"Shortage")</f>
        <v>Matched</v>
      </c>
      <c r="K105" s="50">
        <f>ABS(Table13[[#This Row],[Stock Difference]])</f>
        <v>0</v>
      </c>
      <c r="L105" s="17">
        <f t="shared" si="3"/>
        <v>0</v>
      </c>
      <c r="M105" s="17">
        <f t="shared" si="4"/>
        <v>2364000</v>
      </c>
      <c r="N105" s="17" t="str" cm="1">
        <f t="array" ref="N105">_xlfn.IFS(K105=0,"Matched", K105&gt;100,"High", K105&gt;=50,"Medium", K105&lt;50,"Low")</f>
        <v>Matched</v>
      </c>
      <c r="O105" s="17" t="str">
        <f t="shared" si="5"/>
        <v>No Match</v>
      </c>
    </row>
    <row r="106" spans="2:15" x14ac:dyDescent="0.3">
      <c r="B106" s="7">
        <v>104</v>
      </c>
      <c r="C106" s="3" t="s">
        <v>110</v>
      </c>
      <c r="D106" s="2" t="s">
        <v>1062</v>
      </c>
      <c r="E106" s="3" t="s">
        <v>1009</v>
      </c>
      <c r="F106" s="3">
        <v>176</v>
      </c>
      <c r="G106" s="3">
        <v>147</v>
      </c>
      <c r="H106" s="8">
        <v>100</v>
      </c>
      <c r="I106" s="48">
        <f>Table13[[#This Row],[Physical_Stock_Qty]]-Table13[[#This Row],[System_Stock_Qty]]</f>
        <v>-29</v>
      </c>
      <c r="J106" s="53" t="str" cm="1">
        <f t="array" ref="J106">_xlfn.IFS(I106=0,"Matched",I106&gt;0,"Excess",I106&lt;0,"Shortage")</f>
        <v>Shortage</v>
      </c>
      <c r="K106" s="50">
        <f>ABS(Table13[[#This Row],[Stock Difference]])</f>
        <v>29</v>
      </c>
      <c r="L106" s="17">
        <f t="shared" si="3"/>
        <v>2900</v>
      </c>
      <c r="M106" s="17">
        <f t="shared" si="4"/>
        <v>17600</v>
      </c>
      <c r="N106" s="17" t="str" cm="1">
        <f t="array" ref="N106">_xlfn.IFS(K106=0,"Matched", K106&gt;100,"High", K106&gt;=50,"Medium", K106&lt;50,"Low")</f>
        <v>Low</v>
      </c>
      <c r="O106" s="17" t="str">
        <f t="shared" si="5"/>
        <v>No</v>
      </c>
    </row>
    <row r="107" spans="2:15" x14ac:dyDescent="0.3">
      <c r="B107" s="7">
        <v>105</v>
      </c>
      <c r="C107" s="3" t="s">
        <v>111</v>
      </c>
      <c r="D107" s="2" t="s">
        <v>1080</v>
      </c>
      <c r="E107" s="3" t="s">
        <v>1011</v>
      </c>
      <c r="F107" s="3">
        <v>35</v>
      </c>
      <c r="G107" s="3">
        <v>184</v>
      </c>
      <c r="H107" s="8">
        <v>2500</v>
      </c>
      <c r="I107" s="48">
        <f>Table13[[#This Row],[Physical_Stock_Qty]]-Table13[[#This Row],[System_Stock_Qty]]</f>
        <v>149</v>
      </c>
      <c r="J107" s="53" t="str" cm="1">
        <f t="array" ref="J107">_xlfn.IFS(I107=0,"Matched",I107&gt;0,"Excess",I107&lt;0,"Shortage")</f>
        <v>Excess</v>
      </c>
      <c r="K107" s="50">
        <f>ABS(Table13[[#This Row],[Stock Difference]])</f>
        <v>149</v>
      </c>
      <c r="L107" s="17">
        <f t="shared" si="3"/>
        <v>372500</v>
      </c>
      <c r="M107" s="17">
        <f t="shared" si="4"/>
        <v>87500</v>
      </c>
      <c r="N107" s="17" t="str" cm="1">
        <f t="array" ref="N107">_xlfn.IFS(K107=0,"Matched", K107&gt;100,"High", K107&gt;=50,"Medium", K107&lt;50,"Low")</f>
        <v>High</v>
      </c>
      <c r="O107" s="17" t="str">
        <f t="shared" si="5"/>
        <v>No</v>
      </c>
    </row>
    <row r="108" spans="2:15" x14ac:dyDescent="0.3">
      <c r="B108" s="7">
        <v>106</v>
      </c>
      <c r="C108" s="3" t="s">
        <v>112</v>
      </c>
      <c r="D108" s="2" t="s">
        <v>1065</v>
      </c>
      <c r="E108" s="3" t="s">
        <v>1009</v>
      </c>
      <c r="F108" s="3">
        <v>62</v>
      </c>
      <c r="G108" s="3">
        <v>166</v>
      </c>
      <c r="H108" s="8">
        <v>200</v>
      </c>
      <c r="I108" s="48">
        <f>Table13[[#This Row],[Physical_Stock_Qty]]-Table13[[#This Row],[System_Stock_Qty]]</f>
        <v>104</v>
      </c>
      <c r="J108" s="53" t="str" cm="1">
        <f t="array" ref="J108">_xlfn.IFS(I108=0,"Matched",I108&gt;0,"Excess",I108&lt;0,"Shortage")</f>
        <v>Excess</v>
      </c>
      <c r="K108" s="50">
        <f>ABS(Table13[[#This Row],[Stock Difference]])</f>
        <v>104</v>
      </c>
      <c r="L108" s="17">
        <f t="shared" si="3"/>
        <v>20800</v>
      </c>
      <c r="M108" s="17">
        <f t="shared" si="4"/>
        <v>12400</v>
      </c>
      <c r="N108" s="17" t="str" cm="1">
        <f t="array" ref="N108">_xlfn.IFS(K108=0,"Matched", K108&gt;100,"High", K108&gt;=50,"Medium", K108&lt;50,"Low")</f>
        <v>High</v>
      </c>
      <c r="O108" s="17" t="str">
        <f t="shared" si="5"/>
        <v>No</v>
      </c>
    </row>
    <row r="109" spans="2:15" x14ac:dyDescent="0.3">
      <c r="B109" s="7">
        <v>107</v>
      </c>
      <c r="C109" s="3" t="s">
        <v>113</v>
      </c>
      <c r="D109" s="2" t="s">
        <v>1081</v>
      </c>
      <c r="E109" s="3" t="s">
        <v>1011</v>
      </c>
      <c r="F109" s="3">
        <v>165</v>
      </c>
      <c r="G109" s="3">
        <v>176</v>
      </c>
      <c r="H109" s="8">
        <v>1000</v>
      </c>
      <c r="I109" s="48">
        <f>Table13[[#This Row],[Physical_Stock_Qty]]-Table13[[#This Row],[System_Stock_Qty]]</f>
        <v>11</v>
      </c>
      <c r="J109" s="53" t="str" cm="1">
        <f t="array" ref="J109">_xlfn.IFS(I109=0,"Matched",I109&gt;0,"Excess",I109&lt;0,"Shortage")</f>
        <v>Excess</v>
      </c>
      <c r="K109" s="50">
        <f>ABS(Table13[[#This Row],[Stock Difference]])</f>
        <v>11</v>
      </c>
      <c r="L109" s="17">
        <f t="shared" si="3"/>
        <v>11000</v>
      </c>
      <c r="M109" s="17">
        <f t="shared" si="4"/>
        <v>165000</v>
      </c>
      <c r="N109" s="17" t="str" cm="1">
        <f t="array" ref="N109">_xlfn.IFS(K109=0,"Matched", K109&gt;100,"High", K109&gt;=50,"Medium", K109&lt;50,"Low")</f>
        <v>Low</v>
      </c>
      <c r="O109" s="17" t="str">
        <f t="shared" si="5"/>
        <v>No</v>
      </c>
    </row>
    <row r="110" spans="2:15" hidden="1" x14ac:dyDescent="0.3">
      <c r="B110" s="7">
        <v>108</v>
      </c>
      <c r="C110" s="3" t="s">
        <v>114</v>
      </c>
      <c r="D110" s="2" t="s">
        <v>1039</v>
      </c>
      <c r="E110" s="3" t="s">
        <v>1007</v>
      </c>
      <c r="F110" s="3">
        <v>141</v>
      </c>
      <c r="G110" s="3">
        <v>141</v>
      </c>
      <c r="H110" s="8">
        <v>12000</v>
      </c>
      <c r="I110" s="48">
        <f>Table13[[#This Row],[Physical_Stock_Qty]]-Table13[[#This Row],[System_Stock_Qty]]</f>
        <v>0</v>
      </c>
      <c r="J110" s="53" t="str" cm="1">
        <f t="array" ref="J110">_xlfn.IFS(I110=0,"Matched",I110&gt;0,"Excess",I110&lt;0,"Shortage")</f>
        <v>Matched</v>
      </c>
      <c r="K110" s="50">
        <f>ABS(Table13[[#This Row],[Stock Difference]])</f>
        <v>0</v>
      </c>
      <c r="L110" s="17">
        <f t="shared" si="3"/>
        <v>0</v>
      </c>
      <c r="M110" s="17">
        <f t="shared" si="4"/>
        <v>1692000</v>
      </c>
      <c r="N110" s="17" t="str" cm="1">
        <f t="array" ref="N110">_xlfn.IFS(K110=0,"Matched", K110&gt;100,"High", K110&gt;=50,"Medium", K110&lt;50,"Low")</f>
        <v>Matched</v>
      </c>
      <c r="O110" s="17" t="str">
        <f t="shared" si="5"/>
        <v>No Match</v>
      </c>
    </row>
    <row r="111" spans="2:15" hidden="1" x14ac:dyDescent="0.3">
      <c r="B111" s="7">
        <v>109</v>
      </c>
      <c r="C111" s="3" t="s">
        <v>115</v>
      </c>
      <c r="D111" s="2" t="s">
        <v>1049</v>
      </c>
      <c r="E111" s="3" t="s">
        <v>1010</v>
      </c>
      <c r="F111" s="3">
        <v>107</v>
      </c>
      <c r="G111" s="3">
        <v>107</v>
      </c>
      <c r="H111" s="8">
        <v>20</v>
      </c>
      <c r="I111" s="48">
        <f>Table13[[#This Row],[Physical_Stock_Qty]]-Table13[[#This Row],[System_Stock_Qty]]</f>
        <v>0</v>
      </c>
      <c r="J111" s="53" t="str" cm="1">
        <f t="array" ref="J111">_xlfn.IFS(I111=0,"Matched",I111&gt;0,"Excess",I111&lt;0,"Shortage")</f>
        <v>Matched</v>
      </c>
      <c r="K111" s="50">
        <f>ABS(Table13[[#This Row],[Stock Difference]])</f>
        <v>0</v>
      </c>
      <c r="L111" s="17">
        <f t="shared" si="3"/>
        <v>0</v>
      </c>
      <c r="M111" s="17">
        <f t="shared" si="4"/>
        <v>2140</v>
      </c>
      <c r="N111" s="17" t="str" cm="1">
        <f t="array" ref="N111">_xlfn.IFS(K111=0,"Matched", K111&gt;100,"High", K111&gt;=50,"Medium", K111&lt;50,"Low")</f>
        <v>Matched</v>
      </c>
      <c r="O111" s="17" t="str">
        <f t="shared" si="5"/>
        <v>No Match</v>
      </c>
    </row>
    <row r="112" spans="2:15" hidden="1" x14ac:dyDescent="0.3">
      <c r="B112" s="7">
        <v>110</v>
      </c>
      <c r="C112" s="3" t="s">
        <v>116</v>
      </c>
      <c r="D112" s="2" t="s">
        <v>1066</v>
      </c>
      <c r="E112" s="3" t="s">
        <v>1009</v>
      </c>
      <c r="F112" s="3">
        <v>190</v>
      </c>
      <c r="G112" s="3">
        <v>190</v>
      </c>
      <c r="H112" s="8">
        <v>800</v>
      </c>
      <c r="I112" s="48">
        <f>Table13[[#This Row],[Physical_Stock_Qty]]-Table13[[#This Row],[System_Stock_Qty]]</f>
        <v>0</v>
      </c>
      <c r="J112" s="53" t="str" cm="1">
        <f t="array" ref="J112">_xlfn.IFS(I112=0,"Matched",I112&gt;0,"Excess",I112&lt;0,"Shortage")</f>
        <v>Matched</v>
      </c>
      <c r="K112" s="50">
        <f>ABS(Table13[[#This Row],[Stock Difference]])</f>
        <v>0</v>
      </c>
      <c r="L112" s="17">
        <f t="shared" si="3"/>
        <v>0</v>
      </c>
      <c r="M112" s="17">
        <f t="shared" si="4"/>
        <v>152000</v>
      </c>
      <c r="N112" s="17" t="str" cm="1">
        <f t="array" ref="N112">_xlfn.IFS(K112=0,"Matched", K112&gt;100,"High", K112&gt;=50,"Medium", K112&lt;50,"Low")</f>
        <v>Matched</v>
      </c>
      <c r="O112" s="17" t="str">
        <f t="shared" si="5"/>
        <v>No Match</v>
      </c>
    </row>
    <row r="113" spans="2:15" hidden="1" x14ac:dyDescent="0.3">
      <c r="B113" s="7">
        <v>111</v>
      </c>
      <c r="C113" s="3" t="s">
        <v>117</v>
      </c>
      <c r="D113" s="2" t="s">
        <v>1067</v>
      </c>
      <c r="E113" s="3" t="s">
        <v>1009</v>
      </c>
      <c r="F113" s="3">
        <v>106</v>
      </c>
      <c r="G113" s="3">
        <v>106</v>
      </c>
      <c r="H113" s="8">
        <v>100</v>
      </c>
      <c r="I113" s="48">
        <f>Table13[[#This Row],[Physical_Stock_Qty]]-Table13[[#This Row],[System_Stock_Qty]]</f>
        <v>0</v>
      </c>
      <c r="J113" s="53" t="str" cm="1">
        <f t="array" ref="J113">_xlfn.IFS(I113=0,"Matched",I113&gt;0,"Excess",I113&lt;0,"Shortage")</f>
        <v>Matched</v>
      </c>
      <c r="K113" s="50">
        <f>ABS(Table13[[#This Row],[Stock Difference]])</f>
        <v>0</v>
      </c>
      <c r="L113" s="17">
        <f t="shared" si="3"/>
        <v>0</v>
      </c>
      <c r="M113" s="17">
        <f t="shared" si="4"/>
        <v>10600</v>
      </c>
      <c r="N113" s="17" t="str" cm="1">
        <f t="array" ref="N113">_xlfn.IFS(K113=0,"Matched", K113&gt;100,"High", K113&gt;=50,"Medium", K113&lt;50,"Low")</f>
        <v>Matched</v>
      </c>
      <c r="O113" s="17" t="str">
        <f t="shared" si="5"/>
        <v>No Match</v>
      </c>
    </row>
    <row r="114" spans="2:15" hidden="1" x14ac:dyDescent="0.3">
      <c r="B114" s="7">
        <v>112</v>
      </c>
      <c r="C114" s="3" t="s">
        <v>118</v>
      </c>
      <c r="D114" s="2" t="s">
        <v>1079</v>
      </c>
      <c r="E114" s="3" t="s">
        <v>1011</v>
      </c>
      <c r="F114" s="3">
        <v>185</v>
      </c>
      <c r="G114" s="3">
        <v>185</v>
      </c>
      <c r="H114" s="8">
        <v>5000</v>
      </c>
      <c r="I114" s="48">
        <f>Table13[[#This Row],[Physical_Stock_Qty]]-Table13[[#This Row],[System_Stock_Qty]]</f>
        <v>0</v>
      </c>
      <c r="J114" s="53" t="str" cm="1">
        <f t="array" ref="J114">_xlfn.IFS(I114=0,"Matched",I114&gt;0,"Excess",I114&lt;0,"Shortage")</f>
        <v>Matched</v>
      </c>
      <c r="K114" s="50">
        <f>ABS(Table13[[#This Row],[Stock Difference]])</f>
        <v>0</v>
      </c>
      <c r="L114" s="17">
        <f t="shared" si="3"/>
        <v>0</v>
      </c>
      <c r="M114" s="17">
        <f t="shared" si="4"/>
        <v>925000</v>
      </c>
      <c r="N114" s="17" t="str" cm="1">
        <f t="array" ref="N114">_xlfn.IFS(K114=0,"Matched", K114&gt;100,"High", K114&gt;=50,"Medium", K114&lt;50,"Low")</f>
        <v>Matched</v>
      </c>
      <c r="O114" s="17" t="str">
        <f t="shared" si="5"/>
        <v>No Match</v>
      </c>
    </row>
    <row r="115" spans="2:15" hidden="1" x14ac:dyDescent="0.3">
      <c r="B115" s="7">
        <v>113</v>
      </c>
      <c r="C115" s="3" t="s">
        <v>119</v>
      </c>
      <c r="D115" s="2" t="s">
        <v>1065</v>
      </c>
      <c r="E115" s="3" t="s">
        <v>1009</v>
      </c>
      <c r="F115" s="3">
        <v>45</v>
      </c>
      <c r="G115" s="3">
        <v>45</v>
      </c>
      <c r="H115" s="8">
        <v>200</v>
      </c>
      <c r="I115" s="48">
        <f>Table13[[#This Row],[Physical_Stock_Qty]]-Table13[[#This Row],[System_Stock_Qty]]</f>
        <v>0</v>
      </c>
      <c r="J115" s="53" t="str" cm="1">
        <f t="array" ref="J115">_xlfn.IFS(I115=0,"Matched",I115&gt;0,"Excess",I115&lt;0,"Shortage")</f>
        <v>Matched</v>
      </c>
      <c r="K115" s="50">
        <f>ABS(Table13[[#This Row],[Stock Difference]])</f>
        <v>0</v>
      </c>
      <c r="L115" s="17">
        <f t="shared" si="3"/>
        <v>0</v>
      </c>
      <c r="M115" s="17">
        <f t="shared" si="4"/>
        <v>9000</v>
      </c>
      <c r="N115" s="17" t="str" cm="1">
        <f t="array" ref="N115">_xlfn.IFS(K115=0,"Matched", K115&gt;100,"High", K115&gt;=50,"Medium", K115&lt;50,"Low")</f>
        <v>Matched</v>
      </c>
      <c r="O115" s="17" t="str">
        <f t="shared" si="5"/>
        <v>No Match</v>
      </c>
    </row>
    <row r="116" spans="2:15" hidden="1" x14ac:dyDescent="0.3">
      <c r="B116" s="7">
        <v>114</v>
      </c>
      <c r="C116" s="3" t="s">
        <v>120</v>
      </c>
      <c r="D116" s="2" t="s">
        <v>1059</v>
      </c>
      <c r="E116" s="3" t="s">
        <v>1012</v>
      </c>
      <c r="F116" s="3">
        <v>72</v>
      </c>
      <c r="G116" s="3">
        <v>72</v>
      </c>
      <c r="H116" s="8">
        <v>200</v>
      </c>
      <c r="I116" s="48">
        <f>Table13[[#This Row],[Physical_Stock_Qty]]-Table13[[#This Row],[System_Stock_Qty]]</f>
        <v>0</v>
      </c>
      <c r="J116" s="53" t="str" cm="1">
        <f t="array" ref="J116">_xlfn.IFS(I116=0,"Matched",I116&gt;0,"Excess",I116&lt;0,"Shortage")</f>
        <v>Matched</v>
      </c>
      <c r="K116" s="50">
        <f>ABS(Table13[[#This Row],[Stock Difference]])</f>
        <v>0</v>
      </c>
      <c r="L116" s="17">
        <f t="shared" si="3"/>
        <v>0</v>
      </c>
      <c r="M116" s="17">
        <f t="shared" si="4"/>
        <v>14400</v>
      </c>
      <c r="N116" s="17" t="str" cm="1">
        <f t="array" ref="N116">_xlfn.IFS(K116=0,"Matched", K116&gt;100,"High", K116&gt;=50,"Medium", K116&lt;50,"Low")</f>
        <v>Matched</v>
      </c>
      <c r="O116" s="17" t="str">
        <f t="shared" si="5"/>
        <v>No Match</v>
      </c>
    </row>
    <row r="117" spans="2:15" hidden="1" x14ac:dyDescent="0.3">
      <c r="B117" s="7">
        <v>115</v>
      </c>
      <c r="C117" s="3" t="s">
        <v>121</v>
      </c>
      <c r="D117" s="2" t="s">
        <v>1071</v>
      </c>
      <c r="E117" s="3" t="s">
        <v>1009</v>
      </c>
      <c r="F117" s="3">
        <v>46</v>
      </c>
      <c r="G117" s="3">
        <v>46</v>
      </c>
      <c r="H117" s="8">
        <v>200</v>
      </c>
      <c r="I117" s="48">
        <f>Table13[[#This Row],[Physical_Stock_Qty]]-Table13[[#This Row],[System_Stock_Qty]]</f>
        <v>0</v>
      </c>
      <c r="J117" s="53" t="str" cm="1">
        <f t="array" ref="J117">_xlfn.IFS(I117=0,"Matched",I117&gt;0,"Excess",I117&lt;0,"Shortage")</f>
        <v>Matched</v>
      </c>
      <c r="K117" s="50">
        <f>ABS(Table13[[#This Row],[Stock Difference]])</f>
        <v>0</v>
      </c>
      <c r="L117" s="17">
        <f t="shared" si="3"/>
        <v>0</v>
      </c>
      <c r="M117" s="17">
        <f t="shared" si="4"/>
        <v>9200</v>
      </c>
      <c r="N117" s="17" t="str" cm="1">
        <f t="array" ref="N117">_xlfn.IFS(K117=0,"Matched", K117&gt;100,"High", K117&gt;=50,"Medium", K117&lt;50,"Low")</f>
        <v>Matched</v>
      </c>
      <c r="O117" s="17" t="str">
        <f t="shared" si="5"/>
        <v>No Match</v>
      </c>
    </row>
    <row r="118" spans="2:15" x14ac:dyDescent="0.3">
      <c r="B118" s="7">
        <v>116</v>
      </c>
      <c r="C118" s="3" t="s">
        <v>122</v>
      </c>
      <c r="D118" s="2" t="s">
        <v>1060</v>
      </c>
      <c r="E118" s="3" t="s">
        <v>1012</v>
      </c>
      <c r="F118" s="3">
        <v>127</v>
      </c>
      <c r="G118" s="3">
        <v>57</v>
      </c>
      <c r="H118" s="8">
        <v>1500</v>
      </c>
      <c r="I118" s="48">
        <f>Table13[[#This Row],[Physical_Stock_Qty]]-Table13[[#This Row],[System_Stock_Qty]]</f>
        <v>-70</v>
      </c>
      <c r="J118" s="53" t="str" cm="1">
        <f t="array" ref="J118">_xlfn.IFS(I118=0,"Matched",I118&gt;0,"Excess",I118&lt;0,"Shortage")</f>
        <v>Shortage</v>
      </c>
      <c r="K118" s="50">
        <f>ABS(Table13[[#This Row],[Stock Difference]])</f>
        <v>70</v>
      </c>
      <c r="L118" s="17">
        <f t="shared" si="3"/>
        <v>105000</v>
      </c>
      <c r="M118" s="17">
        <f t="shared" si="4"/>
        <v>190500</v>
      </c>
      <c r="N118" s="17" t="str" cm="1">
        <f t="array" ref="N118">_xlfn.IFS(K118=0,"Matched", K118&gt;100,"High", K118&gt;=50,"Medium", K118&lt;50,"Low")</f>
        <v>Medium</v>
      </c>
      <c r="O118" s="17" t="str">
        <f t="shared" si="5"/>
        <v>No</v>
      </c>
    </row>
    <row r="119" spans="2:15" x14ac:dyDescent="0.3">
      <c r="B119" s="7">
        <v>117</v>
      </c>
      <c r="C119" s="3" t="s">
        <v>123</v>
      </c>
      <c r="D119" s="2" t="s">
        <v>1061</v>
      </c>
      <c r="E119" s="3" t="s">
        <v>1012</v>
      </c>
      <c r="F119" s="3">
        <v>178</v>
      </c>
      <c r="G119" s="3">
        <v>134</v>
      </c>
      <c r="H119" s="8">
        <v>500</v>
      </c>
      <c r="I119" s="48">
        <f>Table13[[#This Row],[Physical_Stock_Qty]]-Table13[[#This Row],[System_Stock_Qty]]</f>
        <v>-44</v>
      </c>
      <c r="J119" s="53" t="str" cm="1">
        <f t="array" ref="J119">_xlfn.IFS(I119=0,"Matched",I119&gt;0,"Excess",I119&lt;0,"Shortage")</f>
        <v>Shortage</v>
      </c>
      <c r="K119" s="50">
        <f>ABS(Table13[[#This Row],[Stock Difference]])</f>
        <v>44</v>
      </c>
      <c r="L119" s="17">
        <f t="shared" si="3"/>
        <v>22000</v>
      </c>
      <c r="M119" s="17">
        <f t="shared" si="4"/>
        <v>89000</v>
      </c>
      <c r="N119" s="17" t="str" cm="1">
        <f t="array" ref="N119">_xlfn.IFS(K119=0,"Matched", K119&gt;100,"High", K119&gt;=50,"Medium", K119&lt;50,"Low")</f>
        <v>Low</v>
      </c>
      <c r="O119" s="17" t="str">
        <f t="shared" si="5"/>
        <v>No</v>
      </c>
    </row>
    <row r="120" spans="2:15" x14ac:dyDescent="0.3">
      <c r="B120" s="7">
        <v>118</v>
      </c>
      <c r="C120" s="3" t="s">
        <v>124</v>
      </c>
      <c r="D120" s="2" t="s">
        <v>1065</v>
      </c>
      <c r="E120" s="3" t="s">
        <v>1009</v>
      </c>
      <c r="F120" s="3">
        <v>172</v>
      </c>
      <c r="G120" s="3">
        <v>37</v>
      </c>
      <c r="H120" s="8">
        <v>200</v>
      </c>
      <c r="I120" s="48">
        <f>Table13[[#This Row],[Physical_Stock_Qty]]-Table13[[#This Row],[System_Stock_Qty]]</f>
        <v>-135</v>
      </c>
      <c r="J120" s="53" t="str" cm="1">
        <f t="array" ref="J120">_xlfn.IFS(I120=0,"Matched",I120&gt;0,"Excess",I120&lt;0,"Shortage")</f>
        <v>Shortage</v>
      </c>
      <c r="K120" s="50">
        <f>ABS(Table13[[#This Row],[Stock Difference]])</f>
        <v>135</v>
      </c>
      <c r="L120" s="17">
        <f t="shared" si="3"/>
        <v>27000</v>
      </c>
      <c r="M120" s="17">
        <f t="shared" si="4"/>
        <v>34400</v>
      </c>
      <c r="N120" s="17" t="str" cm="1">
        <f t="array" ref="N120">_xlfn.IFS(K120=0,"Matched", K120&gt;100,"High", K120&gt;=50,"Medium", K120&lt;50,"Low")</f>
        <v>High</v>
      </c>
      <c r="O120" s="17" t="str">
        <f t="shared" si="5"/>
        <v>No</v>
      </c>
    </row>
    <row r="121" spans="2:15" x14ac:dyDescent="0.3">
      <c r="B121" s="7">
        <v>119</v>
      </c>
      <c r="C121" s="3" t="s">
        <v>125</v>
      </c>
      <c r="D121" s="2" t="s">
        <v>1078</v>
      </c>
      <c r="E121" s="3" t="s">
        <v>1011</v>
      </c>
      <c r="F121" s="3">
        <v>109</v>
      </c>
      <c r="G121" s="3">
        <v>40</v>
      </c>
      <c r="H121" s="8">
        <v>200</v>
      </c>
      <c r="I121" s="48">
        <f>Table13[[#This Row],[Physical_Stock_Qty]]-Table13[[#This Row],[System_Stock_Qty]]</f>
        <v>-69</v>
      </c>
      <c r="J121" s="53" t="str" cm="1">
        <f t="array" ref="J121">_xlfn.IFS(I121=0,"Matched",I121&gt;0,"Excess",I121&lt;0,"Shortage")</f>
        <v>Shortage</v>
      </c>
      <c r="K121" s="50">
        <f>ABS(Table13[[#This Row],[Stock Difference]])</f>
        <v>69</v>
      </c>
      <c r="L121" s="17">
        <f t="shared" si="3"/>
        <v>13800</v>
      </c>
      <c r="M121" s="17">
        <f t="shared" si="4"/>
        <v>21800</v>
      </c>
      <c r="N121" s="17" t="str" cm="1">
        <f t="array" ref="N121">_xlfn.IFS(K121=0,"Matched", K121&gt;100,"High", K121&gt;=50,"Medium", K121&lt;50,"Low")</f>
        <v>Medium</v>
      </c>
      <c r="O121" s="17" t="str">
        <f t="shared" si="5"/>
        <v>No</v>
      </c>
    </row>
    <row r="122" spans="2:15" x14ac:dyDescent="0.3">
      <c r="B122" s="7">
        <v>120</v>
      </c>
      <c r="C122" s="3" t="s">
        <v>126</v>
      </c>
      <c r="D122" s="2" t="s">
        <v>1069</v>
      </c>
      <c r="E122" s="3" t="s">
        <v>1009</v>
      </c>
      <c r="F122" s="3">
        <v>63</v>
      </c>
      <c r="G122" s="3">
        <v>104</v>
      </c>
      <c r="H122" s="8">
        <v>200</v>
      </c>
      <c r="I122" s="48">
        <f>Table13[[#This Row],[Physical_Stock_Qty]]-Table13[[#This Row],[System_Stock_Qty]]</f>
        <v>41</v>
      </c>
      <c r="J122" s="53" t="str" cm="1">
        <f t="array" ref="J122">_xlfn.IFS(I122=0,"Matched",I122&gt;0,"Excess",I122&lt;0,"Shortage")</f>
        <v>Excess</v>
      </c>
      <c r="K122" s="50">
        <f>ABS(Table13[[#This Row],[Stock Difference]])</f>
        <v>41</v>
      </c>
      <c r="L122" s="17">
        <f t="shared" si="3"/>
        <v>8200</v>
      </c>
      <c r="M122" s="17">
        <f t="shared" si="4"/>
        <v>12600</v>
      </c>
      <c r="N122" s="17" t="str" cm="1">
        <f t="array" ref="N122">_xlfn.IFS(K122=0,"Matched", K122&gt;100,"High", K122&gt;=50,"Medium", K122&lt;50,"Low")</f>
        <v>Low</v>
      </c>
      <c r="O122" s="17" t="str">
        <f t="shared" si="5"/>
        <v>No</v>
      </c>
    </row>
    <row r="123" spans="2:15" x14ac:dyDescent="0.3">
      <c r="B123" s="7">
        <v>121</v>
      </c>
      <c r="C123" s="3" t="s">
        <v>127</v>
      </c>
      <c r="D123" s="2" t="s">
        <v>1074</v>
      </c>
      <c r="E123" s="3" t="s">
        <v>1009</v>
      </c>
      <c r="F123" s="3">
        <v>38</v>
      </c>
      <c r="G123" s="3">
        <v>57</v>
      </c>
      <c r="H123" s="8">
        <v>500</v>
      </c>
      <c r="I123" s="48">
        <f>Table13[[#This Row],[Physical_Stock_Qty]]-Table13[[#This Row],[System_Stock_Qty]]</f>
        <v>19</v>
      </c>
      <c r="J123" s="53" t="str" cm="1">
        <f t="array" ref="J123">_xlfn.IFS(I123=0,"Matched",I123&gt;0,"Excess",I123&lt;0,"Shortage")</f>
        <v>Excess</v>
      </c>
      <c r="K123" s="50">
        <f>ABS(Table13[[#This Row],[Stock Difference]])</f>
        <v>19</v>
      </c>
      <c r="L123" s="17">
        <f t="shared" si="3"/>
        <v>9500</v>
      </c>
      <c r="M123" s="17">
        <f t="shared" si="4"/>
        <v>19000</v>
      </c>
      <c r="N123" s="17" t="str" cm="1">
        <f t="array" ref="N123">_xlfn.IFS(K123=0,"Matched", K123&gt;100,"High", K123&gt;=50,"Medium", K123&lt;50,"Low")</f>
        <v>Low</v>
      </c>
      <c r="O123" s="17" t="str">
        <f t="shared" si="5"/>
        <v>No</v>
      </c>
    </row>
    <row r="124" spans="2:15" x14ac:dyDescent="0.3">
      <c r="B124" s="7">
        <v>122</v>
      </c>
      <c r="C124" s="3" t="s">
        <v>128</v>
      </c>
      <c r="D124" s="2" t="s">
        <v>1029</v>
      </c>
      <c r="E124" s="3" t="s">
        <v>1008</v>
      </c>
      <c r="F124" s="3">
        <v>130</v>
      </c>
      <c r="G124" s="3">
        <v>35</v>
      </c>
      <c r="H124" s="8">
        <v>3000</v>
      </c>
      <c r="I124" s="48">
        <f>Table13[[#This Row],[Physical_Stock_Qty]]-Table13[[#This Row],[System_Stock_Qty]]</f>
        <v>-95</v>
      </c>
      <c r="J124" s="53" t="str" cm="1">
        <f t="array" ref="J124">_xlfn.IFS(I124=0,"Matched",I124&gt;0,"Excess",I124&lt;0,"Shortage")</f>
        <v>Shortage</v>
      </c>
      <c r="K124" s="50">
        <f>ABS(Table13[[#This Row],[Stock Difference]])</f>
        <v>95</v>
      </c>
      <c r="L124" s="17">
        <f t="shared" si="3"/>
        <v>285000</v>
      </c>
      <c r="M124" s="17">
        <f t="shared" si="4"/>
        <v>390000</v>
      </c>
      <c r="N124" s="17" t="str" cm="1">
        <f t="array" ref="N124">_xlfn.IFS(K124=0,"Matched", K124&gt;100,"High", K124&gt;=50,"Medium", K124&lt;50,"Low")</f>
        <v>Medium</v>
      </c>
      <c r="O124" s="17" t="str">
        <f t="shared" si="5"/>
        <v>No</v>
      </c>
    </row>
    <row r="125" spans="2:15" x14ac:dyDescent="0.3">
      <c r="B125" s="7">
        <v>123</v>
      </c>
      <c r="C125" s="3" t="s">
        <v>129</v>
      </c>
      <c r="D125" s="2" t="s">
        <v>1047</v>
      </c>
      <c r="E125" s="3" t="s">
        <v>1010</v>
      </c>
      <c r="F125" s="3">
        <v>117</v>
      </c>
      <c r="G125" s="3">
        <v>54</v>
      </c>
      <c r="H125" s="8">
        <v>500</v>
      </c>
      <c r="I125" s="48">
        <f>Table13[[#This Row],[Physical_Stock_Qty]]-Table13[[#This Row],[System_Stock_Qty]]</f>
        <v>-63</v>
      </c>
      <c r="J125" s="53" t="str" cm="1">
        <f t="array" ref="J125">_xlfn.IFS(I125=0,"Matched",I125&gt;0,"Excess",I125&lt;0,"Shortage")</f>
        <v>Shortage</v>
      </c>
      <c r="K125" s="50">
        <f>ABS(Table13[[#This Row],[Stock Difference]])</f>
        <v>63</v>
      </c>
      <c r="L125" s="17">
        <f t="shared" si="3"/>
        <v>31500</v>
      </c>
      <c r="M125" s="17">
        <f t="shared" si="4"/>
        <v>58500</v>
      </c>
      <c r="N125" s="17" t="str" cm="1">
        <f t="array" ref="N125">_xlfn.IFS(K125=0,"Matched", K125&gt;100,"High", K125&gt;=50,"Medium", K125&lt;50,"Low")</f>
        <v>Medium</v>
      </c>
      <c r="O125" s="17" t="str">
        <f t="shared" si="5"/>
        <v>No</v>
      </c>
    </row>
    <row r="126" spans="2:15" x14ac:dyDescent="0.3">
      <c r="B126" s="7">
        <v>124</v>
      </c>
      <c r="C126" s="3" t="s">
        <v>130</v>
      </c>
      <c r="D126" s="2" t="s">
        <v>1018</v>
      </c>
      <c r="E126" s="3" t="s">
        <v>1012</v>
      </c>
      <c r="F126" s="3">
        <v>70</v>
      </c>
      <c r="G126" s="3">
        <v>53</v>
      </c>
      <c r="H126" s="8">
        <v>3000</v>
      </c>
      <c r="I126" s="48">
        <f>Table13[[#This Row],[Physical_Stock_Qty]]-Table13[[#This Row],[System_Stock_Qty]]</f>
        <v>-17</v>
      </c>
      <c r="J126" s="53" t="str" cm="1">
        <f t="array" ref="J126">_xlfn.IFS(I126=0,"Matched",I126&gt;0,"Excess",I126&lt;0,"Shortage")</f>
        <v>Shortage</v>
      </c>
      <c r="K126" s="50">
        <f>ABS(Table13[[#This Row],[Stock Difference]])</f>
        <v>17</v>
      </c>
      <c r="L126" s="17">
        <f t="shared" si="3"/>
        <v>51000</v>
      </c>
      <c r="M126" s="17">
        <f t="shared" si="4"/>
        <v>210000</v>
      </c>
      <c r="N126" s="17" t="str" cm="1">
        <f t="array" ref="N126">_xlfn.IFS(K126=0,"Matched", K126&gt;100,"High", K126&gt;=50,"Medium", K126&lt;50,"Low")</f>
        <v>Low</v>
      </c>
      <c r="O126" s="17" t="str">
        <f t="shared" si="5"/>
        <v>No</v>
      </c>
    </row>
    <row r="127" spans="2:15" x14ac:dyDescent="0.3">
      <c r="B127" s="7">
        <v>125</v>
      </c>
      <c r="C127" s="3" t="s">
        <v>131</v>
      </c>
      <c r="D127" s="2" t="s">
        <v>1035</v>
      </c>
      <c r="E127" s="3" t="s">
        <v>1007</v>
      </c>
      <c r="F127" s="3">
        <v>108</v>
      </c>
      <c r="G127" s="3">
        <v>70</v>
      </c>
      <c r="H127" s="8">
        <v>15000</v>
      </c>
      <c r="I127" s="48">
        <f>Table13[[#This Row],[Physical_Stock_Qty]]-Table13[[#This Row],[System_Stock_Qty]]</f>
        <v>-38</v>
      </c>
      <c r="J127" s="53" t="str" cm="1">
        <f t="array" ref="J127">_xlfn.IFS(I127=0,"Matched",I127&gt;0,"Excess",I127&lt;0,"Shortage")</f>
        <v>Shortage</v>
      </c>
      <c r="K127" s="50">
        <f>ABS(Table13[[#This Row],[Stock Difference]])</f>
        <v>38</v>
      </c>
      <c r="L127" s="17">
        <f t="shared" si="3"/>
        <v>570000</v>
      </c>
      <c r="M127" s="17">
        <f t="shared" si="4"/>
        <v>1620000</v>
      </c>
      <c r="N127" s="17" t="str" cm="1">
        <f t="array" ref="N127">_xlfn.IFS(K127=0,"Matched", K127&gt;100,"High", K127&gt;=50,"Medium", K127&lt;50,"Low")</f>
        <v>Low</v>
      </c>
      <c r="O127" s="17" t="str">
        <f t="shared" si="5"/>
        <v>Yes</v>
      </c>
    </row>
    <row r="128" spans="2:15" x14ac:dyDescent="0.3">
      <c r="B128" s="7">
        <v>126</v>
      </c>
      <c r="C128" s="3" t="s">
        <v>132</v>
      </c>
      <c r="D128" s="2" t="s">
        <v>1044</v>
      </c>
      <c r="E128" s="3" t="s">
        <v>1010</v>
      </c>
      <c r="F128" s="3">
        <v>97</v>
      </c>
      <c r="G128" s="3">
        <v>35</v>
      </c>
      <c r="H128" s="8">
        <v>100</v>
      </c>
      <c r="I128" s="48">
        <f>Table13[[#This Row],[Physical_Stock_Qty]]-Table13[[#This Row],[System_Stock_Qty]]</f>
        <v>-62</v>
      </c>
      <c r="J128" s="53" t="str" cm="1">
        <f t="array" ref="J128">_xlfn.IFS(I128=0,"Matched",I128&gt;0,"Excess",I128&lt;0,"Shortage")</f>
        <v>Shortage</v>
      </c>
      <c r="K128" s="50">
        <f>ABS(Table13[[#This Row],[Stock Difference]])</f>
        <v>62</v>
      </c>
      <c r="L128" s="17">
        <f t="shared" si="3"/>
        <v>6200</v>
      </c>
      <c r="M128" s="17">
        <f t="shared" si="4"/>
        <v>9700</v>
      </c>
      <c r="N128" s="17" t="str" cm="1">
        <f t="array" ref="N128">_xlfn.IFS(K128=0,"Matched", K128&gt;100,"High", K128&gt;=50,"Medium", K128&lt;50,"Low")</f>
        <v>Medium</v>
      </c>
      <c r="O128" s="17" t="str">
        <f t="shared" si="5"/>
        <v>No</v>
      </c>
    </row>
    <row r="129" spans="2:15" x14ac:dyDescent="0.3">
      <c r="B129" s="7">
        <v>127</v>
      </c>
      <c r="C129" s="3" t="s">
        <v>133</v>
      </c>
      <c r="D129" s="2" t="s">
        <v>1069</v>
      </c>
      <c r="E129" s="3" t="s">
        <v>1009</v>
      </c>
      <c r="F129" s="3">
        <v>148</v>
      </c>
      <c r="G129" s="3">
        <v>128</v>
      </c>
      <c r="H129" s="8">
        <v>200</v>
      </c>
      <c r="I129" s="48">
        <f>Table13[[#This Row],[Physical_Stock_Qty]]-Table13[[#This Row],[System_Stock_Qty]]</f>
        <v>-20</v>
      </c>
      <c r="J129" s="53" t="str" cm="1">
        <f t="array" ref="J129">_xlfn.IFS(I129=0,"Matched",I129&gt;0,"Excess",I129&lt;0,"Shortage")</f>
        <v>Shortage</v>
      </c>
      <c r="K129" s="50">
        <f>ABS(Table13[[#This Row],[Stock Difference]])</f>
        <v>20</v>
      </c>
      <c r="L129" s="17">
        <f t="shared" si="3"/>
        <v>4000</v>
      </c>
      <c r="M129" s="17">
        <f t="shared" si="4"/>
        <v>29600</v>
      </c>
      <c r="N129" s="17" t="str" cm="1">
        <f t="array" ref="N129">_xlfn.IFS(K129=0,"Matched", K129&gt;100,"High", K129&gt;=50,"Medium", K129&lt;50,"Low")</f>
        <v>Low</v>
      </c>
      <c r="O129" s="17" t="str">
        <f t="shared" si="5"/>
        <v>No</v>
      </c>
    </row>
    <row r="130" spans="2:15" x14ac:dyDescent="0.3">
      <c r="B130" s="7">
        <v>128</v>
      </c>
      <c r="C130" s="3" t="s">
        <v>134</v>
      </c>
      <c r="D130" s="2" t="s">
        <v>1042</v>
      </c>
      <c r="E130" s="3" t="s">
        <v>1007</v>
      </c>
      <c r="F130" s="3">
        <v>181</v>
      </c>
      <c r="G130" s="3">
        <v>60</v>
      </c>
      <c r="H130" s="8">
        <v>3000</v>
      </c>
      <c r="I130" s="48">
        <f>Table13[[#This Row],[Physical_Stock_Qty]]-Table13[[#This Row],[System_Stock_Qty]]</f>
        <v>-121</v>
      </c>
      <c r="J130" s="53" t="str" cm="1">
        <f t="array" ref="J130">_xlfn.IFS(I130=0,"Matched",I130&gt;0,"Excess",I130&lt;0,"Shortage")</f>
        <v>Shortage</v>
      </c>
      <c r="K130" s="50">
        <f>ABS(Table13[[#This Row],[Stock Difference]])</f>
        <v>121</v>
      </c>
      <c r="L130" s="17">
        <f t="shared" si="3"/>
        <v>363000</v>
      </c>
      <c r="M130" s="17">
        <f t="shared" si="4"/>
        <v>543000</v>
      </c>
      <c r="N130" s="17" t="str" cm="1">
        <f t="array" ref="N130">_xlfn.IFS(K130=0,"Matched", K130&gt;100,"High", K130&gt;=50,"Medium", K130&lt;50,"Low")</f>
        <v>High</v>
      </c>
      <c r="O130" s="17" t="str">
        <f t="shared" si="5"/>
        <v>No</v>
      </c>
    </row>
    <row r="131" spans="2:15" x14ac:dyDescent="0.3">
      <c r="B131" s="7">
        <v>129</v>
      </c>
      <c r="C131" s="3" t="s">
        <v>135</v>
      </c>
      <c r="D131" s="2" t="s">
        <v>1046</v>
      </c>
      <c r="E131" s="3" t="s">
        <v>1010</v>
      </c>
      <c r="F131" s="3">
        <v>98</v>
      </c>
      <c r="G131" s="3">
        <v>74</v>
      </c>
      <c r="H131" s="8">
        <v>100</v>
      </c>
      <c r="I131" s="48">
        <f>Table13[[#This Row],[Physical_Stock_Qty]]-Table13[[#This Row],[System_Stock_Qty]]</f>
        <v>-24</v>
      </c>
      <c r="J131" s="53" t="str" cm="1">
        <f t="array" ref="J131">_xlfn.IFS(I131=0,"Matched",I131&gt;0,"Excess",I131&lt;0,"Shortage")</f>
        <v>Shortage</v>
      </c>
      <c r="K131" s="50">
        <f>ABS(Table13[[#This Row],[Stock Difference]])</f>
        <v>24</v>
      </c>
      <c r="L131" s="17">
        <f t="shared" si="3"/>
        <v>2400</v>
      </c>
      <c r="M131" s="17">
        <f t="shared" si="4"/>
        <v>9800</v>
      </c>
      <c r="N131" s="17" t="str" cm="1">
        <f t="array" ref="N131">_xlfn.IFS(K131=0,"Matched", K131&gt;100,"High", K131&gt;=50,"Medium", K131&lt;50,"Low")</f>
        <v>Low</v>
      </c>
      <c r="O131" s="17" t="str">
        <f t="shared" si="5"/>
        <v>No</v>
      </c>
    </row>
    <row r="132" spans="2:15" x14ac:dyDescent="0.3">
      <c r="B132" s="7">
        <v>130</v>
      </c>
      <c r="C132" s="3" t="s">
        <v>136</v>
      </c>
      <c r="D132" s="2" t="s">
        <v>1054</v>
      </c>
      <c r="E132" s="3" t="s">
        <v>1010</v>
      </c>
      <c r="F132" s="3">
        <v>84</v>
      </c>
      <c r="G132" s="3">
        <v>133</v>
      </c>
      <c r="H132" s="8">
        <v>30</v>
      </c>
      <c r="I132" s="48">
        <f>Table13[[#This Row],[Physical_Stock_Qty]]-Table13[[#This Row],[System_Stock_Qty]]</f>
        <v>49</v>
      </c>
      <c r="J132" s="53" t="str" cm="1">
        <f t="array" ref="J132">_xlfn.IFS(I132=0,"Matched",I132&gt;0,"Excess",I132&lt;0,"Shortage")</f>
        <v>Excess</v>
      </c>
      <c r="K132" s="50">
        <f>ABS(Table13[[#This Row],[Stock Difference]])</f>
        <v>49</v>
      </c>
      <c r="L132" s="17">
        <f t="shared" ref="L132:L195" si="6">(K132*H132)</f>
        <v>1470</v>
      </c>
      <c r="M132" s="17">
        <f t="shared" ref="M132:M195" si="7">F132*H132</f>
        <v>2520</v>
      </c>
      <c r="N132" s="17" t="str" cm="1">
        <f t="array" ref="N132">_xlfn.IFS(K132=0,"Matched", K132&gt;100,"High", K132&gt;=50,"Medium", K132&lt;50,"Low")</f>
        <v>Low</v>
      </c>
      <c r="O132" s="17" t="str">
        <f t="shared" ref="O132:O195" si="8">IF(L132&gt;500000,"Yes",IF(L132=0,"No Match","No"))</f>
        <v>No</v>
      </c>
    </row>
    <row r="133" spans="2:15" x14ac:dyDescent="0.3">
      <c r="B133" s="7">
        <v>131</v>
      </c>
      <c r="C133" s="3" t="s">
        <v>137</v>
      </c>
      <c r="D133" s="2" t="s">
        <v>1065</v>
      </c>
      <c r="E133" s="3" t="s">
        <v>1009</v>
      </c>
      <c r="F133" s="3">
        <v>153</v>
      </c>
      <c r="G133" s="3">
        <v>125</v>
      </c>
      <c r="H133" s="8">
        <v>200</v>
      </c>
      <c r="I133" s="48">
        <f>Table13[[#This Row],[Physical_Stock_Qty]]-Table13[[#This Row],[System_Stock_Qty]]</f>
        <v>-28</v>
      </c>
      <c r="J133" s="53" t="str" cm="1">
        <f t="array" ref="J133">_xlfn.IFS(I133=0,"Matched",I133&gt;0,"Excess",I133&lt;0,"Shortage")</f>
        <v>Shortage</v>
      </c>
      <c r="K133" s="50">
        <f>ABS(Table13[[#This Row],[Stock Difference]])</f>
        <v>28</v>
      </c>
      <c r="L133" s="17">
        <f t="shared" si="6"/>
        <v>5600</v>
      </c>
      <c r="M133" s="17">
        <f t="shared" si="7"/>
        <v>30600</v>
      </c>
      <c r="N133" s="17" t="str" cm="1">
        <f t="array" ref="N133">_xlfn.IFS(K133=0,"Matched", K133&gt;100,"High", K133&gt;=50,"Medium", K133&lt;50,"Low")</f>
        <v>Low</v>
      </c>
      <c r="O133" s="17" t="str">
        <f t="shared" si="8"/>
        <v>No</v>
      </c>
    </row>
    <row r="134" spans="2:15" x14ac:dyDescent="0.3">
      <c r="B134" s="7">
        <v>132</v>
      </c>
      <c r="C134" s="3" t="s">
        <v>138</v>
      </c>
      <c r="D134" s="2" t="s">
        <v>1084</v>
      </c>
      <c r="E134" s="3" t="s">
        <v>1011</v>
      </c>
      <c r="F134" s="3">
        <v>153</v>
      </c>
      <c r="G134" s="3">
        <v>30</v>
      </c>
      <c r="H134" s="8">
        <v>2000</v>
      </c>
      <c r="I134" s="48">
        <f>Table13[[#This Row],[Physical_Stock_Qty]]-Table13[[#This Row],[System_Stock_Qty]]</f>
        <v>-123</v>
      </c>
      <c r="J134" s="53" t="str" cm="1">
        <f t="array" ref="J134">_xlfn.IFS(I134=0,"Matched",I134&gt;0,"Excess",I134&lt;0,"Shortage")</f>
        <v>Shortage</v>
      </c>
      <c r="K134" s="50">
        <f>ABS(Table13[[#This Row],[Stock Difference]])</f>
        <v>123</v>
      </c>
      <c r="L134" s="17">
        <f t="shared" si="6"/>
        <v>246000</v>
      </c>
      <c r="M134" s="17">
        <f t="shared" si="7"/>
        <v>306000</v>
      </c>
      <c r="N134" s="17" t="str" cm="1">
        <f t="array" ref="N134">_xlfn.IFS(K134=0,"Matched", K134&gt;100,"High", K134&gt;=50,"Medium", K134&lt;50,"Low")</f>
        <v>High</v>
      </c>
      <c r="O134" s="17" t="str">
        <f t="shared" si="8"/>
        <v>No</v>
      </c>
    </row>
    <row r="135" spans="2:15" x14ac:dyDescent="0.3">
      <c r="B135" s="7">
        <v>133</v>
      </c>
      <c r="C135" s="3" t="s">
        <v>139</v>
      </c>
      <c r="D135" s="2" t="s">
        <v>1037</v>
      </c>
      <c r="E135" s="3" t="s">
        <v>1007</v>
      </c>
      <c r="F135" s="3">
        <v>104</v>
      </c>
      <c r="G135" s="3">
        <v>128</v>
      </c>
      <c r="H135" s="8">
        <v>10000</v>
      </c>
      <c r="I135" s="48">
        <f>Table13[[#This Row],[Physical_Stock_Qty]]-Table13[[#This Row],[System_Stock_Qty]]</f>
        <v>24</v>
      </c>
      <c r="J135" s="53" t="str" cm="1">
        <f t="array" ref="J135">_xlfn.IFS(I135=0,"Matched",I135&gt;0,"Excess",I135&lt;0,"Shortage")</f>
        <v>Excess</v>
      </c>
      <c r="K135" s="50">
        <f>ABS(Table13[[#This Row],[Stock Difference]])</f>
        <v>24</v>
      </c>
      <c r="L135" s="17">
        <f t="shared" si="6"/>
        <v>240000</v>
      </c>
      <c r="M135" s="17">
        <f t="shared" si="7"/>
        <v>1040000</v>
      </c>
      <c r="N135" s="17" t="str" cm="1">
        <f t="array" ref="N135">_xlfn.IFS(K135=0,"Matched", K135&gt;100,"High", K135&gt;=50,"Medium", K135&lt;50,"Low")</f>
        <v>Low</v>
      </c>
      <c r="O135" s="17" t="str">
        <f t="shared" si="8"/>
        <v>No</v>
      </c>
    </row>
    <row r="136" spans="2:15" x14ac:dyDescent="0.3">
      <c r="B136" s="7">
        <v>134</v>
      </c>
      <c r="C136" s="3" t="s">
        <v>140</v>
      </c>
      <c r="D136" s="2" t="s">
        <v>1057</v>
      </c>
      <c r="E136" s="3" t="s">
        <v>1012</v>
      </c>
      <c r="F136" s="3">
        <v>52</v>
      </c>
      <c r="G136" s="3">
        <v>118</v>
      </c>
      <c r="H136" s="8">
        <v>500</v>
      </c>
      <c r="I136" s="48">
        <f>Table13[[#This Row],[Physical_Stock_Qty]]-Table13[[#This Row],[System_Stock_Qty]]</f>
        <v>66</v>
      </c>
      <c r="J136" s="53" t="str" cm="1">
        <f t="array" ref="J136">_xlfn.IFS(I136=0,"Matched",I136&gt;0,"Excess",I136&lt;0,"Shortage")</f>
        <v>Excess</v>
      </c>
      <c r="K136" s="50">
        <f>ABS(Table13[[#This Row],[Stock Difference]])</f>
        <v>66</v>
      </c>
      <c r="L136" s="17">
        <f t="shared" si="6"/>
        <v>33000</v>
      </c>
      <c r="M136" s="17">
        <f t="shared" si="7"/>
        <v>26000</v>
      </c>
      <c r="N136" s="17" t="str" cm="1">
        <f t="array" ref="N136">_xlfn.IFS(K136=0,"Matched", K136&gt;100,"High", K136&gt;=50,"Medium", K136&lt;50,"Low")</f>
        <v>Medium</v>
      </c>
      <c r="O136" s="17" t="str">
        <f t="shared" si="8"/>
        <v>No</v>
      </c>
    </row>
    <row r="137" spans="2:15" x14ac:dyDescent="0.3">
      <c r="B137" s="7">
        <v>135</v>
      </c>
      <c r="C137" s="3" t="s">
        <v>141</v>
      </c>
      <c r="D137" s="2" t="s">
        <v>1078</v>
      </c>
      <c r="E137" s="3" t="s">
        <v>1011</v>
      </c>
      <c r="F137" s="3">
        <v>41</v>
      </c>
      <c r="G137" s="3">
        <v>106</v>
      </c>
      <c r="H137" s="8">
        <v>200</v>
      </c>
      <c r="I137" s="48">
        <f>Table13[[#This Row],[Physical_Stock_Qty]]-Table13[[#This Row],[System_Stock_Qty]]</f>
        <v>65</v>
      </c>
      <c r="J137" s="53" t="str" cm="1">
        <f t="array" ref="J137">_xlfn.IFS(I137=0,"Matched",I137&gt;0,"Excess",I137&lt;0,"Shortage")</f>
        <v>Excess</v>
      </c>
      <c r="K137" s="50">
        <f>ABS(Table13[[#This Row],[Stock Difference]])</f>
        <v>65</v>
      </c>
      <c r="L137" s="17">
        <f t="shared" si="6"/>
        <v>13000</v>
      </c>
      <c r="M137" s="17">
        <f t="shared" si="7"/>
        <v>8200</v>
      </c>
      <c r="N137" s="17" t="str" cm="1">
        <f t="array" ref="N137">_xlfn.IFS(K137=0,"Matched", K137&gt;100,"High", K137&gt;=50,"Medium", K137&lt;50,"Low")</f>
        <v>Medium</v>
      </c>
      <c r="O137" s="17" t="str">
        <f t="shared" si="8"/>
        <v>No</v>
      </c>
    </row>
    <row r="138" spans="2:15" x14ac:dyDescent="0.3">
      <c r="B138" s="7">
        <v>136</v>
      </c>
      <c r="C138" s="3" t="s">
        <v>142</v>
      </c>
      <c r="D138" s="2" t="s">
        <v>1072</v>
      </c>
      <c r="E138" s="3" t="s">
        <v>1009</v>
      </c>
      <c r="F138" s="3">
        <v>99</v>
      </c>
      <c r="G138" s="3">
        <v>143</v>
      </c>
      <c r="H138" s="8">
        <v>50</v>
      </c>
      <c r="I138" s="48">
        <f>Table13[[#This Row],[Physical_Stock_Qty]]-Table13[[#This Row],[System_Stock_Qty]]</f>
        <v>44</v>
      </c>
      <c r="J138" s="53" t="str" cm="1">
        <f t="array" ref="J138">_xlfn.IFS(I138=0,"Matched",I138&gt;0,"Excess",I138&lt;0,"Shortage")</f>
        <v>Excess</v>
      </c>
      <c r="K138" s="50">
        <f>ABS(Table13[[#This Row],[Stock Difference]])</f>
        <v>44</v>
      </c>
      <c r="L138" s="17">
        <f t="shared" si="6"/>
        <v>2200</v>
      </c>
      <c r="M138" s="17">
        <f t="shared" si="7"/>
        <v>4950</v>
      </c>
      <c r="N138" s="17" t="str" cm="1">
        <f t="array" ref="N138">_xlfn.IFS(K138=0,"Matched", K138&gt;100,"High", K138&gt;=50,"Medium", K138&lt;50,"Low")</f>
        <v>Low</v>
      </c>
      <c r="O138" s="17" t="str">
        <f t="shared" si="8"/>
        <v>No</v>
      </c>
    </row>
    <row r="139" spans="2:15" x14ac:dyDescent="0.3">
      <c r="B139" s="7">
        <v>137</v>
      </c>
      <c r="C139" s="3" t="s">
        <v>143</v>
      </c>
      <c r="D139" s="2" t="s">
        <v>1054</v>
      </c>
      <c r="E139" s="3" t="s">
        <v>1010</v>
      </c>
      <c r="F139" s="3">
        <v>103</v>
      </c>
      <c r="G139" s="3">
        <v>158</v>
      </c>
      <c r="H139" s="8">
        <v>30</v>
      </c>
      <c r="I139" s="48">
        <f>Table13[[#This Row],[Physical_Stock_Qty]]-Table13[[#This Row],[System_Stock_Qty]]</f>
        <v>55</v>
      </c>
      <c r="J139" s="53" t="str" cm="1">
        <f t="array" ref="J139">_xlfn.IFS(I139=0,"Matched",I139&gt;0,"Excess",I139&lt;0,"Shortage")</f>
        <v>Excess</v>
      </c>
      <c r="K139" s="50">
        <f>ABS(Table13[[#This Row],[Stock Difference]])</f>
        <v>55</v>
      </c>
      <c r="L139" s="17">
        <f t="shared" si="6"/>
        <v>1650</v>
      </c>
      <c r="M139" s="17">
        <f t="shared" si="7"/>
        <v>3090</v>
      </c>
      <c r="N139" s="17" t="str" cm="1">
        <f t="array" ref="N139">_xlfn.IFS(K139=0,"Matched", K139&gt;100,"High", K139&gt;=50,"Medium", K139&lt;50,"Low")</f>
        <v>Medium</v>
      </c>
      <c r="O139" s="17" t="str">
        <f t="shared" si="8"/>
        <v>No</v>
      </c>
    </row>
    <row r="140" spans="2:15" x14ac:dyDescent="0.3">
      <c r="B140" s="7">
        <v>138</v>
      </c>
      <c r="C140" s="3" t="s">
        <v>144</v>
      </c>
      <c r="D140" s="2" t="s">
        <v>1023</v>
      </c>
      <c r="E140" s="3" t="s">
        <v>1008</v>
      </c>
      <c r="F140" s="3">
        <v>93</v>
      </c>
      <c r="G140" s="3">
        <v>163</v>
      </c>
      <c r="H140" s="8">
        <v>20000</v>
      </c>
      <c r="I140" s="48">
        <f>Table13[[#This Row],[Physical_Stock_Qty]]-Table13[[#This Row],[System_Stock_Qty]]</f>
        <v>70</v>
      </c>
      <c r="J140" s="53" t="str" cm="1">
        <f t="array" ref="J140">_xlfn.IFS(I140=0,"Matched",I140&gt;0,"Excess",I140&lt;0,"Shortage")</f>
        <v>Excess</v>
      </c>
      <c r="K140" s="50">
        <f>ABS(Table13[[#This Row],[Stock Difference]])</f>
        <v>70</v>
      </c>
      <c r="L140" s="17">
        <f t="shared" si="6"/>
        <v>1400000</v>
      </c>
      <c r="M140" s="17">
        <f t="shared" si="7"/>
        <v>1860000</v>
      </c>
      <c r="N140" s="17" t="str" cm="1">
        <f t="array" ref="N140">_xlfn.IFS(K140=0,"Matched", K140&gt;100,"High", K140&gt;=50,"Medium", K140&lt;50,"Low")</f>
        <v>Medium</v>
      </c>
      <c r="O140" s="17" t="str">
        <f t="shared" si="8"/>
        <v>Yes</v>
      </c>
    </row>
    <row r="141" spans="2:15" x14ac:dyDescent="0.3">
      <c r="B141" s="7">
        <v>139</v>
      </c>
      <c r="C141" s="3" t="s">
        <v>145</v>
      </c>
      <c r="D141" s="2" t="s">
        <v>1035</v>
      </c>
      <c r="E141" s="3" t="s">
        <v>1007</v>
      </c>
      <c r="F141" s="3">
        <v>39</v>
      </c>
      <c r="G141" s="3">
        <v>181</v>
      </c>
      <c r="H141" s="8">
        <v>15000</v>
      </c>
      <c r="I141" s="48">
        <f>Table13[[#This Row],[Physical_Stock_Qty]]-Table13[[#This Row],[System_Stock_Qty]]</f>
        <v>142</v>
      </c>
      <c r="J141" s="53" t="str" cm="1">
        <f t="array" ref="J141">_xlfn.IFS(I141=0,"Matched",I141&gt;0,"Excess",I141&lt;0,"Shortage")</f>
        <v>Excess</v>
      </c>
      <c r="K141" s="50">
        <f>ABS(Table13[[#This Row],[Stock Difference]])</f>
        <v>142</v>
      </c>
      <c r="L141" s="17">
        <f t="shared" si="6"/>
        <v>2130000</v>
      </c>
      <c r="M141" s="17">
        <f t="shared" si="7"/>
        <v>585000</v>
      </c>
      <c r="N141" s="17" t="str" cm="1">
        <f t="array" ref="N141">_xlfn.IFS(K141=0,"Matched", K141&gt;100,"High", K141&gt;=50,"Medium", K141&lt;50,"Low")</f>
        <v>High</v>
      </c>
      <c r="O141" s="17" t="str">
        <f t="shared" si="8"/>
        <v>Yes</v>
      </c>
    </row>
    <row r="142" spans="2:15" x14ac:dyDescent="0.3">
      <c r="B142" s="7">
        <v>140</v>
      </c>
      <c r="C142" s="3" t="s">
        <v>146</v>
      </c>
      <c r="D142" s="2" t="s">
        <v>1080</v>
      </c>
      <c r="E142" s="3" t="s">
        <v>1011</v>
      </c>
      <c r="F142" s="3">
        <v>120</v>
      </c>
      <c r="G142" s="3">
        <v>194</v>
      </c>
      <c r="H142" s="8">
        <v>2500</v>
      </c>
      <c r="I142" s="48">
        <f>Table13[[#This Row],[Physical_Stock_Qty]]-Table13[[#This Row],[System_Stock_Qty]]</f>
        <v>74</v>
      </c>
      <c r="J142" s="53" t="str" cm="1">
        <f t="array" ref="J142">_xlfn.IFS(I142=0,"Matched",I142&gt;0,"Excess",I142&lt;0,"Shortage")</f>
        <v>Excess</v>
      </c>
      <c r="K142" s="50">
        <f>ABS(Table13[[#This Row],[Stock Difference]])</f>
        <v>74</v>
      </c>
      <c r="L142" s="17">
        <f t="shared" si="6"/>
        <v>185000</v>
      </c>
      <c r="M142" s="17">
        <f t="shared" si="7"/>
        <v>300000</v>
      </c>
      <c r="N142" s="17" t="str" cm="1">
        <f t="array" ref="N142">_xlfn.IFS(K142=0,"Matched", K142&gt;100,"High", K142&gt;=50,"Medium", K142&lt;50,"Low")</f>
        <v>Medium</v>
      </c>
      <c r="O142" s="17" t="str">
        <f t="shared" si="8"/>
        <v>No</v>
      </c>
    </row>
    <row r="143" spans="2:15" x14ac:dyDescent="0.3">
      <c r="B143" s="7">
        <v>141</v>
      </c>
      <c r="C143" s="3" t="s">
        <v>147</v>
      </c>
      <c r="D143" s="2" t="s">
        <v>1041</v>
      </c>
      <c r="E143" s="3" t="s">
        <v>1007</v>
      </c>
      <c r="F143" s="3">
        <v>151</v>
      </c>
      <c r="G143" s="3">
        <v>102</v>
      </c>
      <c r="H143" s="8">
        <v>2000</v>
      </c>
      <c r="I143" s="48">
        <f>Table13[[#This Row],[Physical_Stock_Qty]]-Table13[[#This Row],[System_Stock_Qty]]</f>
        <v>-49</v>
      </c>
      <c r="J143" s="53" t="str" cm="1">
        <f t="array" ref="J143">_xlfn.IFS(I143=0,"Matched",I143&gt;0,"Excess",I143&lt;0,"Shortage")</f>
        <v>Shortage</v>
      </c>
      <c r="K143" s="50">
        <f>ABS(Table13[[#This Row],[Stock Difference]])</f>
        <v>49</v>
      </c>
      <c r="L143" s="17">
        <f t="shared" si="6"/>
        <v>98000</v>
      </c>
      <c r="M143" s="17">
        <f t="shared" si="7"/>
        <v>302000</v>
      </c>
      <c r="N143" s="17" t="str" cm="1">
        <f t="array" ref="N143">_xlfn.IFS(K143=0,"Matched", K143&gt;100,"High", K143&gt;=50,"Medium", K143&lt;50,"Low")</f>
        <v>Low</v>
      </c>
      <c r="O143" s="17" t="str">
        <f t="shared" si="8"/>
        <v>No</v>
      </c>
    </row>
    <row r="144" spans="2:15" x14ac:dyDescent="0.3">
      <c r="B144" s="7">
        <v>142</v>
      </c>
      <c r="C144" s="3" t="s">
        <v>148</v>
      </c>
      <c r="D144" s="2" t="s">
        <v>1086</v>
      </c>
      <c r="E144" s="3" t="s">
        <v>1011</v>
      </c>
      <c r="F144" s="3">
        <v>176</v>
      </c>
      <c r="G144" s="3">
        <v>42</v>
      </c>
      <c r="H144" s="8">
        <v>4500</v>
      </c>
      <c r="I144" s="48">
        <f>Table13[[#This Row],[Physical_Stock_Qty]]-Table13[[#This Row],[System_Stock_Qty]]</f>
        <v>-134</v>
      </c>
      <c r="J144" s="53" t="str" cm="1">
        <f t="array" ref="J144">_xlfn.IFS(I144=0,"Matched",I144&gt;0,"Excess",I144&lt;0,"Shortage")</f>
        <v>Shortage</v>
      </c>
      <c r="K144" s="50">
        <f>ABS(Table13[[#This Row],[Stock Difference]])</f>
        <v>134</v>
      </c>
      <c r="L144" s="17">
        <f t="shared" si="6"/>
        <v>603000</v>
      </c>
      <c r="M144" s="17">
        <f t="shared" si="7"/>
        <v>792000</v>
      </c>
      <c r="N144" s="17" t="str" cm="1">
        <f t="array" ref="N144">_xlfn.IFS(K144=0,"Matched", K144&gt;100,"High", K144&gt;=50,"Medium", K144&lt;50,"Low")</f>
        <v>High</v>
      </c>
      <c r="O144" s="17" t="str">
        <f t="shared" si="8"/>
        <v>Yes</v>
      </c>
    </row>
    <row r="145" spans="2:15" x14ac:dyDescent="0.3">
      <c r="B145" s="7">
        <v>143</v>
      </c>
      <c r="C145" s="3" t="s">
        <v>149</v>
      </c>
      <c r="D145" s="2" t="s">
        <v>1061</v>
      </c>
      <c r="E145" s="3" t="s">
        <v>1012</v>
      </c>
      <c r="F145" s="3">
        <v>40</v>
      </c>
      <c r="G145" s="3">
        <v>54</v>
      </c>
      <c r="H145" s="8">
        <v>500</v>
      </c>
      <c r="I145" s="48">
        <f>Table13[[#This Row],[Physical_Stock_Qty]]-Table13[[#This Row],[System_Stock_Qty]]</f>
        <v>14</v>
      </c>
      <c r="J145" s="53" t="str" cm="1">
        <f t="array" ref="J145">_xlfn.IFS(I145=0,"Matched",I145&gt;0,"Excess",I145&lt;0,"Shortage")</f>
        <v>Excess</v>
      </c>
      <c r="K145" s="50">
        <f>ABS(Table13[[#This Row],[Stock Difference]])</f>
        <v>14</v>
      </c>
      <c r="L145" s="17">
        <f t="shared" si="6"/>
        <v>7000</v>
      </c>
      <c r="M145" s="17">
        <f t="shared" si="7"/>
        <v>20000</v>
      </c>
      <c r="N145" s="17" t="str" cm="1">
        <f t="array" ref="N145">_xlfn.IFS(K145=0,"Matched", K145&gt;100,"High", K145&gt;=50,"Medium", K145&lt;50,"Low")</f>
        <v>Low</v>
      </c>
      <c r="O145" s="17" t="str">
        <f t="shared" si="8"/>
        <v>No</v>
      </c>
    </row>
    <row r="146" spans="2:15" x14ac:dyDescent="0.3">
      <c r="B146" s="7">
        <v>144</v>
      </c>
      <c r="C146" s="3" t="s">
        <v>150</v>
      </c>
      <c r="D146" s="2" t="s">
        <v>1070</v>
      </c>
      <c r="E146" s="3" t="s">
        <v>1009</v>
      </c>
      <c r="F146" s="3">
        <v>188</v>
      </c>
      <c r="G146" s="3">
        <v>151</v>
      </c>
      <c r="H146" s="8">
        <v>1500</v>
      </c>
      <c r="I146" s="48">
        <f>Table13[[#This Row],[Physical_Stock_Qty]]-Table13[[#This Row],[System_Stock_Qty]]</f>
        <v>-37</v>
      </c>
      <c r="J146" s="53" t="str" cm="1">
        <f t="array" ref="J146">_xlfn.IFS(I146=0,"Matched",I146&gt;0,"Excess",I146&lt;0,"Shortage")</f>
        <v>Shortage</v>
      </c>
      <c r="K146" s="50">
        <f>ABS(Table13[[#This Row],[Stock Difference]])</f>
        <v>37</v>
      </c>
      <c r="L146" s="17">
        <f t="shared" si="6"/>
        <v>55500</v>
      </c>
      <c r="M146" s="17">
        <f t="shared" si="7"/>
        <v>282000</v>
      </c>
      <c r="N146" s="17" t="str" cm="1">
        <f t="array" ref="N146">_xlfn.IFS(K146=0,"Matched", K146&gt;100,"High", K146&gt;=50,"Medium", K146&lt;50,"Low")</f>
        <v>Low</v>
      </c>
      <c r="O146" s="17" t="str">
        <f t="shared" si="8"/>
        <v>No</v>
      </c>
    </row>
    <row r="147" spans="2:15" x14ac:dyDescent="0.3">
      <c r="B147" s="7">
        <v>145</v>
      </c>
      <c r="C147" s="3" t="s">
        <v>151</v>
      </c>
      <c r="D147" s="2" t="s">
        <v>1055</v>
      </c>
      <c r="E147" s="3" t="s">
        <v>1010</v>
      </c>
      <c r="F147" s="3">
        <v>104</v>
      </c>
      <c r="G147" s="3">
        <v>154</v>
      </c>
      <c r="H147" s="8">
        <v>50</v>
      </c>
      <c r="I147" s="48">
        <f>Table13[[#This Row],[Physical_Stock_Qty]]-Table13[[#This Row],[System_Stock_Qty]]</f>
        <v>50</v>
      </c>
      <c r="J147" s="53" t="str" cm="1">
        <f t="array" ref="J147">_xlfn.IFS(I147=0,"Matched",I147&gt;0,"Excess",I147&lt;0,"Shortage")</f>
        <v>Excess</v>
      </c>
      <c r="K147" s="50">
        <f>ABS(Table13[[#This Row],[Stock Difference]])</f>
        <v>50</v>
      </c>
      <c r="L147" s="17">
        <f t="shared" si="6"/>
        <v>2500</v>
      </c>
      <c r="M147" s="17">
        <f t="shared" si="7"/>
        <v>5200</v>
      </c>
      <c r="N147" s="17" t="str" cm="1">
        <f t="array" ref="N147">_xlfn.IFS(K147=0,"Matched", K147&gt;100,"High", K147&gt;=50,"Medium", K147&lt;50,"Low")</f>
        <v>Medium</v>
      </c>
      <c r="O147" s="17" t="str">
        <f t="shared" si="8"/>
        <v>No</v>
      </c>
    </row>
    <row r="148" spans="2:15" hidden="1" x14ac:dyDescent="0.3">
      <c r="B148" s="7">
        <v>146</v>
      </c>
      <c r="C148" s="3" t="s">
        <v>152</v>
      </c>
      <c r="D148" s="2" t="s">
        <v>1054</v>
      </c>
      <c r="E148" s="3" t="s">
        <v>1010</v>
      </c>
      <c r="F148" s="3">
        <v>61</v>
      </c>
      <c r="G148" s="3">
        <v>61</v>
      </c>
      <c r="H148" s="8">
        <v>30</v>
      </c>
      <c r="I148" s="48">
        <f>Table13[[#This Row],[Physical_Stock_Qty]]-Table13[[#This Row],[System_Stock_Qty]]</f>
        <v>0</v>
      </c>
      <c r="J148" s="53" t="str" cm="1">
        <f t="array" ref="J148">_xlfn.IFS(I148=0,"Matched",I148&gt;0,"Excess",I148&lt;0,"Shortage")</f>
        <v>Matched</v>
      </c>
      <c r="K148" s="50">
        <f>ABS(Table13[[#This Row],[Stock Difference]])</f>
        <v>0</v>
      </c>
      <c r="L148" s="17">
        <f t="shared" si="6"/>
        <v>0</v>
      </c>
      <c r="M148" s="17">
        <f t="shared" si="7"/>
        <v>1830</v>
      </c>
      <c r="N148" s="17" t="str" cm="1">
        <f t="array" ref="N148">_xlfn.IFS(K148=0,"Matched", K148&gt;100,"High", K148&gt;=50,"Medium", K148&lt;50,"Low")</f>
        <v>Matched</v>
      </c>
      <c r="O148" s="17" t="str">
        <f t="shared" si="8"/>
        <v>No Match</v>
      </c>
    </row>
    <row r="149" spans="2:15" hidden="1" x14ac:dyDescent="0.3">
      <c r="B149" s="7">
        <v>147</v>
      </c>
      <c r="C149" s="3" t="s">
        <v>153</v>
      </c>
      <c r="D149" s="2" t="s">
        <v>1060</v>
      </c>
      <c r="E149" s="3" t="s">
        <v>1012</v>
      </c>
      <c r="F149" s="3">
        <v>93</v>
      </c>
      <c r="G149" s="3">
        <v>93</v>
      </c>
      <c r="H149" s="8">
        <v>1500</v>
      </c>
      <c r="I149" s="48">
        <f>Table13[[#This Row],[Physical_Stock_Qty]]-Table13[[#This Row],[System_Stock_Qty]]</f>
        <v>0</v>
      </c>
      <c r="J149" s="53" t="str" cm="1">
        <f t="array" ref="J149">_xlfn.IFS(I149=0,"Matched",I149&gt;0,"Excess",I149&lt;0,"Shortage")</f>
        <v>Matched</v>
      </c>
      <c r="K149" s="50">
        <f>ABS(Table13[[#This Row],[Stock Difference]])</f>
        <v>0</v>
      </c>
      <c r="L149" s="17">
        <f t="shared" si="6"/>
        <v>0</v>
      </c>
      <c r="M149" s="17">
        <f t="shared" si="7"/>
        <v>139500</v>
      </c>
      <c r="N149" s="17" t="str" cm="1">
        <f t="array" ref="N149">_xlfn.IFS(K149=0,"Matched", K149&gt;100,"High", K149&gt;=50,"Medium", K149&lt;50,"Low")</f>
        <v>Matched</v>
      </c>
      <c r="O149" s="17" t="str">
        <f t="shared" si="8"/>
        <v>No Match</v>
      </c>
    </row>
    <row r="150" spans="2:15" hidden="1" x14ac:dyDescent="0.3">
      <c r="B150" s="7">
        <v>148</v>
      </c>
      <c r="C150" s="3" t="s">
        <v>154</v>
      </c>
      <c r="D150" s="2" t="s">
        <v>1030</v>
      </c>
      <c r="E150" s="3" t="s">
        <v>1008</v>
      </c>
      <c r="F150" s="3">
        <v>154</v>
      </c>
      <c r="G150" s="3">
        <v>154</v>
      </c>
      <c r="H150" s="8">
        <v>70000</v>
      </c>
      <c r="I150" s="48">
        <f>Table13[[#This Row],[Physical_Stock_Qty]]-Table13[[#This Row],[System_Stock_Qty]]</f>
        <v>0</v>
      </c>
      <c r="J150" s="53" t="str" cm="1">
        <f t="array" ref="J150">_xlfn.IFS(I150=0,"Matched",I150&gt;0,"Excess",I150&lt;0,"Shortage")</f>
        <v>Matched</v>
      </c>
      <c r="K150" s="50">
        <f>ABS(Table13[[#This Row],[Stock Difference]])</f>
        <v>0</v>
      </c>
      <c r="L150" s="17">
        <f t="shared" si="6"/>
        <v>0</v>
      </c>
      <c r="M150" s="17">
        <f t="shared" si="7"/>
        <v>10780000</v>
      </c>
      <c r="N150" s="17" t="str" cm="1">
        <f t="array" ref="N150">_xlfn.IFS(K150=0,"Matched", K150&gt;100,"High", K150&gt;=50,"Medium", K150&lt;50,"Low")</f>
        <v>Matched</v>
      </c>
      <c r="O150" s="17" t="str">
        <f t="shared" si="8"/>
        <v>No Match</v>
      </c>
    </row>
    <row r="151" spans="2:15" hidden="1" x14ac:dyDescent="0.3">
      <c r="B151" s="7">
        <v>149</v>
      </c>
      <c r="C151" s="3" t="s">
        <v>155</v>
      </c>
      <c r="D151" s="2" t="s">
        <v>1062</v>
      </c>
      <c r="E151" s="3" t="s">
        <v>1009</v>
      </c>
      <c r="F151" s="3">
        <v>176</v>
      </c>
      <c r="G151" s="3">
        <v>176</v>
      </c>
      <c r="H151" s="8">
        <v>100</v>
      </c>
      <c r="I151" s="48">
        <f>Table13[[#This Row],[Physical_Stock_Qty]]-Table13[[#This Row],[System_Stock_Qty]]</f>
        <v>0</v>
      </c>
      <c r="J151" s="53" t="str" cm="1">
        <f t="array" ref="J151">_xlfn.IFS(I151=0,"Matched",I151&gt;0,"Excess",I151&lt;0,"Shortage")</f>
        <v>Matched</v>
      </c>
      <c r="K151" s="50">
        <f>ABS(Table13[[#This Row],[Stock Difference]])</f>
        <v>0</v>
      </c>
      <c r="L151" s="17">
        <f t="shared" si="6"/>
        <v>0</v>
      </c>
      <c r="M151" s="17">
        <f t="shared" si="7"/>
        <v>17600</v>
      </c>
      <c r="N151" s="17" t="str" cm="1">
        <f t="array" ref="N151">_xlfn.IFS(K151=0,"Matched", K151&gt;100,"High", K151&gt;=50,"Medium", K151&lt;50,"Low")</f>
        <v>Matched</v>
      </c>
      <c r="O151" s="17" t="str">
        <f t="shared" si="8"/>
        <v>No Match</v>
      </c>
    </row>
    <row r="152" spans="2:15" hidden="1" x14ac:dyDescent="0.3">
      <c r="B152" s="7">
        <v>150</v>
      </c>
      <c r="C152" s="3" t="s">
        <v>156</v>
      </c>
      <c r="D152" s="2" t="s">
        <v>1077</v>
      </c>
      <c r="E152" s="3" t="s">
        <v>1011</v>
      </c>
      <c r="F152" s="3">
        <v>64</v>
      </c>
      <c r="G152" s="3">
        <v>64</v>
      </c>
      <c r="H152" s="8">
        <v>5000</v>
      </c>
      <c r="I152" s="48">
        <f>Table13[[#This Row],[Physical_Stock_Qty]]-Table13[[#This Row],[System_Stock_Qty]]</f>
        <v>0</v>
      </c>
      <c r="J152" s="53" t="str" cm="1">
        <f t="array" ref="J152">_xlfn.IFS(I152=0,"Matched",I152&gt;0,"Excess",I152&lt;0,"Shortage")</f>
        <v>Matched</v>
      </c>
      <c r="K152" s="50">
        <f>ABS(Table13[[#This Row],[Stock Difference]])</f>
        <v>0</v>
      </c>
      <c r="L152" s="17">
        <f t="shared" si="6"/>
        <v>0</v>
      </c>
      <c r="M152" s="17">
        <f t="shared" si="7"/>
        <v>320000</v>
      </c>
      <c r="N152" s="17" t="str" cm="1">
        <f t="array" ref="N152">_xlfn.IFS(K152=0,"Matched", K152&gt;100,"High", K152&gt;=50,"Medium", K152&lt;50,"Low")</f>
        <v>Matched</v>
      </c>
      <c r="O152" s="17" t="str">
        <f t="shared" si="8"/>
        <v>No Match</v>
      </c>
    </row>
    <row r="153" spans="2:15" hidden="1" x14ac:dyDescent="0.3">
      <c r="B153" s="7">
        <v>151</v>
      </c>
      <c r="C153" s="3" t="s">
        <v>157</v>
      </c>
      <c r="D153" s="2" t="s">
        <v>1038</v>
      </c>
      <c r="E153" s="3" t="s">
        <v>1007</v>
      </c>
      <c r="F153" s="3">
        <v>186</v>
      </c>
      <c r="G153" s="3">
        <v>186</v>
      </c>
      <c r="H153" s="8">
        <v>5000</v>
      </c>
      <c r="I153" s="48">
        <f>Table13[[#This Row],[Physical_Stock_Qty]]-Table13[[#This Row],[System_Stock_Qty]]</f>
        <v>0</v>
      </c>
      <c r="J153" s="53" t="str" cm="1">
        <f t="array" ref="J153">_xlfn.IFS(I153=0,"Matched",I153&gt;0,"Excess",I153&lt;0,"Shortage")</f>
        <v>Matched</v>
      </c>
      <c r="K153" s="50">
        <f>ABS(Table13[[#This Row],[Stock Difference]])</f>
        <v>0</v>
      </c>
      <c r="L153" s="17">
        <f t="shared" si="6"/>
        <v>0</v>
      </c>
      <c r="M153" s="17">
        <f t="shared" si="7"/>
        <v>930000</v>
      </c>
      <c r="N153" s="17" t="str" cm="1">
        <f t="array" ref="N153">_xlfn.IFS(K153=0,"Matched", K153&gt;100,"High", K153&gt;=50,"Medium", K153&lt;50,"Low")</f>
        <v>Matched</v>
      </c>
      <c r="O153" s="17" t="str">
        <f t="shared" si="8"/>
        <v>No Match</v>
      </c>
    </row>
    <row r="154" spans="2:15" hidden="1" x14ac:dyDescent="0.3">
      <c r="B154" s="7">
        <v>152</v>
      </c>
      <c r="C154" s="3" t="s">
        <v>158</v>
      </c>
      <c r="D154" s="2" t="s">
        <v>1040</v>
      </c>
      <c r="E154" s="3" t="s">
        <v>1007</v>
      </c>
      <c r="F154" s="3">
        <v>164</v>
      </c>
      <c r="G154" s="3">
        <v>164</v>
      </c>
      <c r="H154" s="8">
        <v>5000</v>
      </c>
      <c r="I154" s="48">
        <f>Table13[[#This Row],[Physical_Stock_Qty]]-Table13[[#This Row],[System_Stock_Qty]]</f>
        <v>0</v>
      </c>
      <c r="J154" s="53" t="str" cm="1">
        <f t="array" ref="J154">_xlfn.IFS(I154=0,"Matched",I154&gt;0,"Excess",I154&lt;0,"Shortage")</f>
        <v>Matched</v>
      </c>
      <c r="K154" s="50">
        <f>ABS(Table13[[#This Row],[Stock Difference]])</f>
        <v>0</v>
      </c>
      <c r="L154" s="17">
        <f t="shared" si="6"/>
        <v>0</v>
      </c>
      <c r="M154" s="17">
        <f t="shared" si="7"/>
        <v>820000</v>
      </c>
      <c r="N154" s="17" t="str" cm="1">
        <f t="array" ref="N154">_xlfn.IFS(K154=0,"Matched", K154&gt;100,"High", K154&gt;=50,"Medium", K154&lt;50,"Low")</f>
        <v>Matched</v>
      </c>
      <c r="O154" s="17" t="str">
        <f t="shared" si="8"/>
        <v>No Match</v>
      </c>
    </row>
    <row r="155" spans="2:15" hidden="1" x14ac:dyDescent="0.3">
      <c r="B155" s="7">
        <v>153</v>
      </c>
      <c r="C155" s="3" t="s">
        <v>159</v>
      </c>
      <c r="D155" s="2" t="s">
        <v>1067</v>
      </c>
      <c r="E155" s="3" t="s">
        <v>1009</v>
      </c>
      <c r="F155" s="3">
        <v>49</v>
      </c>
      <c r="G155" s="3">
        <v>49</v>
      </c>
      <c r="H155" s="8">
        <v>100</v>
      </c>
      <c r="I155" s="48">
        <f>Table13[[#This Row],[Physical_Stock_Qty]]-Table13[[#This Row],[System_Stock_Qty]]</f>
        <v>0</v>
      </c>
      <c r="J155" s="53" t="str" cm="1">
        <f t="array" ref="J155">_xlfn.IFS(I155=0,"Matched",I155&gt;0,"Excess",I155&lt;0,"Shortage")</f>
        <v>Matched</v>
      </c>
      <c r="K155" s="50">
        <f>ABS(Table13[[#This Row],[Stock Difference]])</f>
        <v>0</v>
      </c>
      <c r="L155" s="17">
        <f t="shared" si="6"/>
        <v>0</v>
      </c>
      <c r="M155" s="17">
        <f t="shared" si="7"/>
        <v>4900</v>
      </c>
      <c r="N155" s="17" t="str" cm="1">
        <f t="array" ref="N155">_xlfn.IFS(K155=0,"Matched", K155&gt;100,"High", K155&gt;=50,"Medium", K155&lt;50,"Low")</f>
        <v>Matched</v>
      </c>
      <c r="O155" s="17" t="str">
        <f t="shared" si="8"/>
        <v>No Match</v>
      </c>
    </row>
    <row r="156" spans="2:15" hidden="1" x14ac:dyDescent="0.3">
      <c r="B156" s="7">
        <v>154</v>
      </c>
      <c r="C156" s="3" t="s">
        <v>160</v>
      </c>
      <c r="D156" s="2" t="s">
        <v>1044</v>
      </c>
      <c r="E156" s="3" t="s">
        <v>1010</v>
      </c>
      <c r="F156" s="3">
        <v>57</v>
      </c>
      <c r="G156" s="3">
        <v>57</v>
      </c>
      <c r="H156" s="8">
        <v>100</v>
      </c>
      <c r="I156" s="48">
        <f>Table13[[#This Row],[Physical_Stock_Qty]]-Table13[[#This Row],[System_Stock_Qty]]</f>
        <v>0</v>
      </c>
      <c r="J156" s="53" t="str" cm="1">
        <f t="array" ref="J156">_xlfn.IFS(I156=0,"Matched",I156&gt;0,"Excess",I156&lt;0,"Shortage")</f>
        <v>Matched</v>
      </c>
      <c r="K156" s="50">
        <f>ABS(Table13[[#This Row],[Stock Difference]])</f>
        <v>0</v>
      </c>
      <c r="L156" s="17">
        <f t="shared" si="6"/>
        <v>0</v>
      </c>
      <c r="M156" s="17">
        <f t="shared" si="7"/>
        <v>5700</v>
      </c>
      <c r="N156" s="17" t="str" cm="1">
        <f t="array" ref="N156">_xlfn.IFS(K156=0,"Matched", K156&gt;100,"High", K156&gt;=50,"Medium", K156&lt;50,"Low")</f>
        <v>Matched</v>
      </c>
      <c r="O156" s="17" t="str">
        <f t="shared" si="8"/>
        <v>No Match</v>
      </c>
    </row>
    <row r="157" spans="2:15" hidden="1" x14ac:dyDescent="0.3">
      <c r="B157" s="7">
        <v>155</v>
      </c>
      <c r="C157" s="3" t="s">
        <v>161</v>
      </c>
      <c r="D157" s="2" t="s">
        <v>1083</v>
      </c>
      <c r="E157" s="3" t="s">
        <v>1011</v>
      </c>
      <c r="F157" s="3">
        <v>134</v>
      </c>
      <c r="G157" s="3">
        <v>134</v>
      </c>
      <c r="H157" s="8">
        <v>3000</v>
      </c>
      <c r="I157" s="48">
        <f>Table13[[#This Row],[Physical_Stock_Qty]]-Table13[[#This Row],[System_Stock_Qty]]</f>
        <v>0</v>
      </c>
      <c r="J157" s="53" t="str" cm="1">
        <f t="array" ref="J157">_xlfn.IFS(I157=0,"Matched",I157&gt;0,"Excess",I157&lt;0,"Shortage")</f>
        <v>Matched</v>
      </c>
      <c r="K157" s="50">
        <f>ABS(Table13[[#This Row],[Stock Difference]])</f>
        <v>0</v>
      </c>
      <c r="L157" s="17">
        <f t="shared" si="6"/>
        <v>0</v>
      </c>
      <c r="M157" s="17">
        <f t="shared" si="7"/>
        <v>402000</v>
      </c>
      <c r="N157" s="17" t="str" cm="1">
        <f t="array" ref="N157">_xlfn.IFS(K157=0,"Matched", K157&gt;100,"High", K157&gt;=50,"Medium", K157&lt;50,"Low")</f>
        <v>Matched</v>
      </c>
      <c r="O157" s="17" t="str">
        <f t="shared" si="8"/>
        <v>No Match</v>
      </c>
    </row>
    <row r="158" spans="2:15" hidden="1" x14ac:dyDescent="0.3">
      <c r="B158" s="7">
        <v>156</v>
      </c>
      <c r="C158" s="3" t="s">
        <v>162</v>
      </c>
      <c r="D158" s="2" t="s">
        <v>1031</v>
      </c>
      <c r="E158" s="3" t="s">
        <v>1008</v>
      </c>
      <c r="F158" s="3">
        <v>37</v>
      </c>
      <c r="G158" s="3">
        <v>37</v>
      </c>
      <c r="H158" s="8">
        <v>40000</v>
      </c>
      <c r="I158" s="48">
        <f>Table13[[#This Row],[Physical_Stock_Qty]]-Table13[[#This Row],[System_Stock_Qty]]</f>
        <v>0</v>
      </c>
      <c r="J158" s="53" t="str" cm="1">
        <f t="array" ref="J158">_xlfn.IFS(I158=0,"Matched",I158&gt;0,"Excess",I158&lt;0,"Shortage")</f>
        <v>Matched</v>
      </c>
      <c r="K158" s="50">
        <f>ABS(Table13[[#This Row],[Stock Difference]])</f>
        <v>0</v>
      </c>
      <c r="L158" s="17">
        <f t="shared" si="6"/>
        <v>0</v>
      </c>
      <c r="M158" s="17">
        <f t="shared" si="7"/>
        <v>1480000</v>
      </c>
      <c r="N158" s="17" t="str" cm="1">
        <f t="array" ref="N158">_xlfn.IFS(K158=0,"Matched", K158&gt;100,"High", K158&gt;=50,"Medium", K158&lt;50,"Low")</f>
        <v>Matched</v>
      </c>
      <c r="O158" s="17" t="str">
        <f t="shared" si="8"/>
        <v>No Match</v>
      </c>
    </row>
    <row r="159" spans="2:15" hidden="1" x14ac:dyDescent="0.3">
      <c r="B159" s="7">
        <v>157</v>
      </c>
      <c r="C159" s="3" t="s">
        <v>163</v>
      </c>
      <c r="D159" s="2" t="s">
        <v>1061</v>
      </c>
      <c r="E159" s="3" t="s">
        <v>1012</v>
      </c>
      <c r="F159" s="3">
        <v>40</v>
      </c>
      <c r="G159" s="3">
        <v>40</v>
      </c>
      <c r="H159" s="8">
        <v>500</v>
      </c>
      <c r="I159" s="48">
        <f>Table13[[#This Row],[Physical_Stock_Qty]]-Table13[[#This Row],[System_Stock_Qty]]</f>
        <v>0</v>
      </c>
      <c r="J159" s="53" t="str" cm="1">
        <f t="array" ref="J159">_xlfn.IFS(I159=0,"Matched",I159&gt;0,"Excess",I159&lt;0,"Shortage")</f>
        <v>Matched</v>
      </c>
      <c r="K159" s="50">
        <f>ABS(Table13[[#This Row],[Stock Difference]])</f>
        <v>0</v>
      </c>
      <c r="L159" s="17">
        <f t="shared" si="6"/>
        <v>0</v>
      </c>
      <c r="M159" s="17">
        <f t="shared" si="7"/>
        <v>20000</v>
      </c>
      <c r="N159" s="17" t="str" cm="1">
        <f t="array" ref="N159">_xlfn.IFS(K159=0,"Matched", K159&gt;100,"High", K159&gt;=50,"Medium", K159&lt;50,"Low")</f>
        <v>Matched</v>
      </c>
      <c r="O159" s="17" t="str">
        <f t="shared" si="8"/>
        <v>No Match</v>
      </c>
    </row>
    <row r="160" spans="2:15" hidden="1" x14ac:dyDescent="0.3">
      <c r="B160" s="7">
        <v>158</v>
      </c>
      <c r="C160" s="3" t="s">
        <v>164</v>
      </c>
      <c r="D160" s="2" t="s">
        <v>1052</v>
      </c>
      <c r="E160" s="3" t="s">
        <v>1010</v>
      </c>
      <c r="F160" s="3">
        <v>104</v>
      </c>
      <c r="G160" s="3">
        <v>104</v>
      </c>
      <c r="H160" s="8">
        <v>100</v>
      </c>
      <c r="I160" s="48">
        <f>Table13[[#This Row],[Physical_Stock_Qty]]-Table13[[#This Row],[System_Stock_Qty]]</f>
        <v>0</v>
      </c>
      <c r="J160" s="53" t="str" cm="1">
        <f t="array" ref="J160">_xlfn.IFS(I160=0,"Matched",I160&gt;0,"Excess",I160&lt;0,"Shortage")</f>
        <v>Matched</v>
      </c>
      <c r="K160" s="50">
        <f>ABS(Table13[[#This Row],[Stock Difference]])</f>
        <v>0</v>
      </c>
      <c r="L160" s="17">
        <f t="shared" si="6"/>
        <v>0</v>
      </c>
      <c r="M160" s="17">
        <f t="shared" si="7"/>
        <v>10400</v>
      </c>
      <c r="N160" s="17" t="str" cm="1">
        <f t="array" ref="N160">_xlfn.IFS(K160=0,"Matched", K160&gt;100,"High", K160&gt;=50,"Medium", K160&lt;50,"Low")</f>
        <v>Matched</v>
      </c>
      <c r="O160" s="17" t="str">
        <f t="shared" si="8"/>
        <v>No Match</v>
      </c>
    </row>
    <row r="161" spans="2:15" hidden="1" x14ac:dyDescent="0.3">
      <c r="B161" s="7">
        <v>159</v>
      </c>
      <c r="C161" s="3" t="s">
        <v>165</v>
      </c>
      <c r="D161" s="2" t="s">
        <v>1040</v>
      </c>
      <c r="E161" s="3" t="s">
        <v>1007</v>
      </c>
      <c r="F161" s="3">
        <v>57</v>
      </c>
      <c r="G161" s="3">
        <v>57</v>
      </c>
      <c r="H161" s="8">
        <v>5000</v>
      </c>
      <c r="I161" s="48">
        <f>Table13[[#This Row],[Physical_Stock_Qty]]-Table13[[#This Row],[System_Stock_Qty]]</f>
        <v>0</v>
      </c>
      <c r="J161" s="53" t="str" cm="1">
        <f t="array" ref="J161">_xlfn.IFS(I161=0,"Matched",I161&gt;0,"Excess",I161&lt;0,"Shortage")</f>
        <v>Matched</v>
      </c>
      <c r="K161" s="50">
        <f>ABS(Table13[[#This Row],[Stock Difference]])</f>
        <v>0</v>
      </c>
      <c r="L161" s="17">
        <f t="shared" si="6"/>
        <v>0</v>
      </c>
      <c r="M161" s="17">
        <f t="shared" si="7"/>
        <v>285000</v>
      </c>
      <c r="N161" s="17" t="str" cm="1">
        <f t="array" ref="N161">_xlfn.IFS(K161=0,"Matched", K161&gt;100,"High", K161&gt;=50,"Medium", K161&lt;50,"Low")</f>
        <v>Matched</v>
      </c>
      <c r="O161" s="17" t="str">
        <f t="shared" si="8"/>
        <v>No Match</v>
      </c>
    </row>
    <row r="162" spans="2:15" hidden="1" x14ac:dyDescent="0.3">
      <c r="B162" s="7">
        <v>160</v>
      </c>
      <c r="C162" s="3" t="s">
        <v>166</v>
      </c>
      <c r="D162" s="2" t="s">
        <v>1037</v>
      </c>
      <c r="E162" s="3" t="s">
        <v>1007</v>
      </c>
      <c r="F162" s="3">
        <v>35</v>
      </c>
      <c r="G162" s="3">
        <v>35</v>
      </c>
      <c r="H162" s="8">
        <v>10000</v>
      </c>
      <c r="I162" s="48">
        <f>Table13[[#This Row],[Physical_Stock_Qty]]-Table13[[#This Row],[System_Stock_Qty]]</f>
        <v>0</v>
      </c>
      <c r="J162" s="53" t="str" cm="1">
        <f t="array" ref="J162">_xlfn.IFS(I162=0,"Matched",I162&gt;0,"Excess",I162&lt;0,"Shortage")</f>
        <v>Matched</v>
      </c>
      <c r="K162" s="50">
        <f>ABS(Table13[[#This Row],[Stock Difference]])</f>
        <v>0</v>
      </c>
      <c r="L162" s="17">
        <f t="shared" si="6"/>
        <v>0</v>
      </c>
      <c r="M162" s="17">
        <f t="shared" si="7"/>
        <v>350000</v>
      </c>
      <c r="N162" s="17" t="str" cm="1">
        <f t="array" ref="N162">_xlfn.IFS(K162=0,"Matched", K162&gt;100,"High", K162&gt;=50,"Medium", K162&lt;50,"Low")</f>
        <v>Matched</v>
      </c>
      <c r="O162" s="17" t="str">
        <f t="shared" si="8"/>
        <v>No Match</v>
      </c>
    </row>
    <row r="163" spans="2:15" hidden="1" x14ac:dyDescent="0.3">
      <c r="B163" s="7">
        <v>161</v>
      </c>
      <c r="C163" s="3" t="s">
        <v>167</v>
      </c>
      <c r="D163" s="2" t="s">
        <v>1018</v>
      </c>
      <c r="E163" s="3" t="s">
        <v>1012</v>
      </c>
      <c r="F163" s="3">
        <v>54</v>
      </c>
      <c r="G163" s="3">
        <v>54</v>
      </c>
      <c r="H163" s="8">
        <v>3000</v>
      </c>
      <c r="I163" s="48">
        <f>Table13[[#This Row],[Physical_Stock_Qty]]-Table13[[#This Row],[System_Stock_Qty]]</f>
        <v>0</v>
      </c>
      <c r="J163" s="53" t="str" cm="1">
        <f t="array" ref="J163">_xlfn.IFS(I163=0,"Matched",I163&gt;0,"Excess",I163&lt;0,"Shortage")</f>
        <v>Matched</v>
      </c>
      <c r="K163" s="50">
        <f>ABS(Table13[[#This Row],[Stock Difference]])</f>
        <v>0</v>
      </c>
      <c r="L163" s="17">
        <f t="shared" si="6"/>
        <v>0</v>
      </c>
      <c r="M163" s="17">
        <f t="shared" si="7"/>
        <v>162000</v>
      </c>
      <c r="N163" s="17" t="str" cm="1">
        <f t="array" ref="N163">_xlfn.IFS(K163=0,"Matched", K163&gt;100,"High", K163&gt;=50,"Medium", K163&lt;50,"Low")</f>
        <v>Matched</v>
      </c>
      <c r="O163" s="17" t="str">
        <f t="shared" si="8"/>
        <v>No Match</v>
      </c>
    </row>
    <row r="164" spans="2:15" hidden="1" x14ac:dyDescent="0.3">
      <c r="B164" s="7">
        <v>162</v>
      </c>
      <c r="C164" s="3" t="s">
        <v>168</v>
      </c>
      <c r="D164" s="2" t="s">
        <v>1054</v>
      </c>
      <c r="E164" s="3" t="s">
        <v>1010</v>
      </c>
      <c r="F164" s="3">
        <v>53</v>
      </c>
      <c r="G164" s="3">
        <v>53</v>
      </c>
      <c r="H164" s="8">
        <v>30</v>
      </c>
      <c r="I164" s="48">
        <f>Table13[[#This Row],[Physical_Stock_Qty]]-Table13[[#This Row],[System_Stock_Qty]]</f>
        <v>0</v>
      </c>
      <c r="J164" s="53" t="str" cm="1">
        <f t="array" ref="J164">_xlfn.IFS(I164=0,"Matched",I164&gt;0,"Excess",I164&lt;0,"Shortage")</f>
        <v>Matched</v>
      </c>
      <c r="K164" s="50">
        <f>ABS(Table13[[#This Row],[Stock Difference]])</f>
        <v>0</v>
      </c>
      <c r="L164" s="17">
        <f t="shared" si="6"/>
        <v>0</v>
      </c>
      <c r="M164" s="17">
        <f t="shared" si="7"/>
        <v>1590</v>
      </c>
      <c r="N164" s="17" t="str" cm="1">
        <f t="array" ref="N164">_xlfn.IFS(K164=0,"Matched", K164&gt;100,"High", K164&gt;=50,"Medium", K164&lt;50,"Low")</f>
        <v>Matched</v>
      </c>
      <c r="O164" s="17" t="str">
        <f t="shared" si="8"/>
        <v>No Match</v>
      </c>
    </row>
    <row r="165" spans="2:15" hidden="1" x14ac:dyDescent="0.3">
      <c r="B165" s="7">
        <v>163</v>
      </c>
      <c r="C165" s="3" t="s">
        <v>169</v>
      </c>
      <c r="D165" s="2" t="s">
        <v>1071</v>
      </c>
      <c r="E165" s="3" t="s">
        <v>1009</v>
      </c>
      <c r="F165" s="3">
        <v>70</v>
      </c>
      <c r="G165" s="3">
        <v>70</v>
      </c>
      <c r="H165" s="8">
        <v>200</v>
      </c>
      <c r="I165" s="48">
        <f>Table13[[#This Row],[Physical_Stock_Qty]]-Table13[[#This Row],[System_Stock_Qty]]</f>
        <v>0</v>
      </c>
      <c r="J165" s="53" t="str" cm="1">
        <f t="array" ref="J165">_xlfn.IFS(I165=0,"Matched",I165&gt;0,"Excess",I165&lt;0,"Shortage")</f>
        <v>Matched</v>
      </c>
      <c r="K165" s="50">
        <f>ABS(Table13[[#This Row],[Stock Difference]])</f>
        <v>0</v>
      </c>
      <c r="L165" s="17">
        <f t="shared" si="6"/>
        <v>0</v>
      </c>
      <c r="M165" s="17">
        <f t="shared" si="7"/>
        <v>14000</v>
      </c>
      <c r="N165" s="17" t="str" cm="1">
        <f t="array" ref="N165">_xlfn.IFS(K165=0,"Matched", K165&gt;100,"High", K165&gt;=50,"Medium", K165&lt;50,"Low")</f>
        <v>Matched</v>
      </c>
      <c r="O165" s="17" t="str">
        <f t="shared" si="8"/>
        <v>No Match</v>
      </c>
    </row>
    <row r="166" spans="2:15" hidden="1" x14ac:dyDescent="0.3">
      <c r="B166" s="7">
        <v>164</v>
      </c>
      <c r="C166" s="3" t="s">
        <v>170</v>
      </c>
      <c r="D166" s="2" t="s">
        <v>1081</v>
      </c>
      <c r="E166" s="3" t="s">
        <v>1011</v>
      </c>
      <c r="F166" s="3">
        <v>35</v>
      </c>
      <c r="G166" s="3">
        <v>35</v>
      </c>
      <c r="H166" s="8">
        <v>1000</v>
      </c>
      <c r="I166" s="48">
        <f>Table13[[#This Row],[Physical_Stock_Qty]]-Table13[[#This Row],[System_Stock_Qty]]</f>
        <v>0</v>
      </c>
      <c r="J166" s="53" t="str" cm="1">
        <f t="array" ref="J166">_xlfn.IFS(I166=0,"Matched",I166&gt;0,"Excess",I166&lt;0,"Shortage")</f>
        <v>Matched</v>
      </c>
      <c r="K166" s="50">
        <f>ABS(Table13[[#This Row],[Stock Difference]])</f>
        <v>0</v>
      </c>
      <c r="L166" s="17">
        <f t="shared" si="6"/>
        <v>0</v>
      </c>
      <c r="M166" s="17">
        <f t="shared" si="7"/>
        <v>35000</v>
      </c>
      <c r="N166" s="17" t="str" cm="1">
        <f t="array" ref="N166">_xlfn.IFS(K166=0,"Matched", K166&gt;100,"High", K166&gt;=50,"Medium", K166&lt;50,"Low")</f>
        <v>Matched</v>
      </c>
      <c r="O166" s="17" t="str">
        <f t="shared" si="8"/>
        <v>No Match</v>
      </c>
    </row>
    <row r="167" spans="2:15" hidden="1" x14ac:dyDescent="0.3">
      <c r="B167" s="7">
        <v>165</v>
      </c>
      <c r="C167" s="3" t="s">
        <v>171</v>
      </c>
      <c r="D167" s="2" t="s">
        <v>1087</v>
      </c>
      <c r="E167" s="3" t="s">
        <v>1011</v>
      </c>
      <c r="F167" s="3">
        <v>128</v>
      </c>
      <c r="G167" s="3">
        <v>128</v>
      </c>
      <c r="H167" s="8">
        <v>5000</v>
      </c>
      <c r="I167" s="48">
        <f>Table13[[#This Row],[Physical_Stock_Qty]]-Table13[[#This Row],[System_Stock_Qty]]</f>
        <v>0</v>
      </c>
      <c r="J167" s="53" t="str" cm="1">
        <f t="array" ref="J167">_xlfn.IFS(I167=0,"Matched",I167&gt;0,"Excess",I167&lt;0,"Shortage")</f>
        <v>Matched</v>
      </c>
      <c r="K167" s="50">
        <f>ABS(Table13[[#This Row],[Stock Difference]])</f>
        <v>0</v>
      </c>
      <c r="L167" s="17">
        <f t="shared" si="6"/>
        <v>0</v>
      </c>
      <c r="M167" s="17">
        <f t="shared" si="7"/>
        <v>640000</v>
      </c>
      <c r="N167" s="17" t="str" cm="1">
        <f t="array" ref="N167">_xlfn.IFS(K167=0,"Matched", K167&gt;100,"High", K167&gt;=50,"Medium", K167&lt;50,"Low")</f>
        <v>Matched</v>
      </c>
      <c r="O167" s="17" t="str">
        <f t="shared" si="8"/>
        <v>No Match</v>
      </c>
    </row>
    <row r="168" spans="2:15" hidden="1" x14ac:dyDescent="0.3">
      <c r="B168" s="7">
        <v>166</v>
      </c>
      <c r="C168" s="3" t="s">
        <v>172</v>
      </c>
      <c r="D168" s="2" t="s">
        <v>1017</v>
      </c>
      <c r="E168" s="3" t="s">
        <v>1012</v>
      </c>
      <c r="F168" s="3">
        <v>60</v>
      </c>
      <c r="G168" s="3">
        <v>60</v>
      </c>
      <c r="H168" s="8">
        <v>200</v>
      </c>
      <c r="I168" s="48">
        <f>Table13[[#This Row],[Physical_Stock_Qty]]-Table13[[#This Row],[System_Stock_Qty]]</f>
        <v>0</v>
      </c>
      <c r="J168" s="53" t="str" cm="1">
        <f t="array" ref="J168">_xlfn.IFS(I168=0,"Matched",I168&gt;0,"Excess",I168&lt;0,"Shortage")</f>
        <v>Matched</v>
      </c>
      <c r="K168" s="50">
        <f>ABS(Table13[[#This Row],[Stock Difference]])</f>
        <v>0</v>
      </c>
      <c r="L168" s="17">
        <f t="shared" si="6"/>
        <v>0</v>
      </c>
      <c r="M168" s="17">
        <f t="shared" si="7"/>
        <v>12000</v>
      </c>
      <c r="N168" s="17" t="str" cm="1">
        <f t="array" ref="N168">_xlfn.IFS(K168=0,"Matched", K168&gt;100,"High", K168&gt;=50,"Medium", K168&lt;50,"Low")</f>
        <v>Matched</v>
      </c>
      <c r="O168" s="17" t="str">
        <f t="shared" si="8"/>
        <v>No Match</v>
      </c>
    </row>
    <row r="169" spans="2:15" hidden="1" x14ac:dyDescent="0.3">
      <c r="B169" s="7">
        <v>167</v>
      </c>
      <c r="C169" s="3" t="s">
        <v>173</v>
      </c>
      <c r="D169" s="2" t="s">
        <v>1076</v>
      </c>
      <c r="E169" s="3" t="s">
        <v>1009</v>
      </c>
      <c r="F169" s="3">
        <v>74</v>
      </c>
      <c r="G169" s="3">
        <v>74</v>
      </c>
      <c r="H169" s="8">
        <v>100</v>
      </c>
      <c r="I169" s="48">
        <f>Table13[[#This Row],[Physical_Stock_Qty]]-Table13[[#This Row],[System_Stock_Qty]]</f>
        <v>0</v>
      </c>
      <c r="J169" s="53" t="str" cm="1">
        <f t="array" ref="J169">_xlfn.IFS(I169=0,"Matched",I169&gt;0,"Excess",I169&lt;0,"Shortage")</f>
        <v>Matched</v>
      </c>
      <c r="K169" s="50">
        <f>ABS(Table13[[#This Row],[Stock Difference]])</f>
        <v>0</v>
      </c>
      <c r="L169" s="17">
        <f t="shared" si="6"/>
        <v>0</v>
      </c>
      <c r="M169" s="17">
        <f t="shared" si="7"/>
        <v>7400</v>
      </c>
      <c r="N169" s="17" t="str" cm="1">
        <f t="array" ref="N169">_xlfn.IFS(K169=0,"Matched", K169&gt;100,"High", K169&gt;=50,"Medium", K169&lt;50,"Low")</f>
        <v>Matched</v>
      </c>
      <c r="O169" s="17" t="str">
        <f t="shared" si="8"/>
        <v>No Match</v>
      </c>
    </row>
    <row r="170" spans="2:15" hidden="1" x14ac:dyDescent="0.3">
      <c r="B170" s="7">
        <v>168</v>
      </c>
      <c r="C170" s="3" t="s">
        <v>174</v>
      </c>
      <c r="D170" s="2" t="s">
        <v>1052</v>
      </c>
      <c r="E170" s="3" t="s">
        <v>1010</v>
      </c>
      <c r="F170" s="3">
        <v>133</v>
      </c>
      <c r="G170" s="3">
        <v>133</v>
      </c>
      <c r="H170" s="8">
        <v>100</v>
      </c>
      <c r="I170" s="48">
        <f>Table13[[#This Row],[Physical_Stock_Qty]]-Table13[[#This Row],[System_Stock_Qty]]</f>
        <v>0</v>
      </c>
      <c r="J170" s="53" t="str" cm="1">
        <f t="array" ref="J170">_xlfn.IFS(I170=0,"Matched",I170&gt;0,"Excess",I170&lt;0,"Shortage")</f>
        <v>Matched</v>
      </c>
      <c r="K170" s="50">
        <f>ABS(Table13[[#This Row],[Stock Difference]])</f>
        <v>0</v>
      </c>
      <c r="L170" s="17">
        <f t="shared" si="6"/>
        <v>0</v>
      </c>
      <c r="M170" s="17">
        <f t="shared" si="7"/>
        <v>13300</v>
      </c>
      <c r="N170" s="17" t="str" cm="1">
        <f t="array" ref="N170">_xlfn.IFS(K170=0,"Matched", K170&gt;100,"High", K170&gt;=50,"Medium", K170&lt;50,"Low")</f>
        <v>Matched</v>
      </c>
      <c r="O170" s="17" t="str">
        <f t="shared" si="8"/>
        <v>No Match</v>
      </c>
    </row>
    <row r="171" spans="2:15" hidden="1" x14ac:dyDescent="0.3">
      <c r="B171" s="7">
        <v>169</v>
      </c>
      <c r="C171" s="3" t="s">
        <v>175</v>
      </c>
      <c r="D171" s="2" t="s">
        <v>1076</v>
      </c>
      <c r="E171" s="3" t="s">
        <v>1009</v>
      </c>
      <c r="F171" s="3">
        <v>125</v>
      </c>
      <c r="G171" s="3">
        <v>125</v>
      </c>
      <c r="H171" s="8">
        <v>100</v>
      </c>
      <c r="I171" s="48">
        <f>Table13[[#This Row],[Physical_Stock_Qty]]-Table13[[#This Row],[System_Stock_Qty]]</f>
        <v>0</v>
      </c>
      <c r="J171" s="53" t="str" cm="1">
        <f t="array" ref="J171">_xlfn.IFS(I171=0,"Matched",I171&gt;0,"Excess",I171&lt;0,"Shortage")</f>
        <v>Matched</v>
      </c>
      <c r="K171" s="50">
        <f>ABS(Table13[[#This Row],[Stock Difference]])</f>
        <v>0</v>
      </c>
      <c r="L171" s="17">
        <f t="shared" si="6"/>
        <v>0</v>
      </c>
      <c r="M171" s="17">
        <f t="shared" si="7"/>
        <v>12500</v>
      </c>
      <c r="N171" s="17" t="str" cm="1">
        <f t="array" ref="N171">_xlfn.IFS(K171=0,"Matched", K171&gt;100,"High", K171&gt;=50,"Medium", K171&lt;50,"Low")</f>
        <v>Matched</v>
      </c>
      <c r="O171" s="17" t="str">
        <f t="shared" si="8"/>
        <v>No Match</v>
      </c>
    </row>
    <row r="172" spans="2:15" hidden="1" x14ac:dyDescent="0.3">
      <c r="B172" s="7">
        <v>170</v>
      </c>
      <c r="C172" s="3" t="s">
        <v>176</v>
      </c>
      <c r="D172" s="2" t="s">
        <v>1044</v>
      </c>
      <c r="E172" s="3" t="s">
        <v>1010</v>
      </c>
      <c r="F172" s="3">
        <v>30</v>
      </c>
      <c r="G172" s="3">
        <v>30</v>
      </c>
      <c r="H172" s="8">
        <v>100</v>
      </c>
      <c r="I172" s="48">
        <f>Table13[[#This Row],[Physical_Stock_Qty]]-Table13[[#This Row],[System_Stock_Qty]]</f>
        <v>0</v>
      </c>
      <c r="J172" s="53" t="str" cm="1">
        <f t="array" ref="J172">_xlfn.IFS(I172=0,"Matched",I172&gt;0,"Excess",I172&lt;0,"Shortage")</f>
        <v>Matched</v>
      </c>
      <c r="K172" s="50">
        <f>ABS(Table13[[#This Row],[Stock Difference]])</f>
        <v>0</v>
      </c>
      <c r="L172" s="17">
        <f t="shared" si="6"/>
        <v>0</v>
      </c>
      <c r="M172" s="17">
        <f t="shared" si="7"/>
        <v>3000</v>
      </c>
      <c r="N172" s="17" t="str" cm="1">
        <f t="array" ref="N172">_xlfn.IFS(K172=0,"Matched", K172&gt;100,"High", K172&gt;=50,"Medium", K172&lt;50,"Low")</f>
        <v>Matched</v>
      </c>
      <c r="O172" s="17" t="str">
        <f t="shared" si="8"/>
        <v>No Match</v>
      </c>
    </row>
    <row r="173" spans="2:15" hidden="1" x14ac:dyDescent="0.3">
      <c r="B173" s="7">
        <v>171</v>
      </c>
      <c r="C173" s="3" t="s">
        <v>177</v>
      </c>
      <c r="D173" s="2" t="s">
        <v>1056</v>
      </c>
      <c r="E173" s="3" t="s">
        <v>1012</v>
      </c>
      <c r="F173" s="3">
        <v>128</v>
      </c>
      <c r="G173" s="3">
        <v>128</v>
      </c>
      <c r="H173" s="8">
        <v>100</v>
      </c>
      <c r="I173" s="48">
        <f>Table13[[#This Row],[Physical_Stock_Qty]]-Table13[[#This Row],[System_Stock_Qty]]</f>
        <v>0</v>
      </c>
      <c r="J173" s="53" t="str" cm="1">
        <f t="array" ref="J173">_xlfn.IFS(I173=0,"Matched",I173&gt;0,"Excess",I173&lt;0,"Shortage")</f>
        <v>Matched</v>
      </c>
      <c r="K173" s="50">
        <f>ABS(Table13[[#This Row],[Stock Difference]])</f>
        <v>0</v>
      </c>
      <c r="L173" s="17">
        <f t="shared" si="6"/>
        <v>0</v>
      </c>
      <c r="M173" s="17">
        <f t="shared" si="7"/>
        <v>12800</v>
      </c>
      <c r="N173" s="17" t="str" cm="1">
        <f t="array" ref="N173">_xlfn.IFS(K173=0,"Matched", K173&gt;100,"High", K173&gt;=50,"Medium", K173&lt;50,"Low")</f>
        <v>Matched</v>
      </c>
      <c r="O173" s="17" t="str">
        <f t="shared" si="8"/>
        <v>No Match</v>
      </c>
    </row>
    <row r="174" spans="2:15" hidden="1" x14ac:dyDescent="0.3">
      <c r="B174" s="7">
        <v>172</v>
      </c>
      <c r="C174" s="3" t="s">
        <v>178</v>
      </c>
      <c r="D174" s="2" t="s">
        <v>1079</v>
      </c>
      <c r="E174" s="3" t="s">
        <v>1011</v>
      </c>
      <c r="F174" s="3">
        <v>118</v>
      </c>
      <c r="G174" s="3">
        <v>118</v>
      </c>
      <c r="H174" s="8">
        <v>5000</v>
      </c>
      <c r="I174" s="48">
        <f>Table13[[#This Row],[Physical_Stock_Qty]]-Table13[[#This Row],[System_Stock_Qty]]</f>
        <v>0</v>
      </c>
      <c r="J174" s="53" t="str" cm="1">
        <f t="array" ref="J174">_xlfn.IFS(I174=0,"Matched",I174&gt;0,"Excess",I174&lt;0,"Shortage")</f>
        <v>Matched</v>
      </c>
      <c r="K174" s="50">
        <f>ABS(Table13[[#This Row],[Stock Difference]])</f>
        <v>0</v>
      </c>
      <c r="L174" s="17">
        <f t="shared" si="6"/>
        <v>0</v>
      </c>
      <c r="M174" s="17">
        <f t="shared" si="7"/>
        <v>590000</v>
      </c>
      <c r="N174" s="17" t="str" cm="1">
        <f t="array" ref="N174">_xlfn.IFS(K174=0,"Matched", K174&gt;100,"High", K174&gt;=50,"Medium", K174&lt;50,"Low")</f>
        <v>Matched</v>
      </c>
      <c r="O174" s="17" t="str">
        <f t="shared" si="8"/>
        <v>No Match</v>
      </c>
    </row>
    <row r="175" spans="2:15" hidden="1" x14ac:dyDescent="0.3">
      <c r="B175" s="7">
        <v>173</v>
      </c>
      <c r="C175" s="3" t="s">
        <v>179</v>
      </c>
      <c r="D175" s="2" t="s">
        <v>1042</v>
      </c>
      <c r="E175" s="3" t="s">
        <v>1007</v>
      </c>
      <c r="F175" s="3">
        <v>106</v>
      </c>
      <c r="G175" s="3">
        <v>106</v>
      </c>
      <c r="H175" s="8">
        <v>3000</v>
      </c>
      <c r="I175" s="48">
        <f>Table13[[#This Row],[Physical_Stock_Qty]]-Table13[[#This Row],[System_Stock_Qty]]</f>
        <v>0</v>
      </c>
      <c r="J175" s="53" t="str" cm="1">
        <f t="array" ref="J175">_xlfn.IFS(I175=0,"Matched",I175&gt;0,"Excess",I175&lt;0,"Shortage")</f>
        <v>Matched</v>
      </c>
      <c r="K175" s="50">
        <f>ABS(Table13[[#This Row],[Stock Difference]])</f>
        <v>0</v>
      </c>
      <c r="L175" s="17">
        <f t="shared" si="6"/>
        <v>0</v>
      </c>
      <c r="M175" s="17">
        <f t="shared" si="7"/>
        <v>318000</v>
      </c>
      <c r="N175" s="17" t="str" cm="1">
        <f t="array" ref="N175">_xlfn.IFS(K175=0,"Matched", K175&gt;100,"High", K175&gt;=50,"Medium", K175&lt;50,"Low")</f>
        <v>Matched</v>
      </c>
      <c r="O175" s="17" t="str">
        <f t="shared" si="8"/>
        <v>No Match</v>
      </c>
    </row>
    <row r="176" spans="2:15" hidden="1" x14ac:dyDescent="0.3">
      <c r="B176" s="7">
        <v>174</v>
      </c>
      <c r="C176" s="3" t="s">
        <v>180</v>
      </c>
      <c r="D176" s="2" t="s">
        <v>1042</v>
      </c>
      <c r="E176" s="3" t="s">
        <v>1007</v>
      </c>
      <c r="F176" s="3">
        <v>143</v>
      </c>
      <c r="G176" s="3">
        <v>143</v>
      </c>
      <c r="H176" s="8">
        <v>3000</v>
      </c>
      <c r="I176" s="48">
        <f>Table13[[#This Row],[Physical_Stock_Qty]]-Table13[[#This Row],[System_Stock_Qty]]</f>
        <v>0</v>
      </c>
      <c r="J176" s="53" t="str" cm="1">
        <f t="array" ref="J176">_xlfn.IFS(I176=0,"Matched",I176&gt;0,"Excess",I176&lt;0,"Shortage")</f>
        <v>Matched</v>
      </c>
      <c r="K176" s="50">
        <f>ABS(Table13[[#This Row],[Stock Difference]])</f>
        <v>0</v>
      </c>
      <c r="L176" s="17">
        <f t="shared" si="6"/>
        <v>0</v>
      </c>
      <c r="M176" s="17">
        <f t="shared" si="7"/>
        <v>429000</v>
      </c>
      <c r="N176" s="17" t="str" cm="1">
        <f t="array" ref="N176">_xlfn.IFS(K176=0,"Matched", K176&gt;100,"High", K176&gt;=50,"Medium", K176&lt;50,"Low")</f>
        <v>Matched</v>
      </c>
      <c r="O176" s="17" t="str">
        <f t="shared" si="8"/>
        <v>No Match</v>
      </c>
    </row>
    <row r="177" spans="2:15" hidden="1" x14ac:dyDescent="0.3">
      <c r="B177" s="7">
        <v>175</v>
      </c>
      <c r="C177" s="3" t="s">
        <v>181</v>
      </c>
      <c r="D177" s="2" t="s">
        <v>1068</v>
      </c>
      <c r="E177" s="3" t="s">
        <v>1009</v>
      </c>
      <c r="F177" s="3">
        <v>158</v>
      </c>
      <c r="G177" s="3">
        <v>158</v>
      </c>
      <c r="H177" s="8">
        <v>100</v>
      </c>
      <c r="I177" s="48">
        <f>Table13[[#This Row],[Physical_Stock_Qty]]-Table13[[#This Row],[System_Stock_Qty]]</f>
        <v>0</v>
      </c>
      <c r="J177" s="53" t="str" cm="1">
        <f t="array" ref="J177">_xlfn.IFS(I177=0,"Matched",I177&gt;0,"Excess",I177&lt;0,"Shortage")</f>
        <v>Matched</v>
      </c>
      <c r="K177" s="50">
        <f>ABS(Table13[[#This Row],[Stock Difference]])</f>
        <v>0</v>
      </c>
      <c r="L177" s="17">
        <f t="shared" si="6"/>
        <v>0</v>
      </c>
      <c r="M177" s="17">
        <f t="shared" si="7"/>
        <v>15800</v>
      </c>
      <c r="N177" s="17" t="str" cm="1">
        <f t="array" ref="N177">_xlfn.IFS(K177=0,"Matched", K177&gt;100,"High", K177&gt;=50,"Medium", K177&lt;50,"Low")</f>
        <v>Matched</v>
      </c>
      <c r="O177" s="17" t="str">
        <f t="shared" si="8"/>
        <v>No Match</v>
      </c>
    </row>
    <row r="178" spans="2:15" hidden="1" x14ac:dyDescent="0.3">
      <c r="B178" s="7">
        <v>176</v>
      </c>
      <c r="C178" s="3" t="s">
        <v>182</v>
      </c>
      <c r="D178" s="2" t="s">
        <v>1025</v>
      </c>
      <c r="E178" s="3" t="s">
        <v>1008</v>
      </c>
      <c r="F178" s="3">
        <v>163</v>
      </c>
      <c r="G178" s="3">
        <v>163</v>
      </c>
      <c r="H178" s="8">
        <v>30000</v>
      </c>
      <c r="I178" s="48">
        <f>Table13[[#This Row],[Physical_Stock_Qty]]-Table13[[#This Row],[System_Stock_Qty]]</f>
        <v>0</v>
      </c>
      <c r="J178" s="53" t="str" cm="1">
        <f t="array" ref="J178">_xlfn.IFS(I178=0,"Matched",I178&gt;0,"Excess",I178&lt;0,"Shortage")</f>
        <v>Matched</v>
      </c>
      <c r="K178" s="50">
        <f>ABS(Table13[[#This Row],[Stock Difference]])</f>
        <v>0</v>
      </c>
      <c r="L178" s="17">
        <f t="shared" si="6"/>
        <v>0</v>
      </c>
      <c r="M178" s="17">
        <f t="shared" si="7"/>
        <v>4890000</v>
      </c>
      <c r="N178" s="17" t="str" cm="1">
        <f t="array" ref="N178">_xlfn.IFS(K178=0,"Matched", K178&gt;100,"High", K178&gt;=50,"Medium", K178&lt;50,"Low")</f>
        <v>Matched</v>
      </c>
      <c r="O178" s="17" t="str">
        <f t="shared" si="8"/>
        <v>No Match</v>
      </c>
    </row>
    <row r="179" spans="2:15" hidden="1" x14ac:dyDescent="0.3">
      <c r="B179" s="7">
        <v>177</v>
      </c>
      <c r="C179" s="3" t="s">
        <v>183</v>
      </c>
      <c r="D179" s="2" t="s">
        <v>1059</v>
      </c>
      <c r="E179" s="3" t="s">
        <v>1012</v>
      </c>
      <c r="F179" s="3">
        <v>181</v>
      </c>
      <c r="G179" s="3">
        <v>181</v>
      </c>
      <c r="H179" s="8">
        <v>200</v>
      </c>
      <c r="I179" s="48">
        <f>Table13[[#This Row],[Physical_Stock_Qty]]-Table13[[#This Row],[System_Stock_Qty]]</f>
        <v>0</v>
      </c>
      <c r="J179" s="53" t="str" cm="1">
        <f t="array" ref="J179">_xlfn.IFS(I179=0,"Matched",I179&gt;0,"Excess",I179&lt;0,"Shortage")</f>
        <v>Matched</v>
      </c>
      <c r="K179" s="50">
        <f>ABS(Table13[[#This Row],[Stock Difference]])</f>
        <v>0</v>
      </c>
      <c r="L179" s="17">
        <f t="shared" si="6"/>
        <v>0</v>
      </c>
      <c r="M179" s="17">
        <f t="shared" si="7"/>
        <v>36200</v>
      </c>
      <c r="N179" s="17" t="str" cm="1">
        <f t="array" ref="N179">_xlfn.IFS(K179=0,"Matched", K179&gt;100,"High", K179&gt;=50,"Medium", K179&lt;50,"Low")</f>
        <v>Matched</v>
      </c>
      <c r="O179" s="17" t="str">
        <f t="shared" si="8"/>
        <v>No Match</v>
      </c>
    </row>
    <row r="180" spans="2:15" hidden="1" x14ac:dyDescent="0.3">
      <c r="B180" s="7">
        <v>178</v>
      </c>
      <c r="C180" s="3" t="s">
        <v>184</v>
      </c>
      <c r="D180" s="2" t="s">
        <v>1037</v>
      </c>
      <c r="E180" s="3" t="s">
        <v>1007</v>
      </c>
      <c r="F180" s="3">
        <v>194</v>
      </c>
      <c r="G180" s="3">
        <v>194</v>
      </c>
      <c r="H180" s="8">
        <v>10000</v>
      </c>
      <c r="I180" s="48">
        <f>Table13[[#This Row],[Physical_Stock_Qty]]-Table13[[#This Row],[System_Stock_Qty]]</f>
        <v>0</v>
      </c>
      <c r="J180" s="53" t="str" cm="1">
        <f t="array" ref="J180">_xlfn.IFS(I180=0,"Matched",I180&gt;0,"Excess",I180&lt;0,"Shortage")</f>
        <v>Matched</v>
      </c>
      <c r="K180" s="50">
        <f>ABS(Table13[[#This Row],[Stock Difference]])</f>
        <v>0</v>
      </c>
      <c r="L180" s="17">
        <f t="shared" si="6"/>
        <v>0</v>
      </c>
      <c r="M180" s="17">
        <f t="shared" si="7"/>
        <v>1940000</v>
      </c>
      <c r="N180" s="17" t="str" cm="1">
        <f t="array" ref="N180">_xlfn.IFS(K180=0,"Matched", K180&gt;100,"High", K180&gt;=50,"Medium", K180&lt;50,"Low")</f>
        <v>Matched</v>
      </c>
      <c r="O180" s="17" t="str">
        <f t="shared" si="8"/>
        <v>No Match</v>
      </c>
    </row>
    <row r="181" spans="2:15" hidden="1" x14ac:dyDescent="0.3">
      <c r="B181" s="7">
        <v>179</v>
      </c>
      <c r="C181" s="3" t="s">
        <v>185</v>
      </c>
      <c r="D181" s="2" t="s">
        <v>1046</v>
      </c>
      <c r="E181" s="3" t="s">
        <v>1010</v>
      </c>
      <c r="F181" s="3">
        <v>102</v>
      </c>
      <c r="G181" s="3">
        <v>102</v>
      </c>
      <c r="H181" s="8">
        <v>100</v>
      </c>
      <c r="I181" s="48">
        <f>Table13[[#This Row],[Physical_Stock_Qty]]-Table13[[#This Row],[System_Stock_Qty]]</f>
        <v>0</v>
      </c>
      <c r="J181" s="53" t="str" cm="1">
        <f t="array" ref="J181">_xlfn.IFS(I181=0,"Matched",I181&gt;0,"Excess",I181&lt;0,"Shortage")</f>
        <v>Matched</v>
      </c>
      <c r="K181" s="50">
        <f>ABS(Table13[[#This Row],[Stock Difference]])</f>
        <v>0</v>
      </c>
      <c r="L181" s="17">
        <f t="shared" si="6"/>
        <v>0</v>
      </c>
      <c r="M181" s="17">
        <f t="shared" si="7"/>
        <v>10200</v>
      </c>
      <c r="N181" s="17" t="str" cm="1">
        <f t="array" ref="N181">_xlfn.IFS(K181=0,"Matched", K181&gt;100,"High", K181&gt;=50,"Medium", K181&lt;50,"Low")</f>
        <v>Matched</v>
      </c>
      <c r="O181" s="17" t="str">
        <f t="shared" si="8"/>
        <v>No Match</v>
      </c>
    </row>
    <row r="182" spans="2:15" hidden="1" x14ac:dyDescent="0.3">
      <c r="B182" s="7">
        <v>180</v>
      </c>
      <c r="C182" s="3" t="s">
        <v>186</v>
      </c>
      <c r="D182" s="2" t="s">
        <v>1084</v>
      </c>
      <c r="E182" s="3" t="s">
        <v>1011</v>
      </c>
      <c r="F182" s="3">
        <v>42</v>
      </c>
      <c r="G182" s="3">
        <v>42</v>
      </c>
      <c r="H182" s="8">
        <v>2000</v>
      </c>
      <c r="I182" s="48">
        <f>Table13[[#This Row],[Physical_Stock_Qty]]-Table13[[#This Row],[System_Stock_Qty]]</f>
        <v>0</v>
      </c>
      <c r="J182" s="53" t="str" cm="1">
        <f t="array" ref="J182">_xlfn.IFS(I182=0,"Matched",I182&gt;0,"Excess",I182&lt;0,"Shortage")</f>
        <v>Matched</v>
      </c>
      <c r="K182" s="50">
        <f>ABS(Table13[[#This Row],[Stock Difference]])</f>
        <v>0</v>
      </c>
      <c r="L182" s="17">
        <f t="shared" si="6"/>
        <v>0</v>
      </c>
      <c r="M182" s="17">
        <f t="shared" si="7"/>
        <v>84000</v>
      </c>
      <c r="N182" s="17" t="str" cm="1">
        <f t="array" ref="N182">_xlfn.IFS(K182=0,"Matched", K182&gt;100,"High", K182&gt;=50,"Medium", K182&lt;50,"Low")</f>
        <v>Matched</v>
      </c>
      <c r="O182" s="17" t="str">
        <f t="shared" si="8"/>
        <v>No Match</v>
      </c>
    </row>
    <row r="183" spans="2:15" hidden="1" x14ac:dyDescent="0.3">
      <c r="B183" s="7">
        <v>181</v>
      </c>
      <c r="C183" s="3" t="s">
        <v>187</v>
      </c>
      <c r="D183" s="2" t="s">
        <v>1076</v>
      </c>
      <c r="E183" s="3" t="s">
        <v>1009</v>
      </c>
      <c r="F183" s="3">
        <v>54</v>
      </c>
      <c r="G183" s="3">
        <v>54</v>
      </c>
      <c r="H183" s="8">
        <v>100</v>
      </c>
      <c r="I183" s="48">
        <f>Table13[[#This Row],[Physical_Stock_Qty]]-Table13[[#This Row],[System_Stock_Qty]]</f>
        <v>0</v>
      </c>
      <c r="J183" s="53" t="str" cm="1">
        <f t="array" ref="J183">_xlfn.IFS(I183=0,"Matched",I183&gt;0,"Excess",I183&lt;0,"Shortage")</f>
        <v>Matched</v>
      </c>
      <c r="K183" s="50">
        <f>ABS(Table13[[#This Row],[Stock Difference]])</f>
        <v>0</v>
      </c>
      <c r="L183" s="17">
        <f t="shared" si="6"/>
        <v>0</v>
      </c>
      <c r="M183" s="17">
        <f t="shared" si="7"/>
        <v>5400</v>
      </c>
      <c r="N183" s="17" t="str" cm="1">
        <f t="array" ref="N183">_xlfn.IFS(K183=0,"Matched", K183&gt;100,"High", K183&gt;=50,"Medium", K183&lt;50,"Low")</f>
        <v>Matched</v>
      </c>
      <c r="O183" s="17" t="str">
        <f t="shared" si="8"/>
        <v>No Match</v>
      </c>
    </row>
    <row r="184" spans="2:15" hidden="1" x14ac:dyDescent="0.3">
      <c r="B184" s="7">
        <v>182</v>
      </c>
      <c r="C184" s="3" t="s">
        <v>188</v>
      </c>
      <c r="D184" s="2" t="s">
        <v>1081</v>
      </c>
      <c r="E184" s="3" t="s">
        <v>1011</v>
      </c>
      <c r="F184" s="3">
        <v>151</v>
      </c>
      <c r="G184" s="3">
        <v>151</v>
      </c>
      <c r="H184" s="8">
        <v>1000</v>
      </c>
      <c r="I184" s="48">
        <f>Table13[[#This Row],[Physical_Stock_Qty]]-Table13[[#This Row],[System_Stock_Qty]]</f>
        <v>0</v>
      </c>
      <c r="J184" s="53" t="str" cm="1">
        <f t="array" ref="J184">_xlfn.IFS(I184=0,"Matched",I184&gt;0,"Excess",I184&lt;0,"Shortage")</f>
        <v>Matched</v>
      </c>
      <c r="K184" s="50">
        <f>ABS(Table13[[#This Row],[Stock Difference]])</f>
        <v>0</v>
      </c>
      <c r="L184" s="17">
        <f t="shared" si="6"/>
        <v>0</v>
      </c>
      <c r="M184" s="17">
        <f t="shared" si="7"/>
        <v>151000</v>
      </c>
      <c r="N184" s="17" t="str" cm="1">
        <f t="array" ref="N184">_xlfn.IFS(K184=0,"Matched", K184&gt;100,"High", K184&gt;=50,"Medium", K184&lt;50,"Low")</f>
        <v>Matched</v>
      </c>
      <c r="O184" s="17" t="str">
        <f t="shared" si="8"/>
        <v>No Match</v>
      </c>
    </row>
    <row r="185" spans="2:15" hidden="1" x14ac:dyDescent="0.3">
      <c r="B185" s="7">
        <v>183</v>
      </c>
      <c r="C185" s="3" t="s">
        <v>189</v>
      </c>
      <c r="D185" s="2" t="s">
        <v>1078</v>
      </c>
      <c r="E185" s="3" t="s">
        <v>1011</v>
      </c>
      <c r="F185" s="3">
        <v>154</v>
      </c>
      <c r="G185" s="3">
        <v>154</v>
      </c>
      <c r="H185" s="8">
        <v>200</v>
      </c>
      <c r="I185" s="48">
        <f>Table13[[#This Row],[Physical_Stock_Qty]]-Table13[[#This Row],[System_Stock_Qty]]</f>
        <v>0</v>
      </c>
      <c r="J185" s="53" t="str" cm="1">
        <f t="array" ref="J185">_xlfn.IFS(I185=0,"Matched",I185&gt;0,"Excess",I185&lt;0,"Shortage")</f>
        <v>Matched</v>
      </c>
      <c r="K185" s="50">
        <f>ABS(Table13[[#This Row],[Stock Difference]])</f>
        <v>0</v>
      </c>
      <c r="L185" s="17">
        <f t="shared" si="6"/>
        <v>0</v>
      </c>
      <c r="M185" s="17">
        <f t="shared" si="7"/>
        <v>30800</v>
      </c>
      <c r="N185" s="17" t="str" cm="1">
        <f t="array" ref="N185">_xlfn.IFS(K185=0,"Matched", K185&gt;100,"High", K185&gt;=50,"Medium", K185&lt;50,"Low")</f>
        <v>Matched</v>
      </c>
      <c r="O185" s="17" t="str">
        <f t="shared" si="8"/>
        <v>No Match</v>
      </c>
    </row>
    <row r="186" spans="2:15" x14ac:dyDescent="0.3">
      <c r="B186" s="7">
        <v>184</v>
      </c>
      <c r="C186" s="3" t="s">
        <v>190</v>
      </c>
      <c r="D186" s="2" t="s">
        <v>1048</v>
      </c>
      <c r="E186" s="3" t="s">
        <v>1010</v>
      </c>
      <c r="F186" s="3">
        <v>194</v>
      </c>
      <c r="G186" s="3">
        <v>39</v>
      </c>
      <c r="H186" s="8">
        <v>50</v>
      </c>
      <c r="I186" s="48">
        <f>Table13[[#This Row],[Physical_Stock_Qty]]-Table13[[#This Row],[System_Stock_Qty]]</f>
        <v>-155</v>
      </c>
      <c r="J186" s="53" t="str" cm="1">
        <f t="array" ref="J186">_xlfn.IFS(I186=0,"Matched",I186&gt;0,"Excess",I186&lt;0,"Shortage")</f>
        <v>Shortage</v>
      </c>
      <c r="K186" s="50">
        <f>ABS(Table13[[#This Row],[Stock Difference]])</f>
        <v>155</v>
      </c>
      <c r="L186" s="17">
        <f t="shared" si="6"/>
        <v>7750</v>
      </c>
      <c r="M186" s="17">
        <f t="shared" si="7"/>
        <v>9700</v>
      </c>
      <c r="N186" s="17" t="str" cm="1">
        <f t="array" ref="N186">_xlfn.IFS(K186=0,"Matched", K186&gt;100,"High", K186&gt;=50,"Medium", K186&lt;50,"Low")</f>
        <v>High</v>
      </c>
      <c r="O186" s="17" t="str">
        <f t="shared" si="8"/>
        <v>No</v>
      </c>
    </row>
    <row r="187" spans="2:15" x14ac:dyDescent="0.3">
      <c r="B187" s="7">
        <v>185</v>
      </c>
      <c r="C187" s="3" t="s">
        <v>191</v>
      </c>
      <c r="D187" s="2" t="s">
        <v>1057</v>
      </c>
      <c r="E187" s="3" t="s">
        <v>1012</v>
      </c>
      <c r="F187" s="3">
        <v>108</v>
      </c>
      <c r="G187" s="3">
        <v>192</v>
      </c>
      <c r="H187" s="8">
        <v>500</v>
      </c>
      <c r="I187" s="48">
        <f>Table13[[#This Row],[Physical_Stock_Qty]]-Table13[[#This Row],[System_Stock_Qty]]</f>
        <v>84</v>
      </c>
      <c r="J187" s="53" t="str" cm="1">
        <f t="array" ref="J187">_xlfn.IFS(I187=0,"Matched",I187&gt;0,"Excess",I187&lt;0,"Shortage")</f>
        <v>Excess</v>
      </c>
      <c r="K187" s="50">
        <f>ABS(Table13[[#This Row],[Stock Difference]])</f>
        <v>84</v>
      </c>
      <c r="L187" s="17">
        <f t="shared" si="6"/>
        <v>42000</v>
      </c>
      <c r="M187" s="17">
        <f t="shared" si="7"/>
        <v>54000</v>
      </c>
      <c r="N187" s="17" t="str" cm="1">
        <f t="array" ref="N187">_xlfn.IFS(K187=0,"Matched", K187&gt;100,"High", K187&gt;=50,"Medium", K187&lt;50,"Low")</f>
        <v>Medium</v>
      </c>
      <c r="O187" s="17" t="str">
        <f t="shared" si="8"/>
        <v>No</v>
      </c>
    </row>
    <row r="188" spans="2:15" x14ac:dyDescent="0.3">
      <c r="B188" s="7">
        <v>186</v>
      </c>
      <c r="C188" s="3" t="s">
        <v>192</v>
      </c>
      <c r="D188" s="2" t="s">
        <v>1071</v>
      </c>
      <c r="E188" s="3" t="s">
        <v>1009</v>
      </c>
      <c r="F188" s="3">
        <v>71</v>
      </c>
      <c r="G188" s="3">
        <v>129</v>
      </c>
      <c r="H188" s="8">
        <v>200</v>
      </c>
      <c r="I188" s="48">
        <f>Table13[[#This Row],[Physical_Stock_Qty]]-Table13[[#This Row],[System_Stock_Qty]]</f>
        <v>58</v>
      </c>
      <c r="J188" s="53" t="str" cm="1">
        <f t="array" ref="J188">_xlfn.IFS(I188=0,"Matched",I188&gt;0,"Excess",I188&lt;0,"Shortage")</f>
        <v>Excess</v>
      </c>
      <c r="K188" s="50">
        <f>ABS(Table13[[#This Row],[Stock Difference]])</f>
        <v>58</v>
      </c>
      <c r="L188" s="17">
        <f t="shared" si="6"/>
        <v>11600</v>
      </c>
      <c r="M188" s="17">
        <f t="shared" si="7"/>
        <v>14200</v>
      </c>
      <c r="N188" s="17" t="str" cm="1">
        <f t="array" ref="N188">_xlfn.IFS(K188=0,"Matched", K188&gt;100,"High", K188&gt;=50,"Medium", K188&lt;50,"Low")</f>
        <v>Medium</v>
      </c>
      <c r="O188" s="17" t="str">
        <f t="shared" si="8"/>
        <v>No</v>
      </c>
    </row>
    <row r="189" spans="2:15" x14ac:dyDescent="0.3">
      <c r="B189" s="7">
        <v>187</v>
      </c>
      <c r="C189" s="3" t="s">
        <v>193</v>
      </c>
      <c r="D189" s="2" t="s">
        <v>1054</v>
      </c>
      <c r="E189" s="3" t="s">
        <v>1010</v>
      </c>
      <c r="F189" s="3">
        <v>75</v>
      </c>
      <c r="G189" s="3">
        <v>182</v>
      </c>
      <c r="H189" s="8">
        <v>30</v>
      </c>
      <c r="I189" s="48">
        <f>Table13[[#This Row],[Physical_Stock_Qty]]-Table13[[#This Row],[System_Stock_Qty]]</f>
        <v>107</v>
      </c>
      <c r="J189" s="53" t="str" cm="1">
        <f t="array" ref="J189">_xlfn.IFS(I189=0,"Matched",I189&gt;0,"Excess",I189&lt;0,"Shortage")</f>
        <v>Excess</v>
      </c>
      <c r="K189" s="50">
        <f>ABS(Table13[[#This Row],[Stock Difference]])</f>
        <v>107</v>
      </c>
      <c r="L189" s="17">
        <f t="shared" si="6"/>
        <v>3210</v>
      </c>
      <c r="M189" s="17">
        <f t="shared" si="7"/>
        <v>2250</v>
      </c>
      <c r="N189" s="17" t="str" cm="1">
        <f t="array" ref="N189">_xlfn.IFS(K189=0,"Matched", K189&gt;100,"High", K189&gt;=50,"Medium", K189&lt;50,"Low")</f>
        <v>High</v>
      </c>
      <c r="O189" s="17" t="str">
        <f t="shared" si="8"/>
        <v>No</v>
      </c>
    </row>
    <row r="190" spans="2:15" x14ac:dyDescent="0.3">
      <c r="B190" s="7">
        <v>188</v>
      </c>
      <c r="C190" s="3" t="s">
        <v>194</v>
      </c>
      <c r="D190" s="2" t="s">
        <v>1085</v>
      </c>
      <c r="E190" s="3" t="s">
        <v>1011</v>
      </c>
      <c r="F190" s="3">
        <v>58</v>
      </c>
      <c r="G190" s="3">
        <v>80</v>
      </c>
      <c r="H190" s="8">
        <v>1500</v>
      </c>
      <c r="I190" s="48">
        <f>Table13[[#This Row],[Physical_Stock_Qty]]-Table13[[#This Row],[System_Stock_Qty]]</f>
        <v>22</v>
      </c>
      <c r="J190" s="53" t="str" cm="1">
        <f t="array" ref="J190">_xlfn.IFS(I190=0,"Matched",I190&gt;0,"Excess",I190&lt;0,"Shortage")</f>
        <v>Excess</v>
      </c>
      <c r="K190" s="50">
        <f>ABS(Table13[[#This Row],[Stock Difference]])</f>
        <v>22</v>
      </c>
      <c r="L190" s="17">
        <f t="shared" si="6"/>
        <v>33000</v>
      </c>
      <c r="M190" s="17">
        <f t="shared" si="7"/>
        <v>87000</v>
      </c>
      <c r="N190" s="17" t="str" cm="1">
        <f t="array" ref="N190">_xlfn.IFS(K190=0,"Matched", K190&gt;100,"High", K190&gt;=50,"Medium", K190&lt;50,"Low")</f>
        <v>Low</v>
      </c>
      <c r="O190" s="17" t="str">
        <f t="shared" si="8"/>
        <v>No</v>
      </c>
    </row>
    <row r="191" spans="2:15" x14ac:dyDescent="0.3">
      <c r="B191" s="7">
        <v>189</v>
      </c>
      <c r="C191" s="3" t="s">
        <v>195</v>
      </c>
      <c r="D191" s="2" t="s">
        <v>1050</v>
      </c>
      <c r="E191" s="3" t="s">
        <v>1010</v>
      </c>
      <c r="F191" s="3">
        <v>122</v>
      </c>
      <c r="G191" s="3">
        <v>200</v>
      </c>
      <c r="H191" s="8">
        <v>30</v>
      </c>
      <c r="I191" s="48">
        <f>Table13[[#This Row],[Physical_Stock_Qty]]-Table13[[#This Row],[System_Stock_Qty]]</f>
        <v>78</v>
      </c>
      <c r="J191" s="53" t="str" cm="1">
        <f t="array" ref="J191">_xlfn.IFS(I191=0,"Matched",I191&gt;0,"Excess",I191&lt;0,"Shortage")</f>
        <v>Excess</v>
      </c>
      <c r="K191" s="50">
        <f>ABS(Table13[[#This Row],[Stock Difference]])</f>
        <v>78</v>
      </c>
      <c r="L191" s="17">
        <f t="shared" si="6"/>
        <v>2340</v>
      </c>
      <c r="M191" s="17">
        <f t="shared" si="7"/>
        <v>3660</v>
      </c>
      <c r="N191" s="17" t="str" cm="1">
        <f t="array" ref="N191">_xlfn.IFS(K191=0,"Matched", K191&gt;100,"High", K191&gt;=50,"Medium", K191&lt;50,"Low")</f>
        <v>Medium</v>
      </c>
      <c r="O191" s="17" t="str">
        <f t="shared" si="8"/>
        <v>No</v>
      </c>
    </row>
    <row r="192" spans="2:15" x14ac:dyDescent="0.3">
      <c r="B192" s="7">
        <v>190</v>
      </c>
      <c r="C192" s="3" t="s">
        <v>196</v>
      </c>
      <c r="D192" s="2" t="s">
        <v>1038</v>
      </c>
      <c r="E192" s="3" t="s">
        <v>1007</v>
      </c>
      <c r="F192" s="3">
        <v>154</v>
      </c>
      <c r="G192" s="3">
        <v>125</v>
      </c>
      <c r="H192" s="8">
        <v>5000</v>
      </c>
      <c r="I192" s="48">
        <f>Table13[[#This Row],[Physical_Stock_Qty]]-Table13[[#This Row],[System_Stock_Qty]]</f>
        <v>-29</v>
      </c>
      <c r="J192" s="53" t="str" cm="1">
        <f t="array" ref="J192">_xlfn.IFS(I192=0,"Matched",I192&gt;0,"Excess",I192&lt;0,"Shortage")</f>
        <v>Shortage</v>
      </c>
      <c r="K192" s="50">
        <f>ABS(Table13[[#This Row],[Stock Difference]])</f>
        <v>29</v>
      </c>
      <c r="L192" s="17">
        <f t="shared" si="6"/>
        <v>145000</v>
      </c>
      <c r="M192" s="17">
        <f t="shared" si="7"/>
        <v>770000</v>
      </c>
      <c r="N192" s="17" t="str" cm="1">
        <f t="array" ref="N192">_xlfn.IFS(K192=0,"Matched", K192&gt;100,"High", K192&gt;=50,"Medium", K192&lt;50,"Low")</f>
        <v>Low</v>
      </c>
      <c r="O192" s="17" t="str">
        <f t="shared" si="8"/>
        <v>No</v>
      </c>
    </row>
    <row r="193" spans="2:15" x14ac:dyDescent="0.3">
      <c r="B193" s="7">
        <v>191</v>
      </c>
      <c r="C193" s="3" t="s">
        <v>197</v>
      </c>
      <c r="D193" s="2" t="s">
        <v>1074</v>
      </c>
      <c r="E193" s="3" t="s">
        <v>1009</v>
      </c>
      <c r="F193" s="3">
        <v>36</v>
      </c>
      <c r="G193" s="3">
        <v>91</v>
      </c>
      <c r="H193" s="8">
        <v>500</v>
      </c>
      <c r="I193" s="48">
        <f>Table13[[#This Row],[Physical_Stock_Qty]]-Table13[[#This Row],[System_Stock_Qty]]</f>
        <v>55</v>
      </c>
      <c r="J193" s="53" t="str" cm="1">
        <f t="array" ref="J193">_xlfn.IFS(I193=0,"Matched",I193&gt;0,"Excess",I193&lt;0,"Shortage")</f>
        <v>Excess</v>
      </c>
      <c r="K193" s="50">
        <f>ABS(Table13[[#This Row],[Stock Difference]])</f>
        <v>55</v>
      </c>
      <c r="L193" s="17">
        <f t="shared" si="6"/>
        <v>27500</v>
      </c>
      <c r="M193" s="17">
        <f t="shared" si="7"/>
        <v>18000</v>
      </c>
      <c r="N193" s="17" t="str" cm="1">
        <f t="array" ref="N193">_xlfn.IFS(K193=0,"Matched", K193&gt;100,"High", K193&gt;=50,"Medium", K193&lt;50,"Low")</f>
        <v>Medium</v>
      </c>
      <c r="O193" s="17" t="str">
        <f t="shared" si="8"/>
        <v>No</v>
      </c>
    </row>
    <row r="194" spans="2:15" x14ac:dyDescent="0.3">
      <c r="B194" s="7">
        <v>192</v>
      </c>
      <c r="C194" s="3" t="s">
        <v>198</v>
      </c>
      <c r="D194" s="2" t="s">
        <v>1051</v>
      </c>
      <c r="E194" s="3" t="s">
        <v>1010</v>
      </c>
      <c r="F194" s="3">
        <v>36</v>
      </c>
      <c r="G194" s="3">
        <v>71</v>
      </c>
      <c r="H194" s="8">
        <v>50</v>
      </c>
      <c r="I194" s="48">
        <f>Table13[[#This Row],[Physical_Stock_Qty]]-Table13[[#This Row],[System_Stock_Qty]]</f>
        <v>35</v>
      </c>
      <c r="J194" s="53" t="str" cm="1">
        <f t="array" ref="J194">_xlfn.IFS(I194=0,"Matched",I194&gt;0,"Excess",I194&lt;0,"Shortage")</f>
        <v>Excess</v>
      </c>
      <c r="K194" s="50">
        <f>ABS(Table13[[#This Row],[Stock Difference]])</f>
        <v>35</v>
      </c>
      <c r="L194" s="17">
        <f t="shared" si="6"/>
        <v>1750</v>
      </c>
      <c r="M194" s="17">
        <f t="shared" si="7"/>
        <v>1800</v>
      </c>
      <c r="N194" s="17" t="str" cm="1">
        <f t="array" ref="N194">_xlfn.IFS(K194=0,"Matched", K194&gt;100,"High", K194&gt;=50,"Medium", K194&lt;50,"Low")</f>
        <v>Low</v>
      </c>
      <c r="O194" s="17" t="str">
        <f t="shared" si="8"/>
        <v>No</v>
      </c>
    </row>
    <row r="195" spans="2:15" x14ac:dyDescent="0.3">
      <c r="B195" s="7">
        <v>193</v>
      </c>
      <c r="C195" s="3" t="s">
        <v>199</v>
      </c>
      <c r="D195" s="2" t="s">
        <v>1051</v>
      </c>
      <c r="E195" s="3" t="s">
        <v>1010</v>
      </c>
      <c r="F195" s="3">
        <v>128</v>
      </c>
      <c r="G195" s="3">
        <v>134</v>
      </c>
      <c r="H195" s="8">
        <v>50</v>
      </c>
      <c r="I195" s="48">
        <f>Table13[[#This Row],[Physical_Stock_Qty]]-Table13[[#This Row],[System_Stock_Qty]]</f>
        <v>6</v>
      </c>
      <c r="J195" s="53" t="str" cm="1">
        <f t="array" ref="J195">_xlfn.IFS(I195=0,"Matched",I195&gt;0,"Excess",I195&lt;0,"Shortage")</f>
        <v>Excess</v>
      </c>
      <c r="K195" s="50">
        <f>ABS(Table13[[#This Row],[Stock Difference]])</f>
        <v>6</v>
      </c>
      <c r="L195" s="17">
        <f t="shared" si="6"/>
        <v>300</v>
      </c>
      <c r="M195" s="17">
        <f t="shared" si="7"/>
        <v>6400</v>
      </c>
      <c r="N195" s="17" t="str" cm="1">
        <f t="array" ref="N195">_xlfn.IFS(K195=0,"Matched", K195&gt;100,"High", K195&gt;=50,"Medium", K195&lt;50,"Low")</f>
        <v>Low</v>
      </c>
      <c r="O195" s="17" t="str">
        <f t="shared" si="8"/>
        <v>No</v>
      </c>
    </row>
    <row r="196" spans="2:15" hidden="1" x14ac:dyDescent="0.3">
      <c r="B196" s="7">
        <v>194</v>
      </c>
      <c r="C196" s="3" t="s">
        <v>200</v>
      </c>
      <c r="D196" s="2" t="s">
        <v>1057</v>
      </c>
      <c r="E196" s="3" t="s">
        <v>1012</v>
      </c>
      <c r="F196" s="3">
        <v>39</v>
      </c>
      <c r="G196" s="3">
        <v>39</v>
      </c>
      <c r="H196" s="8">
        <v>500</v>
      </c>
      <c r="I196" s="48">
        <f>Table13[[#This Row],[Physical_Stock_Qty]]-Table13[[#This Row],[System_Stock_Qty]]</f>
        <v>0</v>
      </c>
      <c r="J196" s="53" t="str" cm="1">
        <f t="array" ref="J196">_xlfn.IFS(I196=0,"Matched",I196&gt;0,"Excess",I196&lt;0,"Shortage")</f>
        <v>Matched</v>
      </c>
      <c r="K196" s="50">
        <f>ABS(Table13[[#This Row],[Stock Difference]])</f>
        <v>0</v>
      </c>
      <c r="L196" s="17">
        <f t="shared" ref="L196:L259" si="9">(K196*H196)</f>
        <v>0</v>
      </c>
      <c r="M196" s="17">
        <f t="shared" ref="M196:M259" si="10">F196*H196</f>
        <v>19500</v>
      </c>
      <c r="N196" s="17" t="str" cm="1">
        <f t="array" ref="N196">_xlfn.IFS(K196=0,"Matched", K196&gt;100,"High", K196&gt;=50,"Medium", K196&lt;50,"Low")</f>
        <v>Matched</v>
      </c>
      <c r="O196" s="17" t="str">
        <f t="shared" ref="O196:O259" si="11">IF(L196&gt;500000,"Yes",IF(L196=0,"No Match","No"))</f>
        <v>No Match</v>
      </c>
    </row>
    <row r="197" spans="2:15" hidden="1" x14ac:dyDescent="0.3">
      <c r="B197" s="7">
        <v>195</v>
      </c>
      <c r="C197" s="3" t="s">
        <v>201</v>
      </c>
      <c r="D197" s="2" t="s">
        <v>1057</v>
      </c>
      <c r="E197" s="3" t="s">
        <v>1012</v>
      </c>
      <c r="F197" s="3">
        <v>50</v>
      </c>
      <c r="G197" s="3">
        <v>50</v>
      </c>
      <c r="H197" s="8">
        <v>500</v>
      </c>
      <c r="I197" s="48">
        <f>Table13[[#This Row],[Physical_Stock_Qty]]-Table13[[#This Row],[System_Stock_Qty]]</f>
        <v>0</v>
      </c>
      <c r="J197" s="53" t="str" cm="1">
        <f t="array" ref="J197">_xlfn.IFS(I197=0,"Matched",I197&gt;0,"Excess",I197&lt;0,"Shortage")</f>
        <v>Matched</v>
      </c>
      <c r="K197" s="50">
        <f>ABS(Table13[[#This Row],[Stock Difference]])</f>
        <v>0</v>
      </c>
      <c r="L197" s="17">
        <f t="shared" si="9"/>
        <v>0</v>
      </c>
      <c r="M197" s="17">
        <f t="shared" si="10"/>
        <v>25000</v>
      </c>
      <c r="N197" s="17" t="str" cm="1">
        <f t="array" ref="N197">_xlfn.IFS(K197=0,"Matched", K197&gt;100,"High", K197&gt;=50,"Medium", K197&lt;50,"Low")</f>
        <v>Matched</v>
      </c>
      <c r="O197" s="17" t="str">
        <f t="shared" si="11"/>
        <v>No Match</v>
      </c>
    </row>
    <row r="198" spans="2:15" hidden="1" x14ac:dyDescent="0.3">
      <c r="B198" s="7">
        <v>196</v>
      </c>
      <c r="C198" s="3" t="s">
        <v>202</v>
      </c>
      <c r="D198" s="2" t="s">
        <v>1022</v>
      </c>
      <c r="E198" s="3" t="s">
        <v>1008</v>
      </c>
      <c r="F198" s="3">
        <v>125</v>
      </c>
      <c r="G198" s="3">
        <v>125</v>
      </c>
      <c r="H198" s="8">
        <v>0</v>
      </c>
      <c r="I198" s="48">
        <f>Table13[[#This Row],[Physical_Stock_Qty]]-Table13[[#This Row],[System_Stock_Qty]]</f>
        <v>0</v>
      </c>
      <c r="J198" s="53" t="str" cm="1">
        <f t="array" ref="J198">_xlfn.IFS(I198=0,"Matched",I198&gt;0,"Excess",I198&lt;0,"Shortage")</f>
        <v>Matched</v>
      </c>
      <c r="K198" s="50">
        <f>ABS(Table13[[#This Row],[Stock Difference]])</f>
        <v>0</v>
      </c>
      <c r="L198" s="17">
        <f t="shared" si="9"/>
        <v>0</v>
      </c>
      <c r="M198" s="17">
        <f t="shared" si="10"/>
        <v>0</v>
      </c>
      <c r="N198" s="17" t="str" cm="1">
        <f t="array" ref="N198">_xlfn.IFS(K198=0,"Matched", K198&gt;100,"High", K198&gt;=50,"Medium", K198&lt;50,"Low")</f>
        <v>Matched</v>
      </c>
      <c r="O198" s="17" t="str">
        <f t="shared" si="11"/>
        <v>No Match</v>
      </c>
    </row>
    <row r="199" spans="2:15" hidden="1" x14ac:dyDescent="0.3">
      <c r="B199" s="7">
        <v>197</v>
      </c>
      <c r="C199" s="3" t="s">
        <v>203</v>
      </c>
      <c r="D199" s="2" t="s">
        <v>1055</v>
      </c>
      <c r="E199" s="3" t="s">
        <v>1010</v>
      </c>
      <c r="F199" s="3">
        <v>47</v>
      </c>
      <c r="G199" s="3">
        <v>47</v>
      </c>
      <c r="H199" s="8">
        <v>50</v>
      </c>
      <c r="I199" s="48">
        <f>Table13[[#This Row],[Physical_Stock_Qty]]-Table13[[#This Row],[System_Stock_Qty]]</f>
        <v>0</v>
      </c>
      <c r="J199" s="53" t="str" cm="1">
        <f t="array" ref="J199">_xlfn.IFS(I199=0,"Matched",I199&gt;0,"Excess",I199&lt;0,"Shortage")</f>
        <v>Matched</v>
      </c>
      <c r="K199" s="50">
        <f>ABS(Table13[[#This Row],[Stock Difference]])</f>
        <v>0</v>
      </c>
      <c r="L199" s="17">
        <f t="shared" si="9"/>
        <v>0</v>
      </c>
      <c r="M199" s="17">
        <f t="shared" si="10"/>
        <v>2350</v>
      </c>
      <c r="N199" s="17" t="str" cm="1">
        <f t="array" ref="N199">_xlfn.IFS(K199=0,"Matched", K199&gt;100,"High", K199&gt;=50,"Medium", K199&lt;50,"Low")</f>
        <v>Matched</v>
      </c>
      <c r="O199" s="17" t="str">
        <f t="shared" si="11"/>
        <v>No Match</v>
      </c>
    </row>
    <row r="200" spans="2:15" hidden="1" x14ac:dyDescent="0.3">
      <c r="B200" s="7">
        <v>198</v>
      </c>
      <c r="C200" s="3" t="s">
        <v>204</v>
      </c>
      <c r="D200" s="2" t="s">
        <v>1059</v>
      </c>
      <c r="E200" s="3" t="s">
        <v>1012</v>
      </c>
      <c r="F200" s="3">
        <v>125</v>
      </c>
      <c r="G200" s="3">
        <v>125</v>
      </c>
      <c r="H200" s="8">
        <v>200</v>
      </c>
      <c r="I200" s="48">
        <f>Table13[[#This Row],[Physical_Stock_Qty]]-Table13[[#This Row],[System_Stock_Qty]]</f>
        <v>0</v>
      </c>
      <c r="J200" s="53" t="str" cm="1">
        <f t="array" ref="J200">_xlfn.IFS(I200=0,"Matched",I200&gt;0,"Excess",I200&lt;0,"Shortage")</f>
        <v>Matched</v>
      </c>
      <c r="K200" s="50">
        <f>ABS(Table13[[#This Row],[Stock Difference]])</f>
        <v>0</v>
      </c>
      <c r="L200" s="17">
        <f t="shared" si="9"/>
        <v>0</v>
      </c>
      <c r="M200" s="17">
        <f t="shared" si="10"/>
        <v>25000</v>
      </c>
      <c r="N200" s="17" t="str" cm="1">
        <f t="array" ref="N200">_xlfn.IFS(K200=0,"Matched", K200&gt;100,"High", K200&gt;=50,"Medium", K200&lt;50,"Low")</f>
        <v>Matched</v>
      </c>
      <c r="O200" s="17" t="str">
        <f t="shared" si="11"/>
        <v>No Match</v>
      </c>
    </row>
    <row r="201" spans="2:15" hidden="1" x14ac:dyDescent="0.3">
      <c r="B201" s="7">
        <v>199</v>
      </c>
      <c r="C201" s="3" t="s">
        <v>205</v>
      </c>
      <c r="D201" s="2" t="s">
        <v>1059</v>
      </c>
      <c r="E201" s="3" t="s">
        <v>1012</v>
      </c>
      <c r="F201" s="3">
        <v>59</v>
      </c>
      <c r="G201" s="3">
        <v>59</v>
      </c>
      <c r="H201" s="8">
        <v>200</v>
      </c>
      <c r="I201" s="48">
        <f>Table13[[#This Row],[Physical_Stock_Qty]]-Table13[[#This Row],[System_Stock_Qty]]</f>
        <v>0</v>
      </c>
      <c r="J201" s="53" t="str" cm="1">
        <f t="array" ref="J201">_xlfn.IFS(I201=0,"Matched",I201&gt;0,"Excess",I201&lt;0,"Shortage")</f>
        <v>Matched</v>
      </c>
      <c r="K201" s="50">
        <f>ABS(Table13[[#This Row],[Stock Difference]])</f>
        <v>0</v>
      </c>
      <c r="L201" s="17">
        <f t="shared" si="9"/>
        <v>0</v>
      </c>
      <c r="M201" s="17">
        <f t="shared" si="10"/>
        <v>11800</v>
      </c>
      <c r="N201" s="17" t="str" cm="1">
        <f t="array" ref="N201">_xlfn.IFS(K201=0,"Matched", K201&gt;100,"High", K201&gt;=50,"Medium", K201&lt;50,"Low")</f>
        <v>Matched</v>
      </c>
      <c r="O201" s="17" t="str">
        <f t="shared" si="11"/>
        <v>No Match</v>
      </c>
    </row>
    <row r="202" spans="2:15" hidden="1" x14ac:dyDescent="0.3">
      <c r="B202" s="7">
        <v>200</v>
      </c>
      <c r="C202" s="3" t="s">
        <v>206</v>
      </c>
      <c r="D202" s="2" t="s">
        <v>1022</v>
      </c>
      <c r="E202" s="3" t="s">
        <v>1008</v>
      </c>
      <c r="F202" s="3">
        <v>61</v>
      </c>
      <c r="G202" s="3">
        <v>61</v>
      </c>
      <c r="H202" s="8">
        <v>0</v>
      </c>
      <c r="I202" s="48">
        <f>Table13[[#This Row],[Physical_Stock_Qty]]-Table13[[#This Row],[System_Stock_Qty]]</f>
        <v>0</v>
      </c>
      <c r="J202" s="53" t="str" cm="1">
        <f t="array" ref="J202">_xlfn.IFS(I202=0,"Matched",I202&gt;0,"Excess",I202&lt;0,"Shortage")</f>
        <v>Matched</v>
      </c>
      <c r="K202" s="50">
        <f>ABS(Table13[[#This Row],[Stock Difference]])</f>
        <v>0</v>
      </c>
      <c r="L202" s="17">
        <f t="shared" si="9"/>
        <v>0</v>
      </c>
      <c r="M202" s="17">
        <f t="shared" si="10"/>
        <v>0</v>
      </c>
      <c r="N202" s="17" t="str" cm="1">
        <f t="array" ref="N202">_xlfn.IFS(K202=0,"Matched", K202&gt;100,"High", K202&gt;=50,"Medium", K202&lt;50,"Low")</f>
        <v>Matched</v>
      </c>
      <c r="O202" s="17" t="str">
        <f t="shared" si="11"/>
        <v>No Match</v>
      </c>
    </row>
    <row r="203" spans="2:15" hidden="1" x14ac:dyDescent="0.3">
      <c r="B203" s="7">
        <v>201</v>
      </c>
      <c r="C203" s="3" t="s">
        <v>207</v>
      </c>
      <c r="D203" s="2" t="s">
        <v>1072</v>
      </c>
      <c r="E203" s="3" t="s">
        <v>1009</v>
      </c>
      <c r="F203" s="3">
        <v>33</v>
      </c>
      <c r="G203" s="3">
        <v>33</v>
      </c>
      <c r="H203" s="8">
        <v>50</v>
      </c>
      <c r="I203" s="48">
        <f>Table13[[#This Row],[Physical_Stock_Qty]]-Table13[[#This Row],[System_Stock_Qty]]</f>
        <v>0</v>
      </c>
      <c r="J203" s="53" t="str" cm="1">
        <f t="array" ref="J203">_xlfn.IFS(I203=0,"Matched",I203&gt;0,"Excess",I203&lt;0,"Shortage")</f>
        <v>Matched</v>
      </c>
      <c r="K203" s="50">
        <f>ABS(Table13[[#This Row],[Stock Difference]])</f>
        <v>0</v>
      </c>
      <c r="L203" s="17">
        <f t="shared" si="9"/>
        <v>0</v>
      </c>
      <c r="M203" s="17">
        <f t="shared" si="10"/>
        <v>1650</v>
      </c>
      <c r="N203" s="17" t="str" cm="1">
        <f t="array" ref="N203">_xlfn.IFS(K203=0,"Matched", K203&gt;100,"High", K203&gt;=50,"Medium", K203&lt;50,"Low")</f>
        <v>Matched</v>
      </c>
      <c r="O203" s="17" t="str">
        <f t="shared" si="11"/>
        <v>No Match</v>
      </c>
    </row>
    <row r="204" spans="2:15" hidden="1" x14ac:dyDescent="0.3">
      <c r="B204" s="7">
        <v>202</v>
      </c>
      <c r="C204" s="3" t="s">
        <v>208</v>
      </c>
      <c r="D204" s="2" t="s">
        <v>1060</v>
      </c>
      <c r="E204" s="3" t="s">
        <v>1012</v>
      </c>
      <c r="F204" s="3">
        <v>192</v>
      </c>
      <c r="G204" s="3">
        <v>192</v>
      </c>
      <c r="H204" s="8">
        <v>1500</v>
      </c>
      <c r="I204" s="48">
        <f>Table13[[#This Row],[Physical_Stock_Qty]]-Table13[[#This Row],[System_Stock_Qty]]</f>
        <v>0</v>
      </c>
      <c r="J204" s="53" t="str" cm="1">
        <f t="array" ref="J204">_xlfn.IFS(I204=0,"Matched",I204&gt;0,"Excess",I204&lt;0,"Shortage")</f>
        <v>Matched</v>
      </c>
      <c r="K204" s="50">
        <f>ABS(Table13[[#This Row],[Stock Difference]])</f>
        <v>0</v>
      </c>
      <c r="L204" s="17">
        <f t="shared" si="9"/>
        <v>0</v>
      </c>
      <c r="M204" s="17">
        <f t="shared" si="10"/>
        <v>288000</v>
      </c>
      <c r="N204" s="17" t="str" cm="1">
        <f t="array" ref="N204">_xlfn.IFS(K204=0,"Matched", K204&gt;100,"High", K204&gt;=50,"Medium", K204&lt;50,"Low")</f>
        <v>Matched</v>
      </c>
      <c r="O204" s="17" t="str">
        <f t="shared" si="11"/>
        <v>No Match</v>
      </c>
    </row>
    <row r="205" spans="2:15" hidden="1" x14ac:dyDescent="0.3">
      <c r="B205" s="7">
        <v>203</v>
      </c>
      <c r="C205" s="3" t="s">
        <v>209</v>
      </c>
      <c r="D205" s="2" t="s">
        <v>1034</v>
      </c>
      <c r="E205" s="3" t="s">
        <v>1008</v>
      </c>
      <c r="F205" s="3">
        <v>160</v>
      </c>
      <c r="G205" s="3">
        <v>160</v>
      </c>
      <c r="H205" s="8">
        <v>50000</v>
      </c>
      <c r="I205" s="48">
        <f>Table13[[#This Row],[Physical_Stock_Qty]]-Table13[[#This Row],[System_Stock_Qty]]</f>
        <v>0</v>
      </c>
      <c r="J205" s="53" t="str" cm="1">
        <f t="array" ref="J205">_xlfn.IFS(I205=0,"Matched",I205&gt;0,"Excess",I205&lt;0,"Shortage")</f>
        <v>Matched</v>
      </c>
      <c r="K205" s="50">
        <f>ABS(Table13[[#This Row],[Stock Difference]])</f>
        <v>0</v>
      </c>
      <c r="L205" s="17">
        <f t="shared" si="9"/>
        <v>0</v>
      </c>
      <c r="M205" s="17">
        <f t="shared" si="10"/>
        <v>8000000</v>
      </c>
      <c r="N205" s="17" t="str" cm="1">
        <f t="array" ref="N205">_xlfn.IFS(K205=0,"Matched", K205&gt;100,"High", K205&gt;=50,"Medium", K205&lt;50,"Low")</f>
        <v>Matched</v>
      </c>
      <c r="O205" s="17" t="str">
        <f t="shared" si="11"/>
        <v>No Match</v>
      </c>
    </row>
    <row r="206" spans="2:15" hidden="1" x14ac:dyDescent="0.3">
      <c r="B206" s="7">
        <v>204</v>
      </c>
      <c r="C206" s="3" t="s">
        <v>210</v>
      </c>
      <c r="D206" s="2" t="s">
        <v>1018</v>
      </c>
      <c r="E206" s="3" t="s">
        <v>1012</v>
      </c>
      <c r="F206" s="3">
        <v>137</v>
      </c>
      <c r="G206" s="3">
        <v>137</v>
      </c>
      <c r="H206" s="8">
        <v>3000</v>
      </c>
      <c r="I206" s="48">
        <f>Table13[[#This Row],[Physical_Stock_Qty]]-Table13[[#This Row],[System_Stock_Qty]]</f>
        <v>0</v>
      </c>
      <c r="J206" s="53" t="str" cm="1">
        <f t="array" ref="J206">_xlfn.IFS(I206=0,"Matched",I206&gt;0,"Excess",I206&lt;0,"Shortage")</f>
        <v>Matched</v>
      </c>
      <c r="K206" s="50">
        <f>ABS(Table13[[#This Row],[Stock Difference]])</f>
        <v>0</v>
      </c>
      <c r="L206" s="17">
        <f t="shared" si="9"/>
        <v>0</v>
      </c>
      <c r="M206" s="17">
        <f t="shared" si="10"/>
        <v>411000</v>
      </c>
      <c r="N206" s="17" t="str" cm="1">
        <f t="array" ref="N206">_xlfn.IFS(K206=0,"Matched", K206&gt;100,"High", K206&gt;=50,"Medium", K206&lt;50,"Low")</f>
        <v>Matched</v>
      </c>
      <c r="O206" s="17" t="str">
        <f t="shared" si="11"/>
        <v>No Match</v>
      </c>
    </row>
    <row r="207" spans="2:15" hidden="1" x14ac:dyDescent="0.3">
      <c r="B207" s="7">
        <v>205</v>
      </c>
      <c r="C207" s="3" t="s">
        <v>211</v>
      </c>
      <c r="D207" s="2" t="s">
        <v>1036</v>
      </c>
      <c r="E207" s="3" t="s">
        <v>1007</v>
      </c>
      <c r="F207" s="3">
        <v>195</v>
      </c>
      <c r="G207" s="3">
        <v>195</v>
      </c>
      <c r="H207" s="8">
        <v>8000</v>
      </c>
      <c r="I207" s="48">
        <f>Table13[[#This Row],[Physical_Stock_Qty]]-Table13[[#This Row],[System_Stock_Qty]]</f>
        <v>0</v>
      </c>
      <c r="J207" s="53" t="str" cm="1">
        <f t="array" ref="J207">_xlfn.IFS(I207=0,"Matched",I207&gt;0,"Excess",I207&lt;0,"Shortage")</f>
        <v>Matched</v>
      </c>
      <c r="K207" s="50">
        <f>ABS(Table13[[#This Row],[Stock Difference]])</f>
        <v>0</v>
      </c>
      <c r="L207" s="17">
        <f t="shared" si="9"/>
        <v>0</v>
      </c>
      <c r="M207" s="17">
        <f t="shared" si="10"/>
        <v>1560000</v>
      </c>
      <c r="N207" s="17" t="str" cm="1">
        <f t="array" ref="N207">_xlfn.IFS(K207=0,"Matched", K207&gt;100,"High", K207&gt;=50,"Medium", K207&lt;50,"Low")</f>
        <v>Matched</v>
      </c>
      <c r="O207" s="17" t="str">
        <f t="shared" si="11"/>
        <v>No Match</v>
      </c>
    </row>
    <row r="208" spans="2:15" hidden="1" x14ac:dyDescent="0.3">
      <c r="B208" s="7">
        <v>206</v>
      </c>
      <c r="C208" s="3" t="s">
        <v>212</v>
      </c>
      <c r="D208" s="2" t="s">
        <v>1022</v>
      </c>
      <c r="E208" s="3" t="s">
        <v>1008</v>
      </c>
      <c r="F208" s="3">
        <v>118</v>
      </c>
      <c r="G208" s="3">
        <v>118</v>
      </c>
      <c r="H208" s="8">
        <v>0</v>
      </c>
      <c r="I208" s="48">
        <f>Table13[[#This Row],[Physical_Stock_Qty]]-Table13[[#This Row],[System_Stock_Qty]]</f>
        <v>0</v>
      </c>
      <c r="J208" s="53" t="str" cm="1">
        <f t="array" ref="J208">_xlfn.IFS(I208=0,"Matched",I208&gt;0,"Excess",I208&lt;0,"Shortage")</f>
        <v>Matched</v>
      </c>
      <c r="K208" s="50">
        <f>ABS(Table13[[#This Row],[Stock Difference]])</f>
        <v>0</v>
      </c>
      <c r="L208" s="17">
        <f t="shared" si="9"/>
        <v>0</v>
      </c>
      <c r="M208" s="17">
        <f t="shared" si="10"/>
        <v>0</v>
      </c>
      <c r="N208" s="17" t="str" cm="1">
        <f t="array" ref="N208">_xlfn.IFS(K208=0,"Matched", K208&gt;100,"High", K208&gt;=50,"Medium", K208&lt;50,"Low")</f>
        <v>Matched</v>
      </c>
      <c r="O208" s="17" t="str">
        <f t="shared" si="11"/>
        <v>No Match</v>
      </c>
    </row>
    <row r="209" spans="2:15" x14ac:dyDescent="0.3">
      <c r="B209" s="7">
        <v>207</v>
      </c>
      <c r="C209" s="3" t="s">
        <v>213</v>
      </c>
      <c r="D209" s="2" t="s">
        <v>1018</v>
      </c>
      <c r="E209" s="3" t="s">
        <v>1012</v>
      </c>
      <c r="F209" s="3">
        <v>163</v>
      </c>
      <c r="G209" s="3">
        <v>61</v>
      </c>
      <c r="H209" s="8">
        <v>3000</v>
      </c>
      <c r="I209" s="48">
        <f>Table13[[#This Row],[Physical_Stock_Qty]]-Table13[[#This Row],[System_Stock_Qty]]</f>
        <v>-102</v>
      </c>
      <c r="J209" s="53" t="str" cm="1">
        <f t="array" ref="J209">_xlfn.IFS(I209=0,"Matched",I209&gt;0,"Excess",I209&lt;0,"Shortage")</f>
        <v>Shortage</v>
      </c>
      <c r="K209" s="50">
        <f>ABS(Table13[[#This Row],[Stock Difference]])</f>
        <v>102</v>
      </c>
      <c r="L209" s="17">
        <f t="shared" si="9"/>
        <v>306000</v>
      </c>
      <c r="M209" s="17">
        <f t="shared" si="10"/>
        <v>489000</v>
      </c>
      <c r="N209" s="17" t="str" cm="1">
        <f t="array" ref="N209">_xlfn.IFS(K209=0,"Matched", K209&gt;100,"High", K209&gt;=50,"Medium", K209&lt;50,"Low")</f>
        <v>High</v>
      </c>
      <c r="O209" s="17" t="str">
        <f t="shared" si="11"/>
        <v>No</v>
      </c>
    </row>
    <row r="210" spans="2:15" x14ac:dyDescent="0.3">
      <c r="B210" s="7">
        <v>208</v>
      </c>
      <c r="C210" s="3" t="s">
        <v>214</v>
      </c>
      <c r="D210" s="2" t="s">
        <v>1030</v>
      </c>
      <c r="E210" s="3" t="s">
        <v>1008</v>
      </c>
      <c r="F210" s="3">
        <v>46</v>
      </c>
      <c r="G210" s="3">
        <v>30</v>
      </c>
      <c r="H210" s="8">
        <v>70000</v>
      </c>
      <c r="I210" s="48">
        <f>Table13[[#This Row],[Physical_Stock_Qty]]-Table13[[#This Row],[System_Stock_Qty]]</f>
        <v>-16</v>
      </c>
      <c r="J210" s="53" t="str" cm="1">
        <f t="array" ref="J210">_xlfn.IFS(I210=0,"Matched",I210&gt;0,"Excess",I210&lt;0,"Shortage")</f>
        <v>Shortage</v>
      </c>
      <c r="K210" s="50">
        <f>ABS(Table13[[#This Row],[Stock Difference]])</f>
        <v>16</v>
      </c>
      <c r="L210" s="17">
        <f t="shared" si="9"/>
        <v>1120000</v>
      </c>
      <c r="M210" s="17">
        <f t="shared" si="10"/>
        <v>3220000</v>
      </c>
      <c r="N210" s="17" t="str" cm="1">
        <f t="array" ref="N210">_xlfn.IFS(K210=0,"Matched", K210&gt;100,"High", K210&gt;=50,"Medium", K210&lt;50,"Low")</f>
        <v>Low</v>
      </c>
      <c r="O210" s="17" t="str">
        <f t="shared" si="11"/>
        <v>Yes</v>
      </c>
    </row>
    <row r="211" spans="2:15" x14ac:dyDescent="0.3">
      <c r="B211" s="7">
        <v>209</v>
      </c>
      <c r="C211" s="3" t="s">
        <v>215</v>
      </c>
      <c r="D211" s="2" t="s">
        <v>1062</v>
      </c>
      <c r="E211" s="3" t="s">
        <v>1009</v>
      </c>
      <c r="F211" s="3">
        <v>103</v>
      </c>
      <c r="G211" s="3">
        <v>147</v>
      </c>
      <c r="H211" s="8">
        <v>100</v>
      </c>
      <c r="I211" s="48">
        <f>Table13[[#This Row],[Physical_Stock_Qty]]-Table13[[#This Row],[System_Stock_Qty]]</f>
        <v>44</v>
      </c>
      <c r="J211" s="53" t="str" cm="1">
        <f t="array" ref="J211">_xlfn.IFS(I211=0,"Matched",I211&gt;0,"Excess",I211&lt;0,"Shortage")</f>
        <v>Excess</v>
      </c>
      <c r="K211" s="50">
        <f>ABS(Table13[[#This Row],[Stock Difference]])</f>
        <v>44</v>
      </c>
      <c r="L211" s="17">
        <f t="shared" si="9"/>
        <v>4400</v>
      </c>
      <c r="M211" s="17">
        <f t="shared" si="10"/>
        <v>10300</v>
      </c>
      <c r="N211" s="17" t="str" cm="1">
        <f t="array" ref="N211">_xlfn.IFS(K211=0,"Matched", K211&gt;100,"High", K211&gt;=50,"Medium", K211&lt;50,"Low")</f>
        <v>Low</v>
      </c>
      <c r="O211" s="17" t="str">
        <f t="shared" si="11"/>
        <v>No</v>
      </c>
    </row>
    <row r="212" spans="2:15" x14ac:dyDescent="0.3">
      <c r="B212" s="7">
        <v>210</v>
      </c>
      <c r="C212" s="3" t="s">
        <v>216</v>
      </c>
      <c r="D212" s="2" t="s">
        <v>1063</v>
      </c>
      <c r="E212" s="3" t="s">
        <v>1009</v>
      </c>
      <c r="F212" s="3">
        <v>132</v>
      </c>
      <c r="G212" s="3">
        <v>84</v>
      </c>
      <c r="H212" s="8">
        <v>4500</v>
      </c>
      <c r="I212" s="48">
        <f>Table13[[#This Row],[Physical_Stock_Qty]]-Table13[[#This Row],[System_Stock_Qty]]</f>
        <v>-48</v>
      </c>
      <c r="J212" s="53" t="str" cm="1">
        <f t="array" ref="J212">_xlfn.IFS(I212=0,"Matched",I212&gt;0,"Excess",I212&lt;0,"Shortage")</f>
        <v>Shortage</v>
      </c>
      <c r="K212" s="50">
        <f>ABS(Table13[[#This Row],[Stock Difference]])</f>
        <v>48</v>
      </c>
      <c r="L212" s="17">
        <f t="shared" si="9"/>
        <v>216000</v>
      </c>
      <c r="M212" s="17">
        <f t="shared" si="10"/>
        <v>594000</v>
      </c>
      <c r="N212" s="17" t="str" cm="1">
        <f t="array" ref="N212">_xlfn.IFS(K212=0,"Matched", K212&gt;100,"High", K212&gt;=50,"Medium", K212&lt;50,"Low")</f>
        <v>Low</v>
      </c>
      <c r="O212" s="17" t="str">
        <f t="shared" si="11"/>
        <v>No</v>
      </c>
    </row>
    <row r="213" spans="2:15" x14ac:dyDescent="0.3">
      <c r="B213" s="7">
        <v>211</v>
      </c>
      <c r="C213" s="3" t="s">
        <v>217</v>
      </c>
      <c r="D213" s="2" t="s">
        <v>1060</v>
      </c>
      <c r="E213" s="3" t="s">
        <v>1012</v>
      </c>
      <c r="F213" s="3">
        <v>158</v>
      </c>
      <c r="G213" s="3">
        <v>42</v>
      </c>
      <c r="H213" s="8">
        <v>1500</v>
      </c>
      <c r="I213" s="48">
        <f>Table13[[#This Row],[Physical_Stock_Qty]]-Table13[[#This Row],[System_Stock_Qty]]</f>
        <v>-116</v>
      </c>
      <c r="J213" s="53" t="str" cm="1">
        <f t="array" ref="J213">_xlfn.IFS(I213=0,"Matched",I213&gt;0,"Excess",I213&lt;0,"Shortage")</f>
        <v>Shortage</v>
      </c>
      <c r="K213" s="50">
        <f>ABS(Table13[[#This Row],[Stock Difference]])</f>
        <v>116</v>
      </c>
      <c r="L213" s="17">
        <f t="shared" si="9"/>
        <v>174000</v>
      </c>
      <c r="M213" s="17">
        <f t="shared" si="10"/>
        <v>237000</v>
      </c>
      <c r="N213" s="17" t="str" cm="1">
        <f t="array" ref="N213">_xlfn.IFS(K213=0,"Matched", K213&gt;100,"High", K213&gt;=50,"Medium", K213&lt;50,"Low")</f>
        <v>High</v>
      </c>
      <c r="O213" s="17" t="str">
        <f t="shared" si="11"/>
        <v>No</v>
      </c>
    </row>
    <row r="214" spans="2:15" x14ac:dyDescent="0.3">
      <c r="B214" s="7">
        <v>212</v>
      </c>
      <c r="C214" s="3" t="s">
        <v>218</v>
      </c>
      <c r="D214" s="2" t="s">
        <v>1054</v>
      </c>
      <c r="E214" s="3" t="s">
        <v>1010</v>
      </c>
      <c r="F214" s="3">
        <v>75</v>
      </c>
      <c r="G214" s="3">
        <v>188</v>
      </c>
      <c r="H214" s="8">
        <v>30</v>
      </c>
      <c r="I214" s="48">
        <f>Table13[[#This Row],[Physical_Stock_Qty]]-Table13[[#This Row],[System_Stock_Qty]]</f>
        <v>113</v>
      </c>
      <c r="J214" s="53" t="str" cm="1">
        <f t="array" ref="J214">_xlfn.IFS(I214=0,"Matched",I214&gt;0,"Excess",I214&lt;0,"Shortage")</f>
        <v>Excess</v>
      </c>
      <c r="K214" s="50">
        <f>ABS(Table13[[#This Row],[Stock Difference]])</f>
        <v>113</v>
      </c>
      <c r="L214" s="17">
        <f t="shared" si="9"/>
        <v>3390</v>
      </c>
      <c r="M214" s="17">
        <f t="shared" si="10"/>
        <v>2250</v>
      </c>
      <c r="N214" s="17" t="str" cm="1">
        <f t="array" ref="N214">_xlfn.IFS(K214=0,"Matched", K214&gt;100,"High", K214&gt;=50,"Medium", K214&lt;50,"Low")</f>
        <v>High</v>
      </c>
      <c r="O214" s="17" t="str">
        <f t="shared" si="11"/>
        <v>No</v>
      </c>
    </row>
    <row r="215" spans="2:15" x14ac:dyDescent="0.3">
      <c r="B215" s="7">
        <v>213</v>
      </c>
      <c r="C215" s="3" t="s">
        <v>219</v>
      </c>
      <c r="D215" s="2" t="s">
        <v>1038</v>
      </c>
      <c r="E215" s="3" t="s">
        <v>1007</v>
      </c>
      <c r="F215" s="3">
        <v>155</v>
      </c>
      <c r="G215" s="3">
        <v>64</v>
      </c>
      <c r="H215" s="8">
        <v>5000</v>
      </c>
      <c r="I215" s="48">
        <f>Table13[[#This Row],[Physical_Stock_Qty]]-Table13[[#This Row],[System_Stock_Qty]]</f>
        <v>-91</v>
      </c>
      <c r="J215" s="53" t="str" cm="1">
        <f t="array" ref="J215">_xlfn.IFS(I215=0,"Matched",I215&gt;0,"Excess",I215&lt;0,"Shortage")</f>
        <v>Shortage</v>
      </c>
      <c r="K215" s="50">
        <f>ABS(Table13[[#This Row],[Stock Difference]])</f>
        <v>91</v>
      </c>
      <c r="L215" s="17">
        <f t="shared" si="9"/>
        <v>455000</v>
      </c>
      <c r="M215" s="17">
        <f t="shared" si="10"/>
        <v>775000</v>
      </c>
      <c r="N215" s="17" t="str" cm="1">
        <f t="array" ref="N215">_xlfn.IFS(K215=0,"Matched", K215&gt;100,"High", K215&gt;=50,"Medium", K215&lt;50,"Low")</f>
        <v>Medium</v>
      </c>
      <c r="O215" s="17" t="str">
        <f t="shared" si="11"/>
        <v>No</v>
      </c>
    </row>
    <row r="216" spans="2:15" x14ac:dyDescent="0.3">
      <c r="B216" s="7">
        <v>214</v>
      </c>
      <c r="C216" s="3" t="s">
        <v>220</v>
      </c>
      <c r="D216" s="2" t="s">
        <v>1037</v>
      </c>
      <c r="E216" s="3" t="s">
        <v>1007</v>
      </c>
      <c r="F216" s="3">
        <v>75</v>
      </c>
      <c r="G216" s="3">
        <v>100</v>
      </c>
      <c r="H216" s="8">
        <v>10000</v>
      </c>
      <c r="I216" s="48">
        <f>Table13[[#This Row],[Physical_Stock_Qty]]-Table13[[#This Row],[System_Stock_Qty]]</f>
        <v>25</v>
      </c>
      <c r="J216" s="53" t="str" cm="1">
        <f t="array" ref="J216">_xlfn.IFS(I216=0,"Matched",I216&gt;0,"Excess",I216&lt;0,"Shortage")</f>
        <v>Excess</v>
      </c>
      <c r="K216" s="50">
        <f>ABS(Table13[[#This Row],[Stock Difference]])</f>
        <v>25</v>
      </c>
      <c r="L216" s="17">
        <f t="shared" si="9"/>
        <v>250000</v>
      </c>
      <c r="M216" s="17">
        <f t="shared" si="10"/>
        <v>750000</v>
      </c>
      <c r="N216" s="17" t="str" cm="1">
        <f t="array" ref="N216">_xlfn.IFS(K216=0,"Matched", K216&gt;100,"High", K216&gt;=50,"Medium", K216&lt;50,"Low")</f>
        <v>Low</v>
      </c>
      <c r="O216" s="17" t="str">
        <f t="shared" si="11"/>
        <v>No</v>
      </c>
    </row>
    <row r="217" spans="2:15" x14ac:dyDescent="0.3">
      <c r="B217" s="7">
        <v>215</v>
      </c>
      <c r="C217" s="3" t="s">
        <v>221</v>
      </c>
      <c r="D217" s="2" t="s">
        <v>1043</v>
      </c>
      <c r="E217" s="3" t="s">
        <v>1010</v>
      </c>
      <c r="F217" s="3">
        <v>169</v>
      </c>
      <c r="G217" s="3">
        <v>128</v>
      </c>
      <c r="H217" s="8">
        <v>50</v>
      </c>
      <c r="I217" s="48">
        <f>Table13[[#This Row],[Physical_Stock_Qty]]-Table13[[#This Row],[System_Stock_Qty]]</f>
        <v>-41</v>
      </c>
      <c r="J217" s="53" t="str" cm="1">
        <f t="array" ref="J217">_xlfn.IFS(I217=0,"Matched",I217&gt;0,"Excess",I217&lt;0,"Shortage")</f>
        <v>Shortage</v>
      </c>
      <c r="K217" s="50">
        <f>ABS(Table13[[#This Row],[Stock Difference]])</f>
        <v>41</v>
      </c>
      <c r="L217" s="17">
        <f t="shared" si="9"/>
        <v>2050</v>
      </c>
      <c r="M217" s="17">
        <f t="shared" si="10"/>
        <v>8450</v>
      </c>
      <c r="N217" s="17" t="str" cm="1">
        <f t="array" ref="N217">_xlfn.IFS(K217=0,"Matched", K217&gt;100,"High", K217&gt;=50,"Medium", K217&lt;50,"Low")</f>
        <v>Low</v>
      </c>
      <c r="O217" s="17" t="str">
        <f t="shared" si="11"/>
        <v>No</v>
      </c>
    </row>
    <row r="218" spans="2:15" x14ac:dyDescent="0.3">
      <c r="B218" s="7">
        <v>216</v>
      </c>
      <c r="C218" s="3" t="s">
        <v>222</v>
      </c>
      <c r="D218" s="2" t="s">
        <v>1065</v>
      </c>
      <c r="E218" s="3" t="s">
        <v>1009</v>
      </c>
      <c r="F218" s="3">
        <v>119</v>
      </c>
      <c r="G218" s="3">
        <v>129</v>
      </c>
      <c r="H218" s="8">
        <v>200</v>
      </c>
      <c r="I218" s="48">
        <f>Table13[[#This Row],[Physical_Stock_Qty]]-Table13[[#This Row],[System_Stock_Qty]]</f>
        <v>10</v>
      </c>
      <c r="J218" s="53" t="str" cm="1">
        <f t="array" ref="J218">_xlfn.IFS(I218=0,"Matched",I218&gt;0,"Excess",I218&lt;0,"Shortage")</f>
        <v>Excess</v>
      </c>
      <c r="K218" s="50">
        <f>ABS(Table13[[#This Row],[Stock Difference]])</f>
        <v>10</v>
      </c>
      <c r="L218" s="17">
        <f t="shared" si="9"/>
        <v>2000</v>
      </c>
      <c r="M218" s="17">
        <f t="shared" si="10"/>
        <v>23800</v>
      </c>
      <c r="N218" s="17" t="str" cm="1">
        <f t="array" ref="N218">_xlfn.IFS(K218=0,"Matched", K218&gt;100,"High", K218&gt;=50,"Medium", K218&lt;50,"Low")</f>
        <v>Low</v>
      </c>
      <c r="O218" s="17" t="str">
        <f t="shared" si="11"/>
        <v>No</v>
      </c>
    </row>
    <row r="219" spans="2:15" x14ac:dyDescent="0.3">
      <c r="B219" s="7">
        <v>217</v>
      </c>
      <c r="C219" s="3" t="s">
        <v>223</v>
      </c>
      <c r="D219" s="2" t="s">
        <v>1037</v>
      </c>
      <c r="E219" s="3" t="s">
        <v>1007</v>
      </c>
      <c r="F219" s="3">
        <v>163</v>
      </c>
      <c r="G219" s="3">
        <v>62</v>
      </c>
      <c r="H219" s="8">
        <v>10000</v>
      </c>
      <c r="I219" s="48">
        <f>Table13[[#This Row],[Physical_Stock_Qty]]-Table13[[#This Row],[System_Stock_Qty]]</f>
        <v>-101</v>
      </c>
      <c r="J219" s="53" t="str" cm="1">
        <f t="array" ref="J219">_xlfn.IFS(I219=0,"Matched",I219&gt;0,"Excess",I219&lt;0,"Shortage")</f>
        <v>Shortage</v>
      </c>
      <c r="K219" s="50">
        <f>ABS(Table13[[#This Row],[Stock Difference]])</f>
        <v>101</v>
      </c>
      <c r="L219" s="17">
        <f t="shared" si="9"/>
        <v>1010000</v>
      </c>
      <c r="M219" s="17">
        <f t="shared" si="10"/>
        <v>1630000</v>
      </c>
      <c r="N219" s="17" t="str" cm="1">
        <f t="array" ref="N219">_xlfn.IFS(K219=0,"Matched", K219&gt;100,"High", K219&gt;=50,"Medium", K219&lt;50,"Low")</f>
        <v>High</v>
      </c>
      <c r="O219" s="17" t="str">
        <f t="shared" si="11"/>
        <v>Yes</v>
      </c>
    </row>
    <row r="220" spans="2:15" x14ac:dyDescent="0.3">
      <c r="B220" s="7">
        <v>218</v>
      </c>
      <c r="C220" s="3" t="s">
        <v>224</v>
      </c>
      <c r="D220" s="2" t="s">
        <v>1063</v>
      </c>
      <c r="E220" s="3" t="s">
        <v>1009</v>
      </c>
      <c r="F220" s="3">
        <v>171</v>
      </c>
      <c r="G220" s="3">
        <v>114</v>
      </c>
      <c r="H220" s="8">
        <v>4500</v>
      </c>
      <c r="I220" s="48">
        <f>Table13[[#This Row],[Physical_Stock_Qty]]-Table13[[#This Row],[System_Stock_Qty]]</f>
        <v>-57</v>
      </c>
      <c r="J220" s="53" t="str" cm="1">
        <f t="array" ref="J220">_xlfn.IFS(I220=0,"Matched",I220&gt;0,"Excess",I220&lt;0,"Shortage")</f>
        <v>Shortage</v>
      </c>
      <c r="K220" s="50">
        <f>ABS(Table13[[#This Row],[Stock Difference]])</f>
        <v>57</v>
      </c>
      <c r="L220" s="17">
        <f t="shared" si="9"/>
        <v>256500</v>
      </c>
      <c r="M220" s="17">
        <f t="shared" si="10"/>
        <v>769500</v>
      </c>
      <c r="N220" s="17" t="str" cm="1">
        <f t="array" ref="N220">_xlfn.IFS(K220=0,"Matched", K220&gt;100,"High", K220&gt;=50,"Medium", K220&lt;50,"Low")</f>
        <v>Medium</v>
      </c>
      <c r="O220" s="17" t="str">
        <f t="shared" si="11"/>
        <v>No</v>
      </c>
    </row>
    <row r="221" spans="2:15" hidden="1" x14ac:dyDescent="0.3">
      <c r="B221" s="7">
        <v>219</v>
      </c>
      <c r="C221" s="3" t="s">
        <v>225</v>
      </c>
      <c r="D221" s="2" t="s">
        <v>1073</v>
      </c>
      <c r="E221" s="3" t="s">
        <v>1009</v>
      </c>
      <c r="F221" s="3">
        <v>30</v>
      </c>
      <c r="G221" s="3">
        <v>30</v>
      </c>
      <c r="H221" s="8">
        <v>100</v>
      </c>
      <c r="I221" s="48">
        <f>Table13[[#This Row],[Physical_Stock_Qty]]-Table13[[#This Row],[System_Stock_Qty]]</f>
        <v>0</v>
      </c>
      <c r="J221" s="53" t="str" cm="1">
        <f t="array" ref="J221">_xlfn.IFS(I221=0,"Matched",I221&gt;0,"Excess",I221&lt;0,"Shortage")</f>
        <v>Matched</v>
      </c>
      <c r="K221" s="50">
        <f>ABS(Table13[[#This Row],[Stock Difference]])</f>
        <v>0</v>
      </c>
      <c r="L221" s="17">
        <f t="shared" si="9"/>
        <v>0</v>
      </c>
      <c r="M221" s="17">
        <f t="shared" si="10"/>
        <v>3000</v>
      </c>
      <c r="N221" s="17" t="str" cm="1">
        <f t="array" ref="N221">_xlfn.IFS(K221=0,"Matched", K221&gt;100,"High", K221&gt;=50,"Medium", K221&lt;50,"Low")</f>
        <v>Matched</v>
      </c>
      <c r="O221" s="17" t="str">
        <f t="shared" si="11"/>
        <v>No Match</v>
      </c>
    </row>
    <row r="222" spans="2:15" hidden="1" x14ac:dyDescent="0.3">
      <c r="B222" s="7">
        <v>220</v>
      </c>
      <c r="C222" s="3" t="s">
        <v>226</v>
      </c>
      <c r="D222" s="2" t="s">
        <v>1082</v>
      </c>
      <c r="E222" s="3" t="s">
        <v>1011</v>
      </c>
      <c r="F222" s="3">
        <v>104</v>
      </c>
      <c r="G222" s="3">
        <v>104</v>
      </c>
      <c r="H222" s="8">
        <v>2000</v>
      </c>
      <c r="I222" s="48">
        <f>Table13[[#This Row],[Physical_Stock_Qty]]-Table13[[#This Row],[System_Stock_Qty]]</f>
        <v>0</v>
      </c>
      <c r="J222" s="53" t="str" cm="1">
        <f t="array" ref="J222">_xlfn.IFS(I222=0,"Matched",I222&gt;0,"Excess",I222&lt;0,"Shortage")</f>
        <v>Matched</v>
      </c>
      <c r="K222" s="50">
        <f>ABS(Table13[[#This Row],[Stock Difference]])</f>
        <v>0</v>
      </c>
      <c r="L222" s="17">
        <f t="shared" si="9"/>
        <v>0</v>
      </c>
      <c r="M222" s="17">
        <f t="shared" si="10"/>
        <v>208000</v>
      </c>
      <c r="N222" s="17" t="str" cm="1">
        <f t="array" ref="N222">_xlfn.IFS(K222=0,"Matched", K222&gt;100,"High", K222&gt;=50,"Medium", K222&lt;50,"Low")</f>
        <v>Matched</v>
      </c>
      <c r="O222" s="17" t="str">
        <f t="shared" si="11"/>
        <v>No Match</v>
      </c>
    </row>
    <row r="223" spans="2:15" hidden="1" x14ac:dyDescent="0.3">
      <c r="B223" s="7">
        <v>221</v>
      </c>
      <c r="C223" s="3" t="s">
        <v>227</v>
      </c>
      <c r="D223" s="2" t="s">
        <v>1071</v>
      </c>
      <c r="E223" s="3" t="s">
        <v>1009</v>
      </c>
      <c r="F223" s="3">
        <v>189</v>
      </c>
      <c r="G223" s="3">
        <v>189</v>
      </c>
      <c r="H223" s="8">
        <v>200</v>
      </c>
      <c r="I223" s="48">
        <f>Table13[[#This Row],[Physical_Stock_Qty]]-Table13[[#This Row],[System_Stock_Qty]]</f>
        <v>0</v>
      </c>
      <c r="J223" s="53" t="str" cm="1">
        <f t="array" ref="J223">_xlfn.IFS(I223=0,"Matched",I223&gt;0,"Excess",I223&lt;0,"Shortage")</f>
        <v>Matched</v>
      </c>
      <c r="K223" s="50">
        <f>ABS(Table13[[#This Row],[Stock Difference]])</f>
        <v>0</v>
      </c>
      <c r="L223" s="17">
        <f t="shared" si="9"/>
        <v>0</v>
      </c>
      <c r="M223" s="17">
        <f t="shared" si="10"/>
        <v>37800</v>
      </c>
      <c r="N223" s="17" t="str" cm="1">
        <f t="array" ref="N223">_xlfn.IFS(K223=0,"Matched", K223&gt;100,"High", K223&gt;=50,"Medium", K223&lt;50,"Low")</f>
        <v>Matched</v>
      </c>
      <c r="O223" s="17" t="str">
        <f t="shared" si="11"/>
        <v>No Match</v>
      </c>
    </row>
    <row r="224" spans="2:15" hidden="1" x14ac:dyDescent="0.3">
      <c r="B224" s="7">
        <v>222</v>
      </c>
      <c r="C224" s="3" t="s">
        <v>228</v>
      </c>
      <c r="D224" s="2" t="s">
        <v>1060</v>
      </c>
      <c r="E224" s="3" t="s">
        <v>1012</v>
      </c>
      <c r="F224" s="3">
        <v>90</v>
      </c>
      <c r="G224" s="3">
        <v>90</v>
      </c>
      <c r="H224" s="8">
        <v>1500</v>
      </c>
      <c r="I224" s="48">
        <f>Table13[[#This Row],[Physical_Stock_Qty]]-Table13[[#This Row],[System_Stock_Qty]]</f>
        <v>0</v>
      </c>
      <c r="J224" s="53" t="str" cm="1">
        <f t="array" ref="J224">_xlfn.IFS(I224=0,"Matched",I224&gt;0,"Excess",I224&lt;0,"Shortage")</f>
        <v>Matched</v>
      </c>
      <c r="K224" s="50">
        <f>ABS(Table13[[#This Row],[Stock Difference]])</f>
        <v>0</v>
      </c>
      <c r="L224" s="17">
        <f t="shared" si="9"/>
        <v>0</v>
      </c>
      <c r="M224" s="17">
        <f t="shared" si="10"/>
        <v>135000</v>
      </c>
      <c r="N224" s="17" t="str" cm="1">
        <f t="array" ref="N224">_xlfn.IFS(K224=0,"Matched", K224&gt;100,"High", K224&gt;=50,"Medium", K224&lt;50,"Low")</f>
        <v>Matched</v>
      </c>
      <c r="O224" s="17" t="str">
        <f t="shared" si="11"/>
        <v>No Match</v>
      </c>
    </row>
    <row r="225" spans="2:15" hidden="1" x14ac:dyDescent="0.3">
      <c r="B225" s="7">
        <v>223</v>
      </c>
      <c r="C225" s="3" t="s">
        <v>229</v>
      </c>
      <c r="D225" s="2" t="s">
        <v>1028</v>
      </c>
      <c r="E225" s="3" t="s">
        <v>1008</v>
      </c>
      <c r="F225" s="3">
        <v>100</v>
      </c>
      <c r="G225" s="3">
        <v>100</v>
      </c>
      <c r="H225" s="8">
        <v>15000</v>
      </c>
      <c r="I225" s="48">
        <f>Table13[[#This Row],[Physical_Stock_Qty]]-Table13[[#This Row],[System_Stock_Qty]]</f>
        <v>0</v>
      </c>
      <c r="J225" s="53" t="str" cm="1">
        <f t="array" ref="J225">_xlfn.IFS(I225=0,"Matched",I225&gt;0,"Excess",I225&lt;0,"Shortage")</f>
        <v>Matched</v>
      </c>
      <c r="K225" s="50">
        <f>ABS(Table13[[#This Row],[Stock Difference]])</f>
        <v>0</v>
      </c>
      <c r="L225" s="17">
        <f t="shared" si="9"/>
        <v>0</v>
      </c>
      <c r="M225" s="17">
        <f t="shared" si="10"/>
        <v>1500000</v>
      </c>
      <c r="N225" s="17" t="str" cm="1">
        <f t="array" ref="N225">_xlfn.IFS(K225=0,"Matched", K225&gt;100,"High", K225&gt;=50,"Medium", K225&lt;50,"Low")</f>
        <v>Matched</v>
      </c>
      <c r="O225" s="17" t="str">
        <f t="shared" si="11"/>
        <v>No Match</v>
      </c>
    </row>
    <row r="226" spans="2:15" hidden="1" x14ac:dyDescent="0.3">
      <c r="B226" s="7">
        <v>224</v>
      </c>
      <c r="C226" s="3" t="s">
        <v>230</v>
      </c>
      <c r="D226" s="2" t="s">
        <v>1037</v>
      </c>
      <c r="E226" s="3" t="s">
        <v>1007</v>
      </c>
      <c r="F226" s="3">
        <v>100</v>
      </c>
      <c r="G226" s="3">
        <v>100</v>
      </c>
      <c r="H226" s="8">
        <v>10000</v>
      </c>
      <c r="I226" s="48">
        <f>Table13[[#This Row],[Physical_Stock_Qty]]-Table13[[#This Row],[System_Stock_Qty]]</f>
        <v>0</v>
      </c>
      <c r="J226" s="53" t="str" cm="1">
        <f t="array" ref="J226">_xlfn.IFS(I226=0,"Matched",I226&gt;0,"Excess",I226&lt;0,"Shortage")</f>
        <v>Matched</v>
      </c>
      <c r="K226" s="50">
        <f>ABS(Table13[[#This Row],[Stock Difference]])</f>
        <v>0</v>
      </c>
      <c r="L226" s="17">
        <f t="shared" si="9"/>
        <v>0</v>
      </c>
      <c r="M226" s="17">
        <f t="shared" si="10"/>
        <v>1000000</v>
      </c>
      <c r="N226" s="17" t="str" cm="1">
        <f t="array" ref="N226">_xlfn.IFS(K226=0,"Matched", K226&gt;100,"High", K226&gt;=50,"Medium", K226&lt;50,"Low")</f>
        <v>Matched</v>
      </c>
      <c r="O226" s="17" t="str">
        <f t="shared" si="11"/>
        <v>No Match</v>
      </c>
    </row>
    <row r="227" spans="2:15" hidden="1" x14ac:dyDescent="0.3">
      <c r="B227" s="7">
        <v>225</v>
      </c>
      <c r="C227" s="3" t="s">
        <v>231</v>
      </c>
      <c r="D227" s="2" t="s">
        <v>1025</v>
      </c>
      <c r="E227" s="3" t="s">
        <v>1008</v>
      </c>
      <c r="F227" s="3">
        <v>72</v>
      </c>
      <c r="G227" s="3">
        <v>72</v>
      </c>
      <c r="H227" s="8">
        <v>30000</v>
      </c>
      <c r="I227" s="48">
        <f>Table13[[#This Row],[Physical_Stock_Qty]]-Table13[[#This Row],[System_Stock_Qty]]</f>
        <v>0</v>
      </c>
      <c r="J227" s="53" t="str" cm="1">
        <f t="array" ref="J227">_xlfn.IFS(I227=0,"Matched",I227&gt;0,"Excess",I227&lt;0,"Shortage")</f>
        <v>Matched</v>
      </c>
      <c r="K227" s="50">
        <f>ABS(Table13[[#This Row],[Stock Difference]])</f>
        <v>0</v>
      </c>
      <c r="L227" s="17">
        <f t="shared" si="9"/>
        <v>0</v>
      </c>
      <c r="M227" s="17">
        <f t="shared" si="10"/>
        <v>2160000</v>
      </c>
      <c r="N227" s="17" t="str" cm="1">
        <f t="array" ref="N227">_xlfn.IFS(K227=0,"Matched", K227&gt;100,"High", K227&gt;=50,"Medium", K227&lt;50,"Low")</f>
        <v>Matched</v>
      </c>
      <c r="O227" s="17" t="str">
        <f t="shared" si="11"/>
        <v>No Match</v>
      </c>
    </row>
    <row r="228" spans="2:15" hidden="1" x14ac:dyDescent="0.3">
      <c r="B228" s="7">
        <v>226</v>
      </c>
      <c r="C228" s="3" t="s">
        <v>232</v>
      </c>
      <c r="D228" s="2" t="s">
        <v>1027</v>
      </c>
      <c r="E228" s="3" t="s">
        <v>1008</v>
      </c>
      <c r="F228" s="3">
        <v>115</v>
      </c>
      <c r="G228" s="3">
        <v>115</v>
      </c>
      <c r="H228" s="8">
        <v>30000</v>
      </c>
      <c r="I228" s="48">
        <f>Table13[[#This Row],[Physical_Stock_Qty]]-Table13[[#This Row],[System_Stock_Qty]]</f>
        <v>0</v>
      </c>
      <c r="J228" s="53" t="str" cm="1">
        <f t="array" ref="J228">_xlfn.IFS(I228=0,"Matched",I228&gt;0,"Excess",I228&lt;0,"Shortage")</f>
        <v>Matched</v>
      </c>
      <c r="K228" s="50">
        <f>ABS(Table13[[#This Row],[Stock Difference]])</f>
        <v>0</v>
      </c>
      <c r="L228" s="17">
        <f t="shared" si="9"/>
        <v>0</v>
      </c>
      <c r="M228" s="17">
        <f t="shared" si="10"/>
        <v>3450000</v>
      </c>
      <c r="N228" s="17" t="str" cm="1">
        <f t="array" ref="N228">_xlfn.IFS(K228=0,"Matched", K228&gt;100,"High", K228&gt;=50,"Medium", K228&lt;50,"Low")</f>
        <v>Matched</v>
      </c>
      <c r="O228" s="17" t="str">
        <f t="shared" si="11"/>
        <v>No Match</v>
      </c>
    </row>
    <row r="229" spans="2:15" hidden="1" x14ac:dyDescent="0.3">
      <c r="B229" s="7">
        <v>227</v>
      </c>
      <c r="C229" s="3" t="s">
        <v>233</v>
      </c>
      <c r="D229" s="2" t="s">
        <v>1081</v>
      </c>
      <c r="E229" s="3" t="s">
        <v>1011</v>
      </c>
      <c r="F229" s="3">
        <v>48</v>
      </c>
      <c r="G229" s="3">
        <v>48</v>
      </c>
      <c r="H229" s="8">
        <v>1000</v>
      </c>
      <c r="I229" s="48">
        <f>Table13[[#This Row],[Physical_Stock_Qty]]-Table13[[#This Row],[System_Stock_Qty]]</f>
        <v>0</v>
      </c>
      <c r="J229" s="53" t="str" cm="1">
        <f t="array" ref="J229">_xlfn.IFS(I229=0,"Matched",I229&gt;0,"Excess",I229&lt;0,"Shortage")</f>
        <v>Matched</v>
      </c>
      <c r="K229" s="50">
        <f>ABS(Table13[[#This Row],[Stock Difference]])</f>
        <v>0</v>
      </c>
      <c r="L229" s="17">
        <f t="shared" si="9"/>
        <v>0</v>
      </c>
      <c r="M229" s="17">
        <f t="shared" si="10"/>
        <v>48000</v>
      </c>
      <c r="N229" s="17" t="str" cm="1">
        <f t="array" ref="N229">_xlfn.IFS(K229=0,"Matched", K229&gt;100,"High", K229&gt;=50,"Medium", K229&lt;50,"Low")</f>
        <v>Matched</v>
      </c>
      <c r="O229" s="17" t="str">
        <f t="shared" si="11"/>
        <v>No Match</v>
      </c>
    </row>
    <row r="230" spans="2:15" hidden="1" x14ac:dyDescent="0.3">
      <c r="B230" s="7">
        <v>228</v>
      </c>
      <c r="C230" s="3" t="s">
        <v>234</v>
      </c>
      <c r="D230" s="2" t="s">
        <v>1046</v>
      </c>
      <c r="E230" s="3" t="s">
        <v>1010</v>
      </c>
      <c r="F230" s="3">
        <v>188</v>
      </c>
      <c r="G230" s="3">
        <v>188</v>
      </c>
      <c r="H230" s="8">
        <v>100</v>
      </c>
      <c r="I230" s="48">
        <f>Table13[[#This Row],[Physical_Stock_Qty]]-Table13[[#This Row],[System_Stock_Qty]]</f>
        <v>0</v>
      </c>
      <c r="J230" s="53" t="str" cm="1">
        <f t="array" ref="J230">_xlfn.IFS(I230=0,"Matched",I230&gt;0,"Excess",I230&lt;0,"Shortage")</f>
        <v>Matched</v>
      </c>
      <c r="K230" s="50">
        <f>ABS(Table13[[#This Row],[Stock Difference]])</f>
        <v>0</v>
      </c>
      <c r="L230" s="17">
        <f t="shared" si="9"/>
        <v>0</v>
      </c>
      <c r="M230" s="17">
        <f t="shared" si="10"/>
        <v>18800</v>
      </c>
      <c r="N230" s="17" t="str" cm="1">
        <f t="array" ref="N230">_xlfn.IFS(K230=0,"Matched", K230&gt;100,"High", K230&gt;=50,"Medium", K230&lt;50,"Low")</f>
        <v>Matched</v>
      </c>
      <c r="O230" s="17" t="str">
        <f t="shared" si="11"/>
        <v>No Match</v>
      </c>
    </row>
    <row r="231" spans="2:15" hidden="1" x14ac:dyDescent="0.3">
      <c r="B231" s="7">
        <v>229</v>
      </c>
      <c r="C231" s="3" t="s">
        <v>235</v>
      </c>
      <c r="D231" s="2" t="s">
        <v>1041</v>
      </c>
      <c r="E231" s="3" t="s">
        <v>1007</v>
      </c>
      <c r="F231" s="3">
        <v>61</v>
      </c>
      <c r="G231" s="3">
        <v>61</v>
      </c>
      <c r="H231" s="8">
        <v>2000</v>
      </c>
      <c r="I231" s="48">
        <f>Table13[[#This Row],[Physical_Stock_Qty]]-Table13[[#This Row],[System_Stock_Qty]]</f>
        <v>0</v>
      </c>
      <c r="J231" s="53" t="str" cm="1">
        <f t="array" ref="J231">_xlfn.IFS(I231=0,"Matched",I231&gt;0,"Excess",I231&lt;0,"Shortage")</f>
        <v>Matched</v>
      </c>
      <c r="K231" s="50">
        <f>ABS(Table13[[#This Row],[Stock Difference]])</f>
        <v>0</v>
      </c>
      <c r="L231" s="17">
        <f t="shared" si="9"/>
        <v>0</v>
      </c>
      <c r="M231" s="17">
        <f t="shared" si="10"/>
        <v>122000</v>
      </c>
      <c r="N231" s="17" t="str" cm="1">
        <f t="array" ref="N231">_xlfn.IFS(K231=0,"Matched", K231&gt;100,"High", K231&gt;=50,"Medium", K231&lt;50,"Low")</f>
        <v>Matched</v>
      </c>
      <c r="O231" s="17" t="str">
        <f t="shared" si="11"/>
        <v>No Match</v>
      </c>
    </row>
    <row r="232" spans="2:15" hidden="1" x14ac:dyDescent="0.3">
      <c r="B232" s="7">
        <v>230</v>
      </c>
      <c r="C232" s="3" t="s">
        <v>236</v>
      </c>
      <c r="D232" s="2" t="s">
        <v>1032</v>
      </c>
      <c r="E232" s="3" t="s">
        <v>1008</v>
      </c>
      <c r="F232" s="3">
        <v>30</v>
      </c>
      <c r="G232" s="3">
        <v>30</v>
      </c>
      <c r="H232" s="8">
        <v>2000</v>
      </c>
      <c r="I232" s="48">
        <f>Table13[[#This Row],[Physical_Stock_Qty]]-Table13[[#This Row],[System_Stock_Qty]]</f>
        <v>0</v>
      </c>
      <c r="J232" s="53" t="str" cm="1">
        <f t="array" ref="J232">_xlfn.IFS(I232=0,"Matched",I232&gt;0,"Excess",I232&lt;0,"Shortage")</f>
        <v>Matched</v>
      </c>
      <c r="K232" s="50">
        <f>ABS(Table13[[#This Row],[Stock Difference]])</f>
        <v>0</v>
      </c>
      <c r="L232" s="17">
        <f t="shared" si="9"/>
        <v>0</v>
      </c>
      <c r="M232" s="17">
        <f t="shared" si="10"/>
        <v>60000</v>
      </c>
      <c r="N232" s="17" t="str" cm="1">
        <f t="array" ref="N232">_xlfn.IFS(K232=0,"Matched", K232&gt;100,"High", K232&gt;=50,"Medium", K232&lt;50,"Low")</f>
        <v>Matched</v>
      </c>
      <c r="O232" s="17" t="str">
        <f t="shared" si="11"/>
        <v>No Match</v>
      </c>
    </row>
    <row r="233" spans="2:15" hidden="1" x14ac:dyDescent="0.3">
      <c r="B233" s="7">
        <v>231</v>
      </c>
      <c r="C233" s="3" t="s">
        <v>237</v>
      </c>
      <c r="D233" s="2" t="s">
        <v>1077</v>
      </c>
      <c r="E233" s="3" t="s">
        <v>1011</v>
      </c>
      <c r="F233" s="3">
        <v>147</v>
      </c>
      <c r="G233" s="3">
        <v>147</v>
      </c>
      <c r="H233" s="8">
        <v>5000</v>
      </c>
      <c r="I233" s="48">
        <f>Table13[[#This Row],[Physical_Stock_Qty]]-Table13[[#This Row],[System_Stock_Qty]]</f>
        <v>0</v>
      </c>
      <c r="J233" s="53" t="str" cm="1">
        <f t="array" ref="J233">_xlfn.IFS(I233=0,"Matched",I233&gt;0,"Excess",I233&lt;0,"Shortage")</f>
        <v>Matched</v>
      </c>
      <c r="K233" s="50">
        <f>ABS(Table13[[#This Row],[Stock Difference]])</f>
        <v>0</v>
      </c>
      <c r="L233" s="17">
        <f t="shared" si="9"/>
        <v>0</v>
      </c>
      <c r="M233" s="17">
        <f t="shared" si="10"/>
        <v>735000</v>
      </c>
      <c r="N233" s="17" t="str" cm="1">
        <f t="array" ref="N233">_xlfn.IFS(K233=0,"Matched", K233&gt;100,"High", K233&gt;=50,"Medium", K233&lt;50,"Low")</f>
        <v>Matched</v>
      </c>
      <c r="O233" s="17" t="str">
        <f t="shared" si="11"/>
        <v>No Match</v>
      </c>
    </row>
    <row r="234" spans="2:15" hidden="1" x14ac:dyDescent="0.3">
      <c r="B234" s="7">
        <v>232</v>
      </c>
      <c r="C234" s="3" t="s">
        <v>238</v>
      </c>
      <c r="D234" s="2" t="s">
        <v>1049</v>
      </c>
      <c r="E234" s="3" t="s">
        <v>1010</v>
      </c>
      <c r="F234" s="3">
        <v>84</v>
      </c>
      <c r="G234" s="3">
        <v>84</v>
      </c>
      <c r="H234" s="8">
        <v>20</v>
      </c>
      <c r="I234" s="48">
        <f>Table13[[#This Row],[Physical_Stock_Qty]]-Table13[[#This Row],[System_Stock_Qty]]</f>
        <v>0</v>
      </c>
      <c r="J234" s="53" t="str" cm="1">
        <f t="array" ref="J234">_xlfn.IFS(I234=0,"Matched",I234&gt;0,"Excess",I234&lt;0,"Shortage")</f>
        <v>Matched</v>
      </c>
      <c r="K234" s="50">
        <f>ABS(Table13[[#This Row],[Stock Difference]])</f>
        <v>0</v>
      </c>
      <c r="L234" s="17">
        <f t="shared" si="9"/>
        <v>0</v>
      </c>
      <c r="M234" s="17">
        <f t="shared" si="10"/>
        <v>1680</v>
      </c>
      <c r="N234" s="17" t="str" cm="1">
        <f t="array" ref="N234">_xlfn.IFS(K234=0,"Matched", K234&gt;100,"High", K234&gt;=50,"Medium", K234&lt;50,"Low")</f>
        <v>Matched</v>
      </c>
      <c r="O234" s="17" t="str">
        <f t="shared" si="11"/>
        <v>No Match</v>
      </c>
    </row>
    <row r="235" spans="2:15" hidden="1" x14ac:dyDescent="0.3">
      <c r="B235" s="7">
        <v>233</v>
      </c>
      <c r="C235" s="3" t="s">
        <v>239</v>
      </c>
      <c r="D235" s="2" t="s">
        <v>1037</v>
      </c>
      <c r="E235" s="3" t="s">
        <v>1007</v>
      </c>
      <c r="F235" s="3">
        <v>42</v>
      </c>
      <c r="G235" s="3">
        <v>42</v>
      </c>
      <c r="H235" s="8">
        <v>10000</v>
      </c>
      <c r="I235" s="48">
        <f>Table13[[#This Row],[Physical_Stock_Qty]]-Table13[[#This Row],[System_Stock_Qty]]</f>
        <v>0</v>
      </c>
      <c r="J235" s="53" t="str" cm="1">
        <f t="array" ref="J235">_xlfn.IFS(I235=0,"Matched",I235&gt;0,"Excess",I235&lt;0,"Shortage")</f>
        <v>Matched</v>
      </c>
      <c r="K235" s="50">
        <f>ABS(Table13[[#This Row],[Stock Difference]])</f>
        <v>0</v>
      </c>
      <c r="L235" s="17">
        <f t="shared" si="9"/>
        <v>0</v>
      </c>
      <c r="M235" s="17">
        <f t="shared" si="10"/>
        <v>420000</v>
      </c>
      <c r="N235" s="17" t="str" cm="1">
        <f t="array" ref="N235">_xlfn.IFS(K235=0,"Matched", K235&gt;100,"High", K235&gt;=50,"Medium", K235&lt;50,"Low")</f>
        <v>Matched</v>
      </c>
      <c r="O235" s="17" t="str">
        <f t="shared" si="11"/>
        <v>No Match</v>
      </c>
    </row>
    <row r="236" spans="2:15" hidden="1" x14ac:dyDescent="0.3">
      <c r="B236" s="7">
        <v>234</v>
      </c>
      <c r="C236" s="3" t="s">
        <v>240</v>
      </c>
      <c r="D236" s="2" t="s">
        <v>1039</v>
      </c>
      <c r="E236" s="3" t="s">
        <v>1007</v>
      </c>
      <c r="F236" s="3">
        <v>188</v>
      </c>
      <c r="G236" s="3">
        <v>188</v>
      </c>
      <c r="H236" s="8">
        <v>12000</v>
      </c>
      <c r="I236" s="48">
        <f>Table13[[#This Row],[Physical_Stock_Qty]]-Table13[[#This Row],[System_Stock_Qty]]</f>
        <v>0</v>
      </c>
      <c r="J236" s="53" t="str" cm="1">
        <f t="array" ref="J236">_xlfn.IFS(I236=0,"Matched",I236&gt;0,"Excess",I236&lt;0,"Shortage")</f>
        <v>Matched</v>
      </c>
      <c r="K236" s="50">
        <f>ABS(Table13[[#This Row],[Stock Difference]])</f>
        <v>0</v>
      </c>
      <c r="L236" s="17">
        <f t="shared" si="9"/>
        <v>0</v>
      </c>
      <c r="M236" s="17">
        <f t="shared" si="10"/>
        <v>2256000</v>
      </c>
      <c r="N236" s="17" t="str" cm="1">
        <f t="array" ref="N236">_xlfn.IFS(K236=0,"Matched", K236&gt;100,"High", K236&gt;=50,"Medium", K236&lt;50,"Low")</f>
        <v>Matched</v>
      </c>
      <c r="O236" s="17" t="str">
        <f t="shared" si="11"/>
        <v>No Match</v>
      </c>
    </row>
    <row r="237" spans="2:15" hidden="1" x14ac:dyDescent="0.3">
      <c r="B237" s="7">
        <v>235</v>
      </c>
      <c r="C237" s="3" t="s">
        <v>241</v>
      </c>
      <c r="D237" s="2" t="s">
        <v>1018</v>
      </c>
      <c r="E237" s="3" t="s">
        <v>1012</v>
      </c>
      <c r="F237" s="3">
        <v>64</v>
      </c>
      <c r="G237" s="3">
        <v>64</v>
      </c>
      <c r="H237" s="8">
        <v>3000</v>
      </c>
      <c r="I237" s="48">
        <f>Table13[[#This Row],[Physical_Stock_Qty]]-Table13[[#This Row],[System_Stock_Qty]]</f>
        <v>0</v>
      </c>
      <c r="J237" s="53" t="str" cm="1">
        <f t="array" ref="J237">_xlfn.IFS(I237=0,"Matched",I237&gt;0,"Excess",I237&lt;0,"Shortage")</f>
        <v>Matched</v>
      </c>
      <c r="K237" s="50">
        <f>ABS(Table13[[#This Row],[Stock Difference]])</f>
        <v>0</v>
      </c>
      <c r="L237" s="17">
        <f t="shared" si="9"/>
        <v>0</v>
      </c>
      <c r="M237" s="17">
        <f t="shared" si="10"/>
        <v>192000</v>
      </c>
      <c r="N237" s="17" t="str" cm="1">
        <f t="array" ref="N237">_xlfn.IFS(K237=0,"Matched", K237&gt;100,"High", K237&gt;=50,"Medium", K237&lt;50,"Low")</f>
        <v>Matched</v>
      </c>
      <c r="O237" s="17" t="str">
        <f t="shared" si="11"/>
        <v>No Match</v>
      </c>
    </row>
    <row r="238" spans="2:15" hidden="1" x14ac:dyDescent="0.3">
      <c r="B238" s="7">
        <v>236</v>
      </c>
      <c r="C238" s="3" t="s">
        <v>242</v>
      </c>
      <c r="D238" s="2" t="s">
        <v>1018</v>
      </c>
      <c r="E238" s="3" t="s">
        <v>1012</v>
      </c>
      <c r="F238" s="3">
        <v>100</v>
      </c>
      <c r="G238" s="3">
        <v>100</v>
      </c>
      <c r="H238" s="8">
        <v>3000</v>
      </c>
      <c r="I238" s="48">
        <f>Table13[[#This Row],[Physical_Stock_Qty]]-Table13[[#This Row],[System_Stock_Qty]]</f>
        <v>0</v>
      </c>
      <c r="J238" s="53" t="str" cm="1">
        <f t="array" ref="J238">_xlfn.IFS(I238=0,"Matched",I238&gt;0,"Excess",I238&lt;0,"Shortage")</f>
        <v>Matched</v>
      </c>
      <c r="K238" s="50">
        <f>ABS(Table13[[#This Row],[Stock Difference]])</f>
        <v>0</v>
      </c>
      <c r="L238" s="17">
        <f t="shared" si="9"/>
        <v>0</v>
      </c>
      <c r="M238" s="17">
        <f t="shared" si="10"/>
        <v>300000</v>
      </c>
      <c r="N238" s="17" t="str" cm="1">
        <f t="array" ref="N238">_xlfn.IFS(K238=0,"Matched", K238&gt;100,"High", K238&gt;=50,"Medium", K238&lt;50,"Low")</f>
        <v>Matched</v>
      </c>
      <c r="O238" s="17" t="str">
        <f t="shared" si="11"/>
        <v>No Match</v>
      </c>
    </row>
    <row r="239" spans="2:15" hidden="1" x14ac:dyDescent="0.3">
      <c r="B239" s="7">
        <v>237</v>
      </c>
      <c r="C239" s="3" t="s">
        <v>243</v>
      </c>
      <c r="D239" s="2" t="s">
        <v>1050</v>
      </c>
      <c r="E239" s="3" t="s">
        <v>1010</v>
      </c>
      <c r="F239" s="3">
        <v>50</v>
      </c>
      <c r="G239" s="3">
        <v>50</v>
      </c>
      <c r="H239" s="8">
        <v>30</v>
      </c>
      <c r="I239" s="48">
        <f>Table13[[#This Row],[Physical_Stock_Qty]]-Table13[[#This Row],[System_Stock_Qty]]</f>
        <v>0</v>
      </c>
      <c r="J239" s="53" t="str" cm="1">
        <f t="array" ref="J239">_xlfn.IFS(I239=0,"Matched",I239&gt;0,"Excess",I239&lt;0,"Shortage")</f>
        <v>Matched</v>
      </c>
      <c r="K239" s="50">
        <f>ABS(Table13[[#This Row],[Stock Difference]])</f>
        <v>0</v>
      </c>
      <c r="L239" s="17">
        <f t="shared" si="9"/>
        <v>0</v>
      </c>
      <c r="M239" s="17">
        <f t="shared" si="10"/>
        <v>1500</v>
      </c>
      <c r="N239" s="17" t="str" cm="1">
        <f t="array" ref="N239">_xlfn.IFS(K239=0,"Matched", K239&gt;100,"High", K239&gt;=50,"Medium", K239&lt;50,"Low")</f>
        <v>Matched</v>
      </c>
      <c r="O239" s="17" t="str">
        <f t="shared" si="11"/>
        <v>No Match</v>
      </c>
    </row>
    <row r="240" spans="2:15" hidden="1" x14ac:dyDescent="0.3">
      <c r="B240" s="7">
        <v>238</v>
      </c>
      <c r="C240" s="3" t="s">
        <v>244</v>
      </c>
      <c r="D240" s="2" t="s">
        <v>1047</v>
      </c>
      <c r="E240" s="3" t="s">
        <v>1010</v>
      </c>
      <c r="F240" s="3">
        <v>69</v>
      </c>
      <c r="G240" s="3">
        <v>69</v>
      </c>
      <c r="H240" s="8">
        <v>500</v>
      </c>
      <c r="I240" s="48">
        <f>Table13[[#This Row],[Physical_Stock_Qty]]-Table13[[#This Row],[System_Stock_Qty]]</f>
        <v>0</v>
      </c>
      <c r="J240" s="53" t="str" cm="1">
        <f t="array" ref="J240">_xlfn.IFS(I240=0,"Matched",I240&gt;0,"Excess",I240&lt;0,"Shortage")</f>
        <v>Matched</v>
      </c>
      <c r="K240" s="50">
        <f>ABS(Table13[[#This Row],[Stock Difference]])</f>
        <v>0</v>
      </c>
      <c r="L240" s="17">
        <f t="shared" si="9"/>
        <v>0</v>
      </c>
      <c r="M240" s="17">
        <f t="shared" si="10"/>
        <v>34500</v>
      </c>
      <c r="N240" s="17" t="str" cm="1">
        <f t="array" ref="N240">_xlfn.IFS(K240=0,"Matched", K240&gt;100,"High", K240&gt;=50,"Medium", K240&lt;50,"Low")</f>
        <v>Matched</v>
      </c>
      <c r="O240" s="17" t="str">
        <f t="shared" si="11"/>
        <v>No Match</v>
      </c>
    </row>
    <row r="241" spans="2:15" x14ac:dyDescent="0.3">
      <c r="B241" s="7">
        <v>239</v>
      </c>
      <c r="C241" s="3" t="s">
        <v>245</v>
      </c>
      <c r="D241" s="2" t="s">
        <v>1087</v>
      </c>
      <c r="E241" s="3" t="s">
        <v>1011</v>
      </c>
      <c r="F241" s="3">
        <v>128</v>
      </c>
      <c r="G241" s="3">
        <v>198</v>
      </c>
      <c r="H241" s="8">
        <v>5000</v>
      </c>
      <c r="I241" s="48">
        <f>Table13[[#This Row],[Physical_Stock_Qty]]-Table13[[#This Row],[System_Stock_Qty]]</f>
        <v>70</v>
      </c>
      <c r="J241" s="53" t="str" cm="1">
        <f t="array" ref="J241">_xlfn.IFS(I241=0,"Matched",I241&gt;0,"Excess",I241&lt;0,"Shortage")</f>
        <v>Excess</v>
      </c>
      <c r="K241" s="50">
        <f>ABS(Table13[[#This Row],[Stock Difference]])</f>
        <v>70</v>
      </c>
      <c r="L241" s="17">
        <f t="shared" si="9"/>
        <v>350000</v>
      </c>
      <c r="M241" s="17">
        <f t="shared" si="10"/>
        <v>640000</v>
      </c>
      <c r="N241" s="17" t="str" cm="1">
        <f t="array" ref="N241">_xlfn.IFS(K241=0,"Matched", K241&gt;100,"High", K241&gt;=50,"Medium", K241&lt;50,"Low")</f>
        <v>Medium</v>
      </c>
      <c r="O241" s="17" t="str">
        <f t="shared" si="11"/>
        <v>No</v>
      </c>
    </row>
    <row r="242" spans="2:15" x14ac:dyDescent="0.3">
      <c r="B242" s="7">
        <v>240</v>
      </c>
      <c r="C242" s="3" t="s">
        <v>246</v>
      </c>
      <c r="D242" s="2" t="s">
        <v>1061</v>
      </c>
      <c r="E242" s="3" t="s">
        <v>1012</v>
      </c>
      <c r="F242" s="3">
        <v>129</v>
      </c>
      <c r="G242" s="3">
        <v>144</v>
      </c>
      <c r="H242" s="8">
        <v>500</v>
      </c>
      <c r="I242" s="48">
        <f>Table13[[#This Row],[Physical_Stock_Qty]]-Table13[[#This Row],[System_Stock_Qty]]</f>
        <v>15</v>
      </c>
      <c r="J242" s="53" t="str" cm="1">
        <f t="array" ref="J242">_xlfn.IFS(I242=0,"Matched",I242&gt;0,"Excess",I242&lt;0,"Shortage")</f>
        <v>Excess</v>
      </c>
      <c r="K242" s="50">
        <f>ABS(Table13[[#This Row],[Stock Difference]])</f>
        <v>15</v>
      </c>
      <c r="L242" s="17">
        <f t="shared" si="9"/>
        <v>7500</v>
      </c>
      <c r="M242" s="17">
        <f t="shared" si="10"/>
        <v>64500</v>
      </c>
      <c r="N242" s="17" t="str" cm="1">
        <f t="array" ref="N242">_xlfn.IFS(K242=0,"Matched", K242&gt;100,"High", K242&gt;=50,"Medium", K242&lt;50,"Low")</f>
        <v>Low</v>
      </c>
      <c r="O242" s="17" t="str">
        <f t="shared" si="11"/>
        <v>No</v>
      </c>
    </row>
    <row r="243" spans="2:15" hidden="1" x14ac:dyDescent="0.3">
      <c r="B243" s="7">
        <v>241</v>
      </c>
      <c r="C243" s="3" t="s">
        <v>247</v>
      </c>
      <c r="D243" s="2" t="s">
        <v>1042</v>
      </c>
      <c r="E243" s="3" t="s">
        <v>1007</v>
      </c>
      <c r="F243" s="3">
        <v>141</v>
      </c>
      <c r="G243" s="3">
        <v>141</v>
      </c>
      <c r="H243" s="8">
        <v>3000</v>
      </c>
      <c r="I243" s="48">
        <f>Table13[[#This Row],[Physical_Stock_Qty]]-Table13[[#This Row],[System_Stock_Qty]]</f>
        <v>0</v>
      </c>
      <c r="J243" s="53" t="str" cm="1">
        <f t="array" ref="J243">_xlfn.IFS(I243=0,"Matched",I243&gt;0,"Excess",I243&lt;0,"Shortage")</f>
        <v>Matched</v>
      </c>
      <c r="K243" s="50">
        <f>ABS(Table13[[#This Row],[Stock Difference]])</f>
        <v>0</v>
      </c>
      <c r="L243" s="17">
        <f t="shared" si="9"/>
        <v>0</v>
      </c>
      <c r="M243" s="17">
        <f t="shared" si="10"/>
        <v>423000</v>
      </c>
      <c r="N243" s="17" t="str" cm="1">
        <f t="array" ref="N243">_xlfn.IFS(K243=0,"Matched", K243&gt;100,"High", K243&gt;=50,"Medium", K243&lt;50,"Low")</f>
        <v>Matched</v>
      </c>
      <c r="O243" s="17" t="str">
        <f t="shared" si="11"/>
        <v>No Match</v>
      </c>
    </row>
    <row r="244" spans="2:15" x14ac:dyDescent="0.3">
      <c r="B244" s="7">
        <v>242</v>
      </c>
      <c r="C244" s="3" t="s">
        <v>248</v>
      </c>
      <c r="D244" s="2" t="s">
        <v>1082</v>
      </c>
      <c r="E244" s="3" t="s">
        <v>1011</v>
      </c>
      <c r="F244" s="3">
        <v>62</v>
      </c>
      <c r="G244" s="3">
        <v>56</v>
      </c>
      <c r="H244" s="8">
        <v>2000</v>
      </c>
      <c r="I244" s="48">
        <f>Table13[[#This Row],[Physical_Stock_Qty]]-Table13[[#This Row],[System_Stock_Qty]]</f>
        <v>-6</v>
      </c>
      <c r="J244" s="53" t="str" cm="1">
        <f t="array" ref="J244">_xlfn.IFS(I244=0,"Matched",I244&gt;0,"Excess",I244&lt;0,"Shortage")</f>
        <v>Shortage</v>
      </c>
      <c r="K244" s="50">
        <f>ABS(Table13[[#This Row],[Stock Difference]])</f>
        <v>6</v>
      </c>
      <c r="L244" s="17">
        <f t="shared" si="9"/>
        <v>12000</v>
      </c>
      <c r="M244" s="17">
        <f t="shared" si="10"/>
        <v>124000</v>
      </c>
      <c r="N244" s="17" t="str" cm="1">
        <f t="array" ref="N244">_xlfn.IFS(K244=0,"Matched", K244&gt;100,"High", K244&gt;=50,"Medium", K244&lt;50,"Low")</f>
        <v>Low</v>
      </c>
      <c r="O244" s="17" t="str">
        <f t="shared" si="11"/>
        <v>No</v>
      </c>
    </row>
    <row r="245" spans="2:15" x14ac:dyDescent="0.3">
      <c r="B245" s="7">
        <v>243</v>
      </c>
      <c r="C245" s="3" t="s">
        <v>249</v>
      </c>
      <c r="D245" s="2" t="s">
        <v>1035</v>
      </c>
      <c r="E245" s="3" t="s">
        <v>1007</v>
      </c>
      <c r="F245" s="3">
        <v>114</v>
      </c>
      <c r="G245" s="3">
        <v>77</v>
      </c>
      <c r="H245" s="8">
        <v>15000</v>
      </c>
      <c r="I245" s="48">
        <f>Table13[[#This Row],[Physical_Stock_Qty]]-Table13[[#This Row],[System_Stock_Qty]]</f>
        <v>-37</v>
      </c>
      <c r="J245" s="53" t="str" cm="1">
        <f t="array" ref="J245">_xlfn.IFS(I245=0,"Matched",I245&gt;0,"Excess",I245&lt;0,"Shortage")</f>
        <v>Shortage</v>
      </c>
      <c r="K245" s="50">
        <f>ABS(Table13[[#This Row],[Stock Difference]])</f>
        <v>37</v>
      </c>
      <c r="L245" s="17">
        <f t="shared" si="9"/>
        <v>555000</v>
      </c>
      <c r="M245" s="17">
        <f t="shared" si="10"/>
        <v>1710000</v>
      </c>
      <c r="N245" s="17" t="str" cm="1">
        <f t="array" ref="N245">_xlfn.IFS(K245=0,"Matched", K245&gt;100,"High", K245&gt;=50,"Medium", K245&lt;50,"Low")</f>
        <v>Low</v>
      </c>
      <c r="O245" s="17" t="str">
        <f t="shared" si="11"/>
        <v>Yes</v>
      </c>
    </row>
    <row r="246" spans="2:15" x14ac:dyDescent="0.3">
      <c r="B246" s="7">
        <v>244</v>
      </c>
      <c r="C246" s="3" t="s">
        <v>250</v>
      </c>
      <c r="D246" s="2" t="s">
        <v>1023</v>
      </c>
      <c r="E246" s="3" t="s">
        <v>1008</v>
      </c>
      <c r="F246" s="3">
        <v>197</v>
      </c>
      <c r="G246" s="3">
        <v>142</v>
      </c>
      <c r="H246" s="8">
        <v>20000</v>
      </c>
      <c r="I246" s="48">
        <f>Table13[[#This Row],[Physical_Stock_Qty]]-Table13[[#This Row],[System_Stock_Qty]]</f>
        <v>-55</v>
      </c>
      <c r="J246" s="53" t="str" cm="1">
        <f t="array" ref="J246">_xlfn.IFS(I246=0,"Matched",I246&gt;0,"Excess",I246&lt;0,"Shortage")</f>
        <v>Shortage</v>
      </c>
      <c r="K246" s="50">
        <f>ABS(Table13[[#This Row],[Stock Difference]])</f>
        <v>55</v>
      </c>
      <c r="L246" s="17">
        <f t="shared" si="9"/>
        <v>1100000</v>
      </c>
      <c r="M246" s="17">
        <f t="shared" si="10"/>
        <v>3940000</v>
      </c>
      <c r="N246" s="17" t="str" cm="1">
        <f t="array" ref="N246">_xlfn.IFS(K246=0,"Matched", K246&gt;100,"High", K246&gt;=50,"Medium", K246&lt;50,"Low")</f>
        <v>Medium</v>
      </c>
      <c r="O246" s="17" t="str">
        <f t="shared" si="11"/>
        <v>Yes</v>
      </c>
    </row>
    <row r="247" spans="2:15" x14ac:dyDescent="0.3">
      <c r="B247" s="7">
        <v>245</v>
      </c>
      <c r="C247" s="3" t="s">
        <v>251</v>
      </c>
      <c r="D247" s="2" t="s">
        <v>1017</v>
      </c>
      <c r="E247" s="3" t="s">
        <v>1012</v>
      </c>
      <c r="F247" s="3">
        <v>147</v>
      </c>
      <c r="G247" s="3">
        <v>63</v>
      </c>
      <c r="H247" s="8">
        <v>200</v>
      </c>
      <c r="I247" s="48">
        <f>Table13[[#This Row],[Physical_Stock_Qty]]-Table13[[#This Row],[System_Stock_Qty]]</f>
        <v>-84</v>
      </c>
      <c r="J247" s="53" t="str" cm="1">
        <f t="array" ref="J247">_xlfn.IFS(I247=0,"Matched",I247&gt;0,"Excess",I247&lt;0,"Shortage")</f>
        <v>Shortage</v>
      </c>
      <c r="K247" s="50">
        <f>ABS(Table13[[#This Row],[Stock Difference]])</f>
        <v>84</v>
      </c>
      <c r="L247" s="17">
        <f t="shared" si="9"/>
        <v>16800</v>
      </c>
      <c r="M247" s="17">
        <f t="shared" si="10"/>
        <v>29400</v>
      </c>
      <c r="N247" s="17" t="str" cm="1">
        <f t="array" ref="N247">_xlfn.IFS(K247=0,"Matched", K247&gt;100,"High", K247&gt;=50,"Medium", K247&lt;50,"Low")</f>
        <v>Medium</v>
      </c>
      <c r="O247" s="17" t="str">
        <f t="shared" si="11"/>
        <v>No</v>
      </c>
    </row>
    <row r="248" spans="2:15" x14ac:dyDescent="0.3">
      <c r="B248" s="7">
        <v>246</v>
      </c>
      <c r="C248" s="3" t="s">
        <v>252</v>
      </c>
      <c r="D248" s="2" t="s">
        <v>1075</v>
      </c>
      <c r="E248" s="3" t="s">
        <v>1009</v>
      </c>
      <c r="F248" s="3">
        <v>184</v>
      </c>
      <c r="G248" s="3">
        <v>115</v>
      </c>
      <c r="H248" s="8">
        <v>2000</v>
      </c>
      <c r="I248" s="48">
        <f>Table13[[#This Row],[Physical_Stock_Qty]]-Table13[[#This Row],[System_Stock_Qty]]</f>
        <v>-69</v>
      </c>
      <c r="J248" s="53" t="str" cm="1">
        <f t="array" ref="J248">_xlfn.IFS(I248=0,"Matched",I248&gt;0,"Excess",I248&lt;0,"Shortage")</f>
        <v>Shortage</v>
      </c>
      <c r="K248" s="50">
        <f>ABS(Table13[[#This Row],[Stock Difference]])</f>
        <v>69</v>
      </c>
      <c r="L248" s="17">
        <f t="shared" si="9"/>
        <v>138000</v>
      </c>
      <c r="M248" s="17">
        <f t="shared" si="10"/>
        <v>368000</v>
      </c>
      <c r="N248" s="17" t="str" cm="1">
        <f t="array" ref="N248">_xlfn.IFS(K248=0,"Matched", K248&gt;100,"High", K248&gt;=50,"Medium", K248&lt;50,"Low")</f>
        <v>Medium</v>
      </c>
      <c r="O248" s="17" t="str">
        <f t="shared" si="11"/>
        <v>No</v>
      </c>
    </row>
    <row r="249" spans="2:15" x14ac:dyDescent="0.3">
      <c r="B249" s="7">
        <v>247</v>
      </c>
      <c r="C249" s="3" t="s">
        <v>253</v>
      </c>
      <c r="D249" s="2" t="s">
        <v>1071</v>
      </c>
      <c r="E249" s="3" t="s">
        <v>1009</v>
      </c>
      <c r="F249" s="3">
        <v>166</v>
      </c>
      <c r="G249" s="3">
        <v>70</v>
      </c>
      <c r="H249" s="8">
        <v>200</v>
      </c>
      <c r="I249" s="48">
        <f>Table13[[#This Row],[Physical_Stock_Qty]]-Table13[[#This Row],[System_Stock_Qty]]</f>
        <v>-96</v>
      </c>
      <c r="J249" s="53" t="str" cm="1">
        <f t="array" ref="J249">_xlfn.IFS(I249=0,"Matched",I249&gt;0,"Excess",I249&lt;0,"Shortage")</f>
        <v>Shortage</v>
      </c>
      <c r="K249" s="50">
        <f>ABS(Table13[[#This Row],[Stock Difference]])</f>
        <v>96</v>
      </c>
      <c r="L249" s="17">
        <f t="shared" si="9"/>
        <v>19200</v>
      </c>
      <c r="M249" s="17">
        <f t="shared" si="10"/>
        <v>33200</v>
      </c>
      <c r="N249" s="17" t="str" cm="1">
        <f t="array" ref="N249">_xlfn.IFS(K249=0,"Matched", K249&gt;100,"High", K249&gt;=50,"Medium", K249&lt;50,"Low")</f>
        <v>Medium</v>
      </c>
      <c r="O249" s="17" t="str">
        <f t="shared" si="11"/>
        <v>No</v>
      </c>
    </row>
    <row r="250" spans="2:15" x14ac:dyDescent="0.3">
      <c r="B250" s="7">
        <v>248</v>
      </c>
      <c r="C250" s="3" t="s">
        <v>254</v>
      </c>
      <c r="D250" s="2" t="s">
        <v>1036</v>
      </c>
      <c r="E250" s="3" t="s">
        <v>1007</v>
      </c>
      <c r="F250" s="3">
        <v>176</v>
      </c>
      <c r="G250" s="3">
        <v>65</v>
      </c>
      <c r="H250" s="8">
        <v>8000</v>
      </c>
      <c r="I250" s="48">
        <f>Table13[[#This Row],[Physical_Stock_Qty]]-Table13[[#This Row],[System_Stock_Qty]]</f>
        <v>-111</v>
      </c>
      <c r="J250" s="53" t="str" cm="1">
        <f t="array" ref="J250">_xlfn.IFS(I250=0,"Matched",I250&gt;0,"Excess",I250&lt;0,"Shortage")</f>
        <v>Shortage</v>
      </c>
      <c r="K250" s="50">
        <f>ABS(Table13[[#This Row],[Stock Difference]])</f>
        <v>111</v>
      </c>
      <c r="L250" s="17">
        <f t="shared" si="9"/>
        <v>888000</v>
      </c>
      <c r="M250" s="17">
        <f t="shared" si="10"/>
        <v>1408000</v>
      </c>
      <c r="N250" s="17" t="str" cm="1">
        <f t="array" ref="N250">_xlfn.IFS(K250=0,"Matched", K250&gt;100,"High", K250&gt;=50,"Medium", K250&lt;50,"Low")</f>
        <v>High</v>
      </c>
      <c r="O250" s="17" t="str">
        <f t="shared" si="11"/>
        <v>Yes</v>
      </c>
    </row>
    <row r="251" spans="2:15" x14ac:dyDescent="0.3">
      <c r="B251" s="7">
        <v>249</v>
      </c>
      <c r="C251" s="3" t="s">
        <v>255</v>
      </c>
      <c r="D251" s="2" t="s">
        <v>1077</v>
      </c>
      <c r="E251" s="3" t="s">
        <v>1011</v>
      </c>
      <c r="F251" s="3">
        <v>150</v>
      </c>
      <c r="G251" s="3">
        <v>186</v>
      </c>
      <c r="H251" s="8">
        <v>5000</v>
      </c>
      <c r="I251" s="48">
        <f>Table13[[#This Row],[Physical_Stock_Qty]]-Table13[[#This Row],[System_Stock_Qty]]</f>
        <v>36</v>
      </c>
      <c r="J251" s="53" t="str" cm="1">
        <f t="array" ref="J251">_xlfn.IFS(I251=0,"Matched",I251&gt;0,"Excess",I251&lt;0,"Shortage")</f>
        <v>Excess</v>
      </c>
      <c r="K251" s="50">
        <f>ABS(Table13[[#This Row],[Stock Difference]])</f>
        <v>36</v>
      </c>
      <c r="L251" s="17">
        <f t="shared" si="9"/>
        <v>180000</v>
      </c>
      <c r="M251" s="17">
        <f t="shared" si="10"/>
        <v>750000</v>
      </c>
      <c r="N251" s="17" t="str" cm="1">
        <f t="array" ref="N251">_xlfn.IFS(K251=0,"Matched", K251&gt;100,"High", K251&gt;=50,"Medium", K251&lt;50,"Low")</f>
        <v>Low</v>
      </c>
      <c r="O251" s="17" t="str">
        <f t="shared" si="11"/>
        <v>No</v>
      </c>
    </row>
    <row r="252" spans="2:15" x14ac:dyDescent="0.3">
      <c r="B252" s="7">
        <v>250</v>
      </c>
      <c r="C252" s="3" t="s">
        <v>256</v>
      </c>
      <c r="D252" s="2" t="s">
        <v>1043</v>
      </c>
      <c r="E252" s="3" t="s">
        <v>1010</v>
      </c>
      <c r="F252" s="3">
        <v>65</v>
      </c>
      <c r="G252" s="3">
        <v>79</v>
      </c>
      <c r="H252" s="8">
        <v>50</v>
      </c>
      <c r="I252" s="48">
        <f>Table13[[#This Row],[Physical_Stock_Qty]]-Table13[[#This Row],[System_Stock_Qty]]</f>
        <v>14</v>
      </c>
      <c r="J252" s="53" t="str" cm="1">
        <f t="array" ref="J252">_xlfn.IFS(I252=0,"Matched",I252&gt;0,"Excess",I252&lt;0,"Shortage")</f>
        <v>Excess</v>
      </c>
      <c r="K252" s="50">
        <f>ABS(Table13[[#This Row],[Stock Difference]])</f>
        <v>14</v>
      </c>
      <c r="L252" s="17">
        <f t="shared" si="9"/>
        <v>700</v>
      </c>
      <c r="M252" s="17">
        <f t="shared" si="10"/>
        <v>3250</v>
      </c>
      <c r="N252" s="17" t="str" cm="1">
        <f t="array" ref="N252">_xlfn.IFS(K252=0,"Matched", K252&gt;100,"High", K252&gt;=50,"Medium", K252&lt;50,"Low")</f>
        <v>Low</v>
      </c>
      <c r="O252" s="17" t="str">
        <f t="shared" si="11"/>
        <v>No</v>
      </c>
    </row>
    <row r="253" spans="2:15" x14ac:dyDescent="0.3">
      <c r="B253" s="7">
        <v>251</v>
      </c>
      <c r="C253" s="3" t="s">
        <v>257</v>
      </c>
      <c r="D253" s="2" t="s">
        <v>1024</v>
      </c>
      <c r="E253" s="3" t="s">
        <v>1008</v>
      </c>
      <c r="F253" s="3">
        <v>139</v>
      </c>
      <c r="G253" s="3">
        <v>41</v>
      </c>
      <c r="H253" s="8">
        <v>150000</v>
      </c>
      <c r="I253" s="48">
        <f>Table13[[#This Row],[Physical_Stock_Qty]]-Table13[[#This Row],[System_Stock_Qty]]</f>
        <v>-98</v>
      </c>
      <c r="J253" s="53" t="str" cm="1">
        <f t="array" ref="J253">_xlfn.IFS(I253=0,"Matched",I253&gt;0,"Excess",I253&lt;0,"Shortage")</f>
        <v>Shortage</v>
      </c>
      <c r="K253" s="50">
        <f>ABS(Table13[[#This Row],[Stock Difference]])</f>
        <v>98</v>
      </c>
      <c r="L253" s="17">
        <f t="shared" si="9"/>
        <v>14700000</v>
      </c>
      <c r="M253" s="17">
        <f t="shared" si="10"/>
        <v>20850000</v>
      </c>
      <c r="N253" s="17" t="str" cm="1">
        <f t="array" ref="N253">_xlfn.IFS(K253=0,"Matched", K253&gt;100,"High", K253&gt;=50,"Medium", K253&lt;50,"Low")</f>
        <v>Medium</v>
      </c>
      <c r="O253" s="17" t="str">
        <f t="shared" si="11"/>
        <v>Yes</v>
      </c>
    </row>
    <row r="254" spans="2:15" x14ac:dyDescent="0.3">
      <c r="B254" s="7">
        <v>252</v>
      </c>
      <c r="C254" s="3" t="s">
        <v>258</v>
      </c>
      <c r="D254" s="2" t="s">
        <v>1057</v>
      </c>
      <c r="E254" s="3" t="s">
        <v>1012</v>
      </c>
      <c r="F254" s="3">
        <v>200</v>
      </c>
      <c r="G254" s="3">
        <v>55</v>
      </c>
      <c r="H254" s="8">
        <v>500</v>
      </c>
      <c r="I254" s="48">
        <f>Table13[[#This Row],[Physical_Stock_Qty]]-Table13[[#This Row],[System_Stock_Qty]]</f>
        <v>-145</v>
      </c>
      <c r="J254" s="53" t="str" cm="1">
        <f t="array" ref="J254">_xlfn.IFS(I254=0,"Matched",I254&gt;0,"Excess",I254&lt;0,"Shortage")</f>
        <v>Shortage</v>
      </c>
      <c r="K254" s="50">
        <f>ABS(Table13[[#This Row],[Stock Difference]])</f>
        <v>145</v>
      </c>
      <c r="L254" s="17">
        <f t="shared" si="9"/>
        <v>72500</v>
      </c>
      <c r="M254" s="17">
        <f t="shared" si="10"/>
        <v>100000</v>
      </c>
      <c r="N254" s="17" t="str" cm="1">
        <f t="array" ref="N254">_xlfn.IFS(K254=0,"Matched", K254&gt;100,"High", K254&gt;=50,"Medium", K254&lt;50,"Low")</f>
        <v>High</v>
      </c>
      <c r="O254" s="17" t="str">
        <f t="shared" si="11"/>
        <v>No</v>
      </c>
    </row>
    <row r="255" spans="2:15" hidden="1" x14ac:dyDescent="0.3">
      <c r="B255" s="7">
        <v>253</v>
      </c>
      <c r="C255" s="3" t="s">
        <v>259</v>
      </c>
      <c r="D255" s="2" t="s">
        <v>1066</v>
      </c>
      <c r="E255" s="3" t="s">
        <v>1009</v>
      </c>
      <c r="F255" s="3">
        <v>100</v>
      </c>
      <c r="G255" s="3">
        <v>100</v>
      </c>
      <c r="H255" s="8">
        <v>800</v>
      </c>
      <c r="I255" s="48">
        <f>Table13[[#This Row],[Physical_Stock_Qty]]-Table13[[#This Row],[System_Stock_Qty]]</f>
        <v>0</v>
      </c>
      <c r="J255" s="53" t="str" cm="1">
        <f t="array" ref="J255">_xlfn.IFS(I255=0,"Matched",I255&gt;0,"Excess",I255&lt;0,"Shortage")</f>
        <v>Matched</v>
      </c>
      <c r="K255" s="50">
        <f>ABS(Table13[[#This Row],[Stock Difference]])</f>
        <v>0</v>
      </c>
      <c r="L255" s="17">
        <f t="shared" si="9"/>
        <v>0</v>
      </c>
      <c r="M255" s="17">
        <f t="shared" si="10"/>
        <v>80000</v>
      </c>
      <c r="N255" s="17" t="str" cm="1">
        <f t="array" ref="N255">_xlfn.IFS(K255=0,"Matched", K255&gt;100,"High", K255&gt;=50,"Medium", K255&lt;50,"Low")</f>
        <v>Matched</v>
      </c>
      <c r="O255" s="17" t="str">
        <f t="shared" si="11"/>
        <v>No Match</v>
      </c>
    </row>
    <row r="256" spans="2:15" hidden="1" x14ac:dyDescent="0.3">
      <c r="B256" s="7">
        <v>254</v>
      </c>
      <c r="C256" s="3" t="s">
        <v>260</v>
      </c>
      <c r="D256" s="2" t="s">
        <v>1056</v>
      </c>
      <c r="E256" s="3" t="s">
        <v>1012</v>
      </c>
      <c r="F256" s="3">
        <v>164</v>
      </c>
      <c r="G256" s="3">
        <v>164</v>
      </c>
      <c r="H256" s="8">
        <v>100</v>
      </c>
      <c r="I256" s="48">
        <f>Table13[[#This Row],[Physical_Stock_Qty]]-Table13[[#This Row],[System_Stock_Qty]]</f>
        <v>0</v>
      </c>
      <c r="J256" s="53" t="str" cm="1">
        <f t="array" ref="J256">_xlfn.IFS(I256=0,"Matched",I256&gt;0,"Excess",I256&lt;0,"Shortage")</f>
        <v>Matched</v>
      </c>
      <c r="K256" s="50">
        <f>ABS(Table13[[#This Row],[Stock Difference]])</f>
        <v>0</v>
      </c>
      <c r="L256" s="17">
        <f t="shared" si="9"/>
        <v>0</v>
      </c>
      <c r="M256" s="17">
        <f t="shared" si="10"/>
        <v>16400</v>
      </c>
      <c r="N256" s="17" t="str" cm="1">
        <f t="array" ref="N256">_xlfn.IFS(K256=0,"Matched", K256&gt;100,"High", K256&gt;=50,"Medium", K256&lt;50,"Low")</f>
        <v>Matched</v>
      </c>
      <c r="O256" s="17" t="str">
        <f t="shared" si="11"/>
        <v>No Match</v>
      </c>
    </row>
    <row r="257" spans="2:15" hidden="1" x14ac:dyDescent="0.3">
      <c r="B257" s="7">
        <v>255</v>
      </c>
      <c r="C257" s="3" t="s">
        <v>261</v>
      </c>
      <c r="D257" s="2" t="s">
        <v>1017</v>
      </c>
      <c r="E257" s="3" t="s">
        <v>1012</v>
      </c>
      <c r="F257" s="3">
        <v>195</v>
      </c>
      <c r="G257" s="3">
        <v>195</v>
      </c>
      <c r="H257" s="8">
        <v>200</v>
      </c>
      <c r="I257" s="48">
        <f>Table13[[#This Row],[Physical_Stock_Qty]]-Table13[[#This Row],[System_Stock_Qty]]</f>
        <v>0</v>
      </c>
      <c r="J257" s="53" t="str" cm="1">
        <f t="array" ref="J257">_xlfn.IFS(I257=0,"Matched",I257&gt;0,"Excess",I257&lt;0,"Shortage")</f>
        <v>Matched</v>
      </c>
      <c r="K257" s="50">
        <f>ABS(Table13[[#This Row],[Stock Difference]])</f>
        <v>0</v>
      </c>
      <c r="L257" s="17">
        <f t="shared" si="9"/>
        <v>0</v>
      </c>
      <c r="M257" s="17">
        <f t="shared" si="10"/>
        <v>39000</v>
      </c>
      <c r="N257" s="17" t="str" cm="1">
        <f t="array" ref="N257">_xlfn.IFS(K257=0,"Matched", K257&gt;100,"High", K257&gt;=50,"Medium", K257&lt;50,"Low")</f>
        <v>Matched</v>
      </c>
      <c r="O257" s="17" t="str">
        <f t="shared" si="11"/>
        <v>No Match</v>
      </c>
    </row>
    <row r="258" spans="2:15" hidden="1" x14ac:dyDescent="0.3">
      <c r="B258" s="7">
        <v>256</v>
      </c>
      <c r="C258" s="3" t="s">
        <v>262</v>
      </c>
      <c r="D258" s="2" t="s">
        <v>1033</v>
      </c>
      <c r="E258" s="3" t="s">
        <v>1008</v>
      </c>
      <c r="F258" s="3">
        <v>148</v>
      </c>
      <c r="G258" s="3">
        <v>148</v>
      </c>
      <c r="H258" s="8">
        <v>4000</v>
      </c>
      <c r="I258" s="48">
        <f>Table13[[#This Row],[Physical_Stock_Qty]]-Table13[[#This Row],[System_Stock_Qty]]</f>
        <v>0</v>
      </c>
      <c r="J258" s="53" t="str" cm="1">
        <f t="array" ref="J258">_xlfn.IFS(I258=0,"Matched",I258&gt;0,"Excess",I258&lt;0,"Shortage")</f>
        <v>Matched</v>
      </c>
      <c r="K258" s="50">
        <f>ABS(Table13[[#This Row],[Stock Difference]])</f>
        <v>0</v>
      </c>
      <c r="L258" s="17">
        <f t="shared" si="9"/>
        <v>0</v>
      </c>
      <c r="M258" s="17">
        <f t="shared" si="10"/>
        <v>592000</v>
      </c>
      <c r="N258" s="17" t="str" cm="1">
        <f t="array" ref="N258">_xlfn.IFS(K258=0,"Matched", K258&gt;100,"High", K258&gt;=50,"Medium", K258&lt;50,"Low")</f>
        <v>Matched</v>
      </c>
      <c r="O258" s="17" t="str">
        <f t="shared" si="11"/>
        <v>No Match</v>
      </c>
    </row>
    <row r="259" spans="2:15" hidden="1" x14ac:dyDescent="0.3">
      <c r="B259" s="7">
        <v>257</v>
      </c>
      <c r="C259" s="3" t="s">
        <v>263</v>
      </c>
      <c r="D259" s="2" t="s">
        <v>1031</v>
      </c>
      <c r="E259" s="3" t="s">
        <v>1008</v>
      </c>
      <c r="F259" s="3">
        <v>34</v>
      </c>
      <c r="G259" s="3">
        <v>34</v>
      </c>
      <c r="H259" s="8">
        <v>40000</v>
      </c>
      <c r="I259" s="48">
        <f>Table13[[#This Row],[Physical_Stock_Qty]]-Table13[[#This Row],[System_Stock_Qty]]</f>
        <v>0</v>
      </c>
      <c r="J259" s="53" t="str" cm="1">
        <f t="array" ref="J259">_xlfn.IFS(I259=0,"Matched",I259&gt;0,"Excess",I259&lt;0,"Shortage")</f>
        <v>Matched</v>
      </c>
      <c r="K259" s="50">
        <f>ABS(Table13[[#This Row],[Stock Difference]])</f>
        <v>0</v>
      </c>
      <c r="L259" s="17">
        <f t="shared" si="9"/>
        <v>0</v>
      </c>
      <c r="M259" s="17">
        <f t="shared" si="10"/>
        <v>1360000</v>
      </c>
      <c r="N259" s="17" t="str" cm="1">
        <f t="array" ref="N259">_xlfn.IFS(K259=0,"Matched", K259&gt;100,"High", K259&gt;=50,"Medium", K259&lt;50,"Low")</f>
        <v>Matched</v>
      </c>
      <c r="O259" s="17" t="str">
        <f t="shared" si="11"/>
        <v>No Match</v>
      </c>
    </row>
    <row r="260" spans="2:15" hidden="1" x14ac:dyDescent="0.3">
      <c r="B260" s="7">
        <v>258</v>
      </c>
      <c r="C260" s="3" t="s">
        <v>264</v>
      </c>
      <c r="D260" s="2" t="s">
        <v>1080</v>
      </c>
      <c r="E260" s="3" t="s">
        <v>1011</v>
      </c>
      <c r="F260" s="3">
        <v>163</v>
      </c>
      <c r="G260" s="3">
        <v>163</v>
      </c>
      <c r="H260" s="8">
        <v>2500</v>
      </c>
      <c r="I260" s="48">
        <f>Table13[[#This Row],[Physical_Stock_Qty]]-Table13[[#This Row],[System_Stock_Qty]]</f>
        <v>0</v>
      </c>
      <c r="J260" s="53" t="str" cm="1">
        <f t="array" ref="J260">_xlfn.IFS(I260=0,"Matched",I260&gt;0,"Excess",I260&lt;0,"Shortage")</f>
        <v>Matched</v>
      </c>
      <c r="K260" s="50">
        <f>ABS(Table13[[#This Row],[Stock Difference]])</f>
        <v>0</v>
      </c>
      <c r="L260" s="17">
        <f t="shared" ref="L260:L323" si="12">(K260*H260)</f>
        <v>0</v>
      </c>
      <c r="M260" s="17">
        <f t="shared" ref="M260:M323" si="13">F260*H260</f>
        <v>407500</v>
      </c>
      <c r="N260" s="17" t="str" cm="1">
        <f t="array" ref="N260">_xlfn.IFS(K260=0,"Matched", K260&gt;100,"High", K260&gt;=50,"Medium", K260&lt;50,"Low")</f>
        <v>Matched</v>
      </c>
      <c r="O260" s="17" t="str">
        <f t="shared" ref="O260:O323" si="14">IF(L260&gt;500000,"Yes",IF(L260=0,"No Match","No"))</f>
        <v>No Match</v>
      </c>
    </row>
    <row r="261" spans="2:15" hidden="1" x14ac:dyDescent="0.3">
      <c r="B261" s="7">
        <v>259</v>
      </c>
      <c r="C261" s="3" t="s">
        <v>265</v>
      </c>
      <c r="D261" s="2" t="s">
        <v>1053</v>
      </c>
      <c r="E261" s="3" t="s">
        <v>1010</v>
      </c>
      <c r="F261" s="3">
        <v>94</v>
      </c>
      <c r="G261" s="3">
        <v>94</v>
      </c>
      <c r="H261" s="8">
        <v>10</v>
      </c>
      <c r="I261" s="48">
        <f>Table13[[#This Row],[Physical_Stock_Qty]]-Table13[[#This Row],[System_Stock_Qty]]</f>
        <v>0</v>
      </c>
      <c r="J261" s="53" t="str" cm="1">
        <f t="array" ref="J261">_xlfn.IFS(I261=0,"Matched",I261&gt;0,"Excess",I261&lt;0,"Shortage")</f>
        <v>Matched</v>
      </c>
      <c r="K261" s="50">
        <f>ABS(Table13[[#This Row],[Stock Difference]])</f>
        <v>0</v>
      </c>
      <c r="L261" s="17">
        <f t="shared" si="12"/>
        <v>0</v>
      </c>
      <c r="M261" s="17">
        <f t="shared" si="13"/>
        <v>940</v>
      </c>
      <c r="N261" s="17" t="str" cm="1">
        <f t="array" ref="N261">_xlfn.IFS(K261=0,"Matched", K261&gt;100,"High", K261&gt;=50,"Medium", K261&lt;50,"Low")</f>
        <v>Matched</v>
      </c>
      <c r="O261" s="17" t="str">
        <f t="shared" si="14"/>
        <v>No Match</v>
      </c>
    </row>
    <row r="262" spans="2:15" hidden="1" x14ac:dyDescent="0.3">
      <c r="B262" s="7">
        <v>260</v>
      </c>
      <c r="C262" s="3" t="s">
        <v>266</v>
      </c>
      <c r="D262" s="2" t="s">
        <v>1049</v>
      </c>
      <c r="E262" s="3" t="s">
        <v>1010</v>
      </c>
      <c r="F262" s="3">
        <v>141</v>
      </c>
      <c r="G262" s="3">
        <v>141</v>
      </c>
      <c r="H262" s="8">
        <v>20</v>
      </c>
      <c r="I262" s="48">
        <f>Table13[[#This Row],[Physical_Stock_Qty]]-Table13[[#This Row],[System_Stock_Qty]]</f>
        <v>0</v>
      </c>
      <c r="J262" s="53" t="str" cm="1">
        <f t="array" ref="J262">_xlfn.IFS(I262=0,"Matched",I262&gt;0,"Excess",I262&lt;0,"Shortage")</f>
        <v>Matched</v>
      </c>
      <c r="K262" s="50">
        <f>ABS(Table13[[#This Row],[Stock Difference]])</f>
        <v>0</v>
      </c>
      <c r="L262" s="17">
        <f t="shared" si="12"/>
        <v>0</v>
      </c>
      <c r="M262" s="17">
        <f t="shared" si="13"/>
        <v>2820</v>
      </c>
      <c r="N262" s="17" t="str" cm="1">
        <f t="array" ref="N262">_xlfn.IFS(K262=0,"Matched", K262&gt;100,"High", K262&gt;=50,"Medium", K262&lt;50,"Low")</f>
        <v>Matched</v>
      </c>
      <c r="O262" s="17" t="str">
        <f t="shared" si="14"/>
        <v>No Match</v>
      </c>
    </row>
    <row r="263" spans="2:15" hidden="1" x14ac:dyDescent="0.3">
      <c r="B263" s="7">
        <v>261</v>
      </c>
      <c r="C263" s="3" t="s">
        <v>267</v>
      </c>
      <c r="D263" s="2" t="s">
        <v>1051</v>
      </c>
      <c r="E263" s="3" t="s">
        <v>1010</v>
      </c>
      <c r="F263" s="3">
        <v>52</v>
      </c>
      <c r="G263" s="3">
        <v>52</v>
      </c>
      <c r="H263" s="8">
        <v>50</v>
      </c>
      <c r="I263" s="48">
        <f>Table13[[#This Row],[Physical_Stock_Qty]]-Table13[[#This Row],[System_Stock_Qty]]</f>
        <v>0</v>
      </c>
      <c r="J263" s="53" t="str" cm="1">
        <f t="array" ref="J263">_xlfn.IFS(I263=0,"Matched",I263&gt;0,"Excess",I263&lt;0,"Shortage")</f>
        <v>Matched</v>
      </c>
      <c r="K263" s="50">
        <f>ABS(Table13[[#This Row],[Stock Difference]])</f>
        <v>0</v>
      </c>
      <c r="L263" s="17">
        <f t="shared" si="12"/>
        <v>0</v>
      </c>
      <c r="M263" s="17">
        <f t="shared" si="13"/>
        <v>2600</v>
      </c>
      <c r="N263" s="17" t="str" cm="1">
        <f t="array" ref="N263">_xlfn.IFS(K263=0,"Matched", K263&gt;100,"High", K263&gt;=50,"Medium", K263&lt;50,"Low")</f>
        <v>Matched</v>
      </c>
      <c r="O263" s="17" t="str">
        <f t="shared" si="14"/>
        <v>No Match</v>
      </c>
    </row>
    <row r="264" spans="2:15" hidden="1" x14ac:dyDescent="0.3">
      <c r="B264" s="7">
        <v>262</v>
      </c>
      <c r="C264" s="3" t="s">
        <v>268</v>
      </c>
      <c r="D264" s="2" t="s">
        <v>1086</v>
      </c>
      <c r="E264" s="3" t="s">
        <v>1011</v>
      </c>
      <c r="F264" s="3">
        <v>197</v>
      </c>
      <c r="G264" s="3">
        <v>197</v>
      </c>
      <c r="H264" s="8">
        <v>4500</v>
      </c>
      <c r="I264" s="48">
        <f>Table13[[#This Row],[Physical_Stock_Qty]]-Table13[[#This Row],[System_Stock_Qty]]</f>
        <v>0</v>
      </c>
      <c r="J264" s="53" t="str" cm="1">
        <f t="array" ref="J264">_xlfn.IFS(I264=0,"Matched",I264&gt;0,"Excess",I264&lt;0,"Shortage")</f>
        <v>Matched</v>
      </c>
      <c r="K264" s="50">
        <f>ABS(Table13[[#This Row],[Stock Difference]])</f>
        <v>0</v>
      </c>
      <c r="L264" s="17">
        <f t="shared" si="12"/>
        <v>0</v>
      </c>
      <c r="M264" s="17">
        <f t="shared" si="13"/>
        <v>886500</v>
      </c>
      <c r="N264" s="17" t="str" cm="1">
        <f t="array" ref="N264">_xlfn.IFS(K264=0,"Matched", K264&gt;100,"High", K264&gt;=50,"Medium", K264&lt;50,"Low")</f>
        <v>Matched</v>
      </c>
      <c r="O264" s="17" t="str">
        <f t="shared" si="14"/>
        <v>No Match</v>
      </c>
    </row>
    <row r="265" spans="2:15" hidden="1" x14ac:dyDescent="0.3">
      <c r="B265" s="7">
        <v>263</v>
      </c>
      <c r="C265" s="3" t="s">
        <v>269</v>
      </c>
      <c r="D265" s="2" t="s">
        <v>1058</v>
      </c>
      <c r="E265" s="3" t="s">
        <v>1012</v>
      </c>
      <c r="F265" s="3">
        <v>62</v>
      </c>
      <c r="G265" s="3">
        <v>62</v>
      </c>
      <c r="H265" s="8">
        <v>500</v>
      </c>
      <c r="I265" s="48">
        <f>Table13[[#This Row],[Physical_Stock_Qty]]-Table13[[#This Row],[System_Stock_Qty]]</f>
        <v>0</v>
      </c>
      <c r="J265" s="53" t="str" cm="1">
        <f t="array" ref="J265">_xlfn.IFS(I265=0,"Matched",I265&gt;0,"Excess",I265&lt;0,"Shortage")</f>
        <v>Matched</v>
      </c>
      <c r="K265" s="50">
        <f>ABS(Table13[[#This Row],[Stock Difference]])</f>
        <v>0</v>
      </c>
      <c r="L265" s="17">
        <f t="shared" si="12"/>
        <v>0</v>
      </c>
      <c r="M265" s="17">
        <f t="shared" si="13"/>
        <v>31000</v>
      </c>
      <c r="N265" s="17" t="str" cm="1">
        <f t="array" ref="N265">_xlfn.IFS(K265=0,"Matched", K265&gt;100,"High", K265&gt;=50,"Medium", K265&lt;50,"Low")</f>
        <v>Matched</v>
      </c>
      <c r="O265" s="17" t="str">
        <f t="shared" si="14"/>
        <v>No Match</v>
      </c>
    </row>
    <row r="266" spans="2:15" hidden="1" x14ac:dyDescent="0.3">
      <c r="B266" s="7">
        <v>264</v>
      </c>
      <c r="C266" s="3" t="s">
        <v>270</v>
      </c>
      <c r="D266" s="2" t="s">
        <v>1049</v>
      </c>
      <c r="E266" s="3" t="s">
        <v>1010</v>
      </c>
      <c r="F266" s="3">
        <v>180</v>
      </c>
      <c r="G266" s="3">
        <v>180</v>
      </c>
      <c r="H266" s="8">
        <v>20</v>
      </c>
      <c r="I266" s="48">
        <f>Table13[[#This Row],[Physical_Stock_Qty]]-Table13[[#This Row],[System_Stock_Qty]]</f>
        <v>0</v>
      </c>
      <c r="J266" s="53" t="str" cm="1">
        <f t="array" ref="J266">_xlfn.IFS(I266=0,"Matched",I266&gt;0,"Excess",I266&lt;0,"Shortage")</f>
        <v>Matched</v>
      </c>
      <c r="K266" s="50">
        <f>ABS(Table13[[#This Row],[Stock Difference]])</f>
        <v>0</v>
      </c>
      <c r="L266" s="17">
        <f t="shared" si="12"/>
        <v>0</v>
      </c>
      <c r="M266" s="17">
        <f t="shared" si="13"/>
        <v>3600</v>
      </c>
      <c r="N266" s="17" t="str" cm="1">
        <f t="array" ref="N266">_xlfn.IFS(K266=0,"Matched", K266&gt;100,"High", K266&gt;=50,"Medium", K266&lt;50,"Low")</f>
        <v>Matched</v>
      </c>
      <c r="O266" s="17" t="str">
        <f t="shared" si="14"/>
        <v>No Match</v>
      </c>
    </row>
    <row r="267" spans="2:15" hidden="1" x14ac:dyDescent="0.3">
      <c r="B267" s="7">
        <v>265</v>
      </c>
      <c r="C267" s="3" t="s">
        <v>271</v>
      </c>
      <c r="D267" s="2" t="s">
        <v>1039</v>
      </c>
      <c r="E267" s="3" t="s">
        <v>1007</v>
      </c>
      <c r="F267" s="3">
        <v>72</v>
      </c>
      <c r="G267" s="3">
        <v>72</v>
      </c>
      <c r="H267" s="8">
        <v>12000</v>
      </c>
      <c r="I267" s="48">
        <f>Table13[[#This Row],[Physical_Stock_Qty]]-Table13[[#This Row],[System_Stock_Qty]]</f>
        <v>0</v>
      </c>
      <c r="J267" s="53" t="str" cm="1">
        <f t="array" ref="J267">_xlfn.IFS(I267=0,"Matched",I267&gt;0,"Excess",I267&lt;0,"Shortage")</f>
        <v>Matched</v>
      </c>
      <c r="K267" s="50">
        <f>ABS(Table13[[#This Row],[Stock Difference]])</f>
        <v>0</v>
      </c>
      <c r="L267" s="17">
        <f t="shared" si="12"/>
        <v>0</v>
      </c>
      <c r="M267" s="17">
        <f t="shared" si="13"/>
        <v>864000</v>
      </c>
      <c r="N267" s="17" t="str" cm="1">
        <f t="array" ref="N267">_xlfn.IFS(K267=0,"Matched", K267&gt;100,"High", K267&gt;=50,"Medium", K267&lt;50,"Low")</f>
        <v>Matched</v>
      </c>
      <c r="O267" s="17" t="str">
        <f t="shared" si="14"/>
        <v>No Match</v>
      </c>
    </row>
    <row r="268" spans="2:15" hidden="1" x14ac:dyDescent="0.3">
      <c r="B268" s="7">
        <v>266</v>
      </c>
      <c r="C268" s="3" t="s">
        <v>272</v>
      </c>
      <c r="D268" s="2" t="s">
        <v>1046</v>
      </c>
      <c r="E268" s="3" t="s">
        <v>1010</v>
      </c>
      <c r="F268" s="3">
        <v>155</v>
      </c>
      <c r="G268" s="3">
        <v>155</v>
      </c>
      <c r="H268" s="8">
        <v>100</v>
      </c>
      <c r="I268" s="48">
        <f>Table13[[#This Row],[Physical_Stock_Qty]]-Table13[[#This Row],[System_Stock_Qty]]</f>
        <v>0</v>
      </c>
      <c r="J268" s="53" t="str" cm="1">
        <f t="array" ref="J268">_xlfn.IFS(I268=0,"Matched",I268&gt;0,"Excess",I268&lt;0,"Shortage")</f>
        <v>Matched</v>
      </c>
      <c r="K268" s="50">
        <f>ABS(Table13[[#This Row],[Stock Difference]])</f>
        <v>0</v>
      </c>
      <c r="L268" s="17">
        <f t="shared" si="12"/>
        <v>0</v>
      </c>
      <c r="M268" s="17">
        <f t="shared" si="13"/>
        <v>15500</v>
      </c>
      <c r="N268" s="17" t="str" cm="1">
        <f t="array" ref="N268">_xlfn.IFS(K268=0,"Matched", K268&gt;100,"High", K268&gt;=50,"Medium", K268&lt;50,"Low")</f>
        <v>Matched</v>
      </c>
      <c r="O268" s="17" t="str">
        <f t="shared" si="14"/>
        <v>No Match</v>
      </c>
    </row>
    <row r="269" spans="2:15" hidden="1" x14ac:dyDescent="0.3">
      <c r="B269" s="7">
        <v>267</v>
      </c>
      <c r="C269" s="3" t="s">
        <v>273</v>
      </c>
      <c r="D269" s="2" t="s">
        <v>1079</v>
      </c>
      <c r="E269" s="3" t="s">
        <v>1011</v>
      </c>
      <c r="F269" s="3">
        <v>102</v>
      </c>
      <c r="G269" s="3">
        <v>102</v>
      </c>
      <c r="H269" s="8">
        <v>5000</v>
      </c>
      <c r="I269" s="48">
        <f>Table13[[#This Row],[Physical_Stock_Qty]]-Table13[[#This Row],[System_Stock_Qty]]</f>
        <v>0</v>
      </c>
      <c r="J269" s="53" t="str" cm="1">
        <f t="array" ref="J269">_xlfn.IFS(I269=0,"Matched",I269&gt;0,"Excess",I269&lt;0,"Shortage")</f>
        <v>Matched</v>
      </c>
      <c r="K269" s="50">
        <f>ABS(Table13[[#This Row],[Stock Difference]])</f>
        <v>0</v>
      </c>
      <c r="L269" s="17">
        <f t="shared" si="12"/>
        <v>0</v>
      </c>
      <c r="M269" s="17">
        <f t="shared" si="13"/>
        <v>510000</v>
      </c>
      <c r="N269" s="17" t="str" cm="1">
        <f t="array" ref="N269">_xlfn.IFS(K269=0,"Matched", K269&gt;100,"High", K269&gt;=50,"Medium", K269&lt;50,"Low")</f>
        <v>Matched</v>
      </c>
      <c r="O269" s="17" t="str">
        <f t="shared" si="14"/>
        <v>No Match</v>
      </c>
    </row>
    <row r="270" spans="2:15" hidden="1" x14ac:dyDescent="0.3">
      <c r="B270" s="7">
        <v>268</v>
      </c>
      <c r="C270" s="3" t="s">
        <v>274</v>
      </c>
      <c r="D270" s="2" t="s">
        <v>1022</v>
      </c>
      <c r="E270" s="3" t="s">
        <v>1008</v>
      </c>
      <c r="F270" s="3">
        <v>59</v>
      </c>
      <c r="G270" s="3">
        <v>59</v>
      </c>
      <c r="H270" s="8">
        <v>0</v>
      </c>
      <c r="I270" s="48">
        <f>Table13[[#This Row],[Physical_Stock_Qty]]-Table13[[#This Row],[System_Stock_Qty]]</f>
        <v>0</v>
      </c>
      <c r="J270" s="53" t="str" cm="1">
        <f t="array" ref="J270">_xlfn.IFS(I270=0,"Matched",I270&gt;0,"Excess",I270&lt;0,"Shortage")</f>
        <v>Matched</v>
      </c>
      <c r="K270" s="50">
        <f>ABS(Table13[[#This Row],[Stock Difference]])</f>
        <v>0</v>
      </c>
      <c r="L270" s="17">
        <f t="shared" si="12"/>
        <v>0</v>
      </c>
      <c r="M270" s="17">
        <f t="shared" si="13"/>
        <v>0</v>
      </c>
      <c r="N270" s="17" t="str" cm="1">
        <f t="array" ref="N270">_xlfn.IFS(K270=0,"Matched", K270&gt;100,"High", K270&gt;=50,"Medium", K270&lt;50,"Low")</f>
        <v>Matched</v>
      </c>
      <c r="O270" s="17" t="str">
        <f t="shared" si="14"/>
        <v>No Match</v>
      </c>
    </row>
    <row r="271" spans="2:15" x14ac:dyDescent="0.3">
      <c r="B271" s="7">
        <v>269</v>
      </c>
      <c r="C271" s="3" t="s">
        <v>275</v>
      </c>
      <c r="D271" s="2" t="s">
        <v>1049</v>
      </c>
      <c r="E271" s="3" t="s">
        <v>1010</v>
      </c>
      <c r="F271" s="3">
        <v>119</v>
      </c>
      <c r="G271" s="3">
        <v>174</v>
      </c>
      <c r="H271" s="8">
        <v>20</v>
      </c>
      <c r="I271" s="48">
        <f>Table13[[#This Row],[Physical_Stock_Qty]]-Table13[[#This Row],[System_Stock_Qty]]</f>
        <v>55</v>
      </c>
      <c r="J271" s="53" t="str" cm="1">
        <f t="array" ref="J271">_xlfn.IFS(I271=0,"Matched",I271&gt;0,"Excess",I271&lt;0,"Shortage")</f>
        <v>Excess</v>
      </c>
      <c r="K271" s="50">
        <f>ABS(Table13[[#This Row],[Stock Difference]])</f>
        <v>55</v>
      </c>
      <c r="L271" s="17">
        <f t="shared" si="12"/>
        <v>1100</v>
      </c>
      <c r="M271" s="17">
        <f t="shared" si="13"/>
        <v>2380</v>
      </c>
      <c r="N271" s="17" t="str" cm="1">
        <f t="array" ref="N271">_xlfn.IFS(K271=0,"Matched", K271&gt;100,"High", K271&gt;=50,"Medium", K271&lt;50,"Low")</f>
        <v>Medium</v>
      </c>
      <c r="O271" s="17" t="str">
        <f t="shared" si="14"/>
        <v>No</v>
      </c>
    </row>
    <row r="272" spans="2:15" x14ac:dyDescent="0.3">
      <c r="B272" s="7">
        <v>270</v>
      </c>
      <c r="C272" s="3" t="s">
        <v>276</v>
      </c>
      <c r="D272" s="2" t="s">
        <v>1028</v>
      </c>
      <c r="E272" s="3" t="s">
        <v>1008</v>
      </c>
      <c r="F272" s="3">
        <v>144</v>
      </c>
      <c r="G272" s="3">
        <v>118</v>
      </c>
      <c r="H272" s="8">
        <v>15000</v>
      </c>
      <c r="I272" s="48">
        <f>Table13[[#This Row],[Physical_Stock_Qty]]-Table13[[#This Row],[System_Stock_Qty]]</f>
        <v>-26</v>
      </c>
      <c r="J272" s="53" t="str" cm="1">
        <f t="array" ref="J272">_xlfn.IFS(I272=0,"Matched",I272&gt;0,"Excess",I272&lt;0,"Shortage")</f>
        <v>Shortage</v>
      </c>
      <c r="K272" s="50">
        <f>ABS(Table13[[#This Row],[Stock Difference]])</f>
        <v>26</v>
      </c>
      <c r="L272" s="17">
        <f t="shared" si="12"/>
        <v>390000</v>
      </c>
      <c r="M272" s="17">
        <f t="shared" si="13"/>
        <v>2160000</v>
      </c>
      <c r="N272" s="17" t="str" cm="1">
        <f t="array" ref="N272">_xlfn.IFS(K272=0,"Matched", K272&gt;100,"High", K272&gt;=50,"Medium", K272&lt;50,"Low")</f>
        <v>Low</v>
      </c>
      <c r="O272" s="17" t="str">
        <f t="shared" si="14"/>
        <v>No</v>
      </c>
    </row>
    <row r="273" spans="2:15" x14ac:dyDescent="0.3">
      <c r="B273" s="7">
        <v>271</v>
      </c>
      <c r="C273" s="3" t="s">
        <v>277</v>
      </c>
      <c r="D273" s="2" t="s">
        <v>1043</v>
      </c>
      <c r="E273" s="3" t="s">
        <v>1010</v>
      </c>
      <c r="F273" s="3">
        <v>112</v>
      </c>
      <c r="G273" s="3">
        <v>75</v>
      </c>
      <c r="H273" s="8">
        <v>50</v>
      </c>
      <c r="I273" s="48">
        <f>Table13[[#This Row],[Physical_Stock_Qty]]-Table13[[#This Row],[System_Stock_Qty]]</f>
        <v>-37</v>
      </c>
      <c r="J273" s="53" t="str" cm="1">
        <f t="array" ref="J273">_xlfn.IFS(I273=0,"Matched",I273&gt;0,"Excess",I273&lt;0,"Shortage")</f>
        <v>Shortage</v>
      </c>
      <c r="K273" s="50">
        <f>ABS(Table13[[#This Row],[Stock Difference]])</f>
        <v>37</v>
      </c>
      <c r="L273" s="17">
        <f t="shared" si="12"/>
        <v>1850</v>
      </c>
      <c r="M273" s="17">
        <f t="shared" si="13"/>
        <v>5600</v>
      </c>
      <c r="N273" s="17" t="str" cm="1">
        <f t="array" ref="N273">_xlfn.IFS(K273=0,"Matched", K273&gt;100,"High", K273&gt;=50,"Medium", K273&lt;50,"Low")</f>
        <v>Low</v>
      </c>
      <c r="O273" s="17" t="str">
        <f t="shared" si="14"/>
        <v>No</v>
      </c>
    </row>
    <row r="274" spans="2:15" x14ac:dyDescent="0.3">
      <c r="B274" s="7">
        <v>272</v>
      </c>
      <c r="C274" s="3" t="s">
        <v>278</v>
      </c>
      <c r="D274" s="2" t="s">
        <v>1022</v>
      </c>
      <c r="E274" s="3" t="s">
        <v>1008</v>
      </c>
      <c r="F274" s="3">
        <v>121</v>
      </c>
      <c r="G274" s="3">
        <v>154</v>
      </c>
      <c r="H274" s="8">
        <v>0</v>
      </c>
      <c r="I274" s="48">
        <f>Table13[[#This Row],[Physical_Stock_Qty]]-Table13[[#This Row],[System_Stock_Qty]]</f>
        <v>33</v>
      </c>
      <c r="J274" s="53" t="str" cm="1">
        <f t="array" ref="J274">_xlfn.IFS(I274=0,"Matched",I274&gt;0,"Excess",I274&lt;0,"Shortage")</f>
        <v>Excess</v>
      </c>
      <c r="K274" s="50">
        <f>ABS(Table13[[#This Row],[Stock Difference]])</f>
        <v>33</v>
      </c>
      <c r="L274" s="17">
        <f t="shared" si="12"/>
        <v>0</v>
      </c>
      <c r="M274" s="17">
        <f t="shared" si="13"/>
        <v>0</v>
      </c>
      <c r="N274" s="17" t="str" cm="1">
        <f t="array" ref="N274">_xlfn.IFS(K274=0,"Matched", K274&gt;100,"High", K274&gt;=50,"Medium", K274&lt;50,"Low")</f>
        <v>Low</v>
      </c>
      <c r="O274" s="17" t="str">
        <f t="shared" si="14"/>
        <v>No Match</v>
      </c>
    </row>
    <row r="275" spans="2:15" x14ac:dyDescent="0.3">
      <c r="B275" s="7">
        <v>273</v>
      </c>
      <c r="C275" s="3" t="s">
        <v>279</v>
      </c>
      <c r="D275" s="2" t="s">
        <v>1027</v>
      </c>
      <c r="E275" s="3" t="s">
        <v>1008</v>
      </c>
      <c r="F275" s="3">
        <v>178</v>
      </c>
      <c r="G275" s="3">
        <v>44</v>
      </c>
      <c r="H275" s="8">
        <v>30000</v>
      </c>
      <c r="I275" s="48">
        <f>Table13[[#This Row],[Physical_Stock_Qty]]-Table13[[#This Row],[System_Stock_Qty]]</f>
        <v>-134</v>
      </c>
      <c r="J275" s="53" t="str" cm="1">
        <f t="array" ref="J275">_xlfn.IFS(I275=0,"Matched",I275&gt;0,"Excess",I275&lt;0,"Shortage")</f>
        <v>Shortage</v>
      </c>
      <c r="K275" s="50">
        <f>ABS(Table13[[#This Row],[Stock Difference]])</f>
        <v>134</v>
      </c>
      <c r="L275" s="17">
        <f t="shared" si="12"/>
        <v>4020000</v>
      </c>
      <c r="M275" s="17">
        <f t="shared" si="13"/>
        <v>5340000</v>
      </c>
      <c r="N275" s="17" t="str" cm="1">
        <f t="array" ref="N275">_xlfn.IFS(K275=0,"Matched", K275&gt;100,"High", K275&gt;=50,"Medium", K275&lt;50,"Low")</f>
        <v>High</v>
      </c>
      <c r="O275" s="17" t="str">
        <f t="shared" si="14"/>
        <v>Yes</v>
      </c>
    </row>
    <row r="276" spans="2:15" x14ac:dyDescent="0.3">
      <c r="B276" s="7">
        <v>274</v>
      </c>
      <c r="C276" s="3" t="s">
        <v>280</v>
      </c>
      <c r="D276" s="2" t="s">
        <v>1058</v>
      </c>
      <c r="E276" s="3" t="s">
        <v>1012</v>
      </c>
      <c r="F276" s="3">
        <v>143</v>
      </c>
      <c r="G276" s="3">
        <v>198</v>
      </c>
      <c r="H276" s="8">
        <v>500</v>
      </c>
      <c r="I276" s="48">
        <f>Table13[[#This Row],[Physical_Stock_Qty]]-Table13[[#This Row],[System_Stock_Qty]]</f>
        <v>55</v>
      </c>
      <c r="J276" s="53" t="str" cm="1">
        <f t="array" ref="J276">_xlfn.IFS(I276=0,"Matched",I276&gt;0,"Excess",I276&lt;0,"Shortage")</f>
        <v>Excess</v>
      </c>
      <c r="K276" s="50">
        <f>ABS(Table13[[#This Row],[Stock Difference]])</f>
        <v>55</v>
      </c>
      <c r="L276" s="17">
        <f t="shared" si="12"/>
        <v>27500</v>
      </c>
      <c r="M276" s="17">
        <f t="shared" si="13"/>
        <v>71500</v>
      </c>
      <c r="N276" s="17" t="str" cm="1">
        <f t="array" ref="N276">_xlfn.IFS(K276=0,"Matched", K276&gt;100,"High", K276&gt;=50,"Medium", K276&lt;50,"Low")</f>
        <v>Medium</v>
      </c>
      <c r="O276" s="17" t="str">
        <f t="shared" si="14"/>
        <v>No</v>
      </c>
    </row>
    <row r="277" spans="2:15" x14ac:dyDescent="0.3">
      <c r="B277" s="7">
        <v>275</v>
      </c>
      <c r="C277" s="3" t="s">
        <v>281</v>
      </c>
      <c r="D277" s="2" t="s">
        <v>1047</v>
      </c>
      <c r="E277" s="3" t="s">
        <v>1010</v>
      </c>
      <c r="F277" s="3">
        <v>184</v>
      </c>
      <c r="G277" s="3">
        <v>144</v>
      </c>
      <c r="H277" s="8">
        <v>500</v>
      </c>
      <c r="I277" s="48">
        <f>Table13[[#This Row],[Physical_Stock_Qty]]-Table13[[#This Row],[System_Stock_Qty]]</f>
        <v>-40</v>
      </c>
      <c r="J277" s="53" t="str" cm="1">
        <f t="array" ref="J277">_xlfn.IFS(I277=0,"Matched",I277&gt;0,"Excess",I277&lt;0,"Shortage")</f>
        <v>Shortage</v>
      </c>
      <c r="K277" s="50">
        <f>ABS(Table13[[#This Row],[Stock Difference]])</f>
        <v>40</v>
      </c>
      <c r="L277" s="17">
        <f t="shared" si="12"/>
        <v>20000</v>
      </c>
      <c r="M277" s="17">
        <f t="shared" si="13"/>
        <v>92000</v>
      </c>
      <c r="N277" s="17" t="str" cm="1">
        <f t="array" ref="N277">_xlfn.IFS(K277=0,"Matched", K277&gt;100,"High", K277&gt;=50,"Medium", K277&lt;50,"Low")</f>
        <v>Low</v>
      </c>
      <c r="O277" s="17" t="str">
        <f t="shared" si="14"/>
        <v>No</v>
      </c>
    </row>
    <row r="278" spans="2:15" x14ac:dyDescent="0.3">
      <c r="B278" s="7">
        <v>276</v>
      </c>
      <c r="C278" s="3" t="s">
        <v>282</v>
      </c>
      <c r="D278" s="2" t="s">
        <v>1083</v>
      </c>
      <c r="E278" s="3" t="s">
        <v>1011</v>
      </c>
      <c r="F278" s="3">
        <v>91</v>
      </c>
      <c r="G278" s="3">
        <v>34</v>
      </c>
      <c r="H278" s="8">
        <v>3000</v>
      </c>
      <c r="I278" s="48">
        <f>Table13[[#This Row],[Physical_Stock_Qty]]-Table13[[#This Row],[System_Stock_Qty]]</f>
        <v>-57</v>
      </c>
      <c r="J278" s="53" t="str" cm="1">
        <f t="array" ref="J278">_xlfn.IFS(I278=0,"Matched",I278&gt;0,"Excess",I278&lt;0,"Shortage")</f>
        <v>Shortage</v>
      </c>
      <c r="K278" s="50">
        <f>ABS(Table13[[#This Row],[Stock Difference]])</f>
        <v>57</v>
      </c>
      <c r="L278" s="17">
        <f t="shared" si="12"/>
        <v>171000</v>
      </c>
      <c r="M278" s="17">
        <f t="shared" si="13"/>
        <v>273000</v>
      </c>
      <c r="N278" s="17" t="str" cm="1">
        <f t="array" ref="N278">_xlfn.IFS(K278=0,"Matched", K278&gt;100,"High", K278&gt;=50,"Medium", K278&lt;50,"Low")</f>
        <v>Medium</v>
      </c>
      <c r="O278" s="17" t="str">
        <f t="shared" si="14"/>
        <v>No</v>
      </c>
    </row>
    <row r="279" spans="2:15" x14ac:dyDescent="0.3">
      <c r="B279" s="7">
        <v>277</v>
      </c>
      <c r="C279" s="3" t="s">
        <v>283</v>
      </c>
      <c r="D279" s="2" t="s">
        <v>1059</v>
      </c>
      <c r="E279" s="3" t="s">
        <v>1012</v>
      </c>
      <c r="F279" s="3">
        <v>154</v>
      </c>
      <c r="G279" s="3">
        <v>114</v>
      </c>
      <c r="H279" s="8">
        <v>200</v>
      </c>
      <c r="I279" s="48">
        <f>Table13[[#This Row],[Physical_Stock_Qty]]-Table13[[#This Row],[System_Stock_Qty]]</f>
        <v>-40</v>
      </c>
      <c r="J279" s="53" t="str" cm="1">
        <f t="array" ref="J279">_xlfn.IFS(I279=0,"Matched",I279&gt;0,"Excess",I279&lt;0,"Shortage")</f>
        <v>Shortage</v>
      </c>
      <c r="K279" s="50">
        <f>ABS(Table13[[#This Row],[Stock Difference]])</f>
        <v>40</v>
      </c>
      <c r="L279" s="17">
        <f t="shared" si="12"/>
        <v>8000</v>
      </c>
      <c r="M279" s="17">
        <f t="shared" si="13"/>
        <v>30800</v>
      </c>
      <c r="N279" s="17" t="str" cm="1">
        <f t="array" ref="N279">_xlfn.IFS(K279=0,"Matched", K279&gt;100,"High", K279&gt;=50,"Medium", K279&lt;50,"Low")</f>
        <v>Low</v>
      </c>
      <c r="O279" s="17" t="str">
        <f t="shared" si="14"/>
        <v>No</v>
      </c>
    </row>
    <row r="280" spans="2:15" x14ac:dyDescent="0.3">
      <c r="B280" s="7">
        <v>278</v>
      </c>
      <c r="C280" s="3" t="s">
        <v>284</v>
      </c>
      <c r="D280" s="2" t="s">
        <v>1045</v>
      </c>
      <c r="E280" s="3" t="s">
        <v>1010</v>
      </c>
      <c r="F280" s="3">
        <v>113</v>
      </c>
      <c r="G280" s="3">
        <v>162</v>
      </c>
      <c r="H280" s="8">
        <v>100</v>
      </c>
      <c r="I280" s="48">
        <f>Table13[[#This Row],[Physical_Stock_Qty]]-Table13[[#This Row],[System_Stock_Qty]]</f>
        <v>49</v>
      </c>
      <c r="J280" s="53" t="str" cm="1">
        <f t="array" ref="J280">_xlfn.IFS(I280=0,"Matched",I280&gt;0,"Excess",I280&lt;0,"Shortage")</f>
        <v>Excess</v>
      </c>
      <c r="K280" s="50">
        <f>ABS(Table13[[#This Row],[Stock Difference]])</f>
        <v>49</v>
      </c>
      <c r="L280" s="17">
        <f t="shared" si="12"/>
        <v>4900</v>
      </c>
      <c r="M280" s="17">
        <f t="shared" si="13"/>
        <v>11300</v>
      </c>
      <c r="N280" s="17" t="str" cm="1">
        <f t="array" ref="N280">_xlfn.IFS(K280=0,"Matched", K280&gt;100,"High", K280&gt;=50,"Medium", K280&lt;50,"Low")</f>
        <v>Low</v>
      </c>
      <c r="O280" s="17" t="str">
        <f t="shared" si="14"/>
        <v>No</v>
      </c>
    </row>
    <row r="281" spans="2:15" x14ac:dyDescent="0.3">
      <c r="B281" s="7">
        <v>279</v>
      </c>
      <c r="C281" s="3" t="s">
        <v>285</v>
      </c>
      <c r="D281" s="2" t="s">
        <v>1064</v>
      </c>
      <c r="E281" s="3" t="s">
        <v>1009</v>
      </c>
      <c r="F281" s="3">
        <v>58</v>
      </c>
      <c r="G281" s="3">
        <v>84</v>
      </c>
      <c r="H281" s="8">
        <v>15000</v>
      </c>
      <c r="I281" s="48">
        <f>Table13[[#This Row],[Physical_Stock_Qty]]-Table13[[#This Row],[System_Stock_Qty]]</f>
        <v>26</v>
      </c>
      <c r="J281" s="53" t="str" cm="1">
        <f t="array" ref="J281">_xlfn.IFS(I281=0,"Matched",I281&gt;0,"Excess",I281&lt;0,"Shortage")</f>
        <v>Excess</v>
      </c>
      <c r="K281" s="50">
        <f>ABS(Table13[[#This Row],[Stock Difference]])</f>
        <v>26</v>
      </c>
      <c r="L281" s="17">
        <f t="shared" si="12"/>
        <v>390000</v>
      </c>
      <c r="M281" s="17">
        <f t="shared" si="13"/>
        <v>870000</v>
      </c>
      <c r="N281" s="17" t="str" cm="1">
        <f t="array" ref="N281">_xlfn.IFS(K281=0,"Matched", K281&gt;100,"High", K281&gt;=50,"Medium", K281&lt;50,"Low")</f>
        <v>Low</v>
      </c>
      <c r="O281" s="17" t="str">
        <f t="shared" si="14"/>
        <v>No</v>
      </c>
    </row>
    <row r="282" spans="2:15" x14ac:dyDescent="0.3">
      <c r="B282" s="7">
        <v>280</v>
      </c>
      <c r="C282" s="3" t="s">
        <v>286</v>
      </c>
      <c r="D282" s="2" t="s">
        <v>1073</v>
      </c>
      <c r="E282" s="3" t="s">
        <v>1009</v>
      </c>
      <c r="F282" s="3">
        <v>195</v>
      </c>
      <c r="G282" s="3">
        <v>142</v>
      </c>
      <c r="H282" s="8">
        <v>100</v>
      </c>
      <c r="I282" s="48">
        <f>Table13[[#This Row],[Physical_Stock_Qty]]-Table13[[#This Row],[System_Stock_Qty]]</f>
        <v>-53</v>
      </c>
      <c r="J282" s="53" t="str" cm="1">
        <f t="array" ref="J282">_xlfn.IFS(I282=0,"Matched",I282&gt;0,"Excess",I282&lt;0,"Shortage")</f>
        <v>Shortage</v>
      </c>
      <c r="K282" s="50">
        <f>ABS(Table13[[#This Row],[Stock Difference]])</f>
        <v>53</v>
      </c>
      <c r="L282" s="17">
        <f t="shared" si="12"/>
        <v>5300</v>
      </c>
      <c r="M282" s="17">
        <f t="shared" si="13"/>
        <v>19500</v>
      </c>
      <c r="N282" s="17" t="str" cm="1">
        <f t="array" ref="N282">_xlfn.IFS(K282=0,"Matched", K282&gt;100,"High", K282&gt;=50,"Medium", K282&lt;50,"Low")</f>
        <v>Medium</v>
      </c>
      <c r="O282" s="17" t="str">
        <f t="shared" si="14"/>
        <v>No</v>
      </c>
    </row>
    <row r="283" spans="2:15" x14ac:dyDescent="0.3">
      <c r="B283" s="7">
        <v>281</v>
      </c>
      <c r="C283" s="3" t="s">
        <v>287</v>
      </c>
      <c r="D283" s="2" t="s">
        <v>1060</v>
      </c>
      <c r="E283" s="3" t="s">
        <v>1012</v>
      </c>
      <c r="F283" s="3">
        <v>102</v>
      </c>
      <c r="G283" s="3">
        <v>98</v>
      </c>
      <c r="H283" s="8">
        <v>1500</v>
      </c>
      <c r="I283" s="48">
        <f>Table13[[#This Row],[Physical_Stock_Qty]]-Table13[[#This Row],[System_Stock_Qty]]</f>
        <v>-4</v>
      </c>
      <c r="J283" s="53" t="str" cm="1">
        <f t="array" ref="J283">_xlfn.IFS(I283=0,"Matched",I283&gt;0,"Excess",I283&lt;0,"Shortage")</f>
        <v>Shortage</v>
      </c>
      <c r="K283" s="50">
        <f>ABS(Table13[[#This Row],[Stock Difference]])</f>
        <v>4</v>
      </c>
      <c r="L283" s="17">
        <f t="shared" si="12"/>
        <v>6000</v>
      </c>
      <c r="M283" s="17">
        <f t="shared" si="13"/>
        <v>153000</v>
      </c>
      <c r="N283" s="17" t="str" cm="1">
        <f t="array" ref="N283">_xlfn.IFS(K283=0,"Matched", K283&gt;100,"High", K283&gt;=50,"Medium", K283&lt;50,"Low")</f>
        <v>Low</v>
      </c>
      <c r="O283" s="17" t="str">
        <f t="shared" si="14"/>
        <v>No</v>
      </c>
    </row>
    <row r="284" spans="2:15" x14ac:dyDescent="0.3">
      <c r="B284" s="7">
        <v>282</v>
      </c>
      <c r="C284" s="3" t="s">
        <v>288</v>
      </c>
      <c r="D284" s="2" t="s">
        <v>1060</v>
      </c>
      <c r="E284" s="3" t="s">
        <v>1012</v>
      </c>
      <c r="F284" s="3">
        <v>167</v>
      </c>
      <c r="G284" s="3">
        <v>46</v>
      </c>
      <c r="H284" s="8">
        <v>1500</v>
      </c>
      <c r="I284" s="48">
        <f>Table13[[#This Row],[Physical_Stock_Qty]]-Table13[[#This Row],[System_Stock_Qty]]</f>
        <v>-121</v>
      </c>
      <c r="J284" s="53" t="str" cm="1">
        <f t="array" ref="J284">_xlfn.IFS(I284=0,"Matched",I284&gt;0,"Excess",I284&lt;0,"Shortage")</f>
        <v>Shortage</v>
      </c>
      <c r="K284" s="50">
        <f>ABS(Table13[[#This Row],[Stock Difference]])</f>
        <v>121</v>
      </c>
      <c r="L284" s="17">
        <f t="shared" si="12"/>
        <v>181500</v>
      </c>
      <c r="M284" s="17">
        <f t="shared" si="13"/>
        <v>250500</v>
      </c>
      <c r="N284" s="17" t="str" cm="1">
        <f t="array" ref="N284">_xlfn.IFS(K284=0,"Matched", K284&gt;100,"High", K284&gt;=50,"Medium", K284&lt;50,"Low")</f>
        <v>High</v>
      </c>
      <c r="O284" s="17" t="str">
        <f t="shared" si="14"/>
        <v>No</v>
      </c>
    </row>
    <row r="285" spans="2:15" x14ac:dyDescent="0.3">
      <c r="B285" s="7">
        <v>283</v>
      </c>
      <c r="C285" s="3" t="s">
        <v>289</v>
      </c>
      <c r="D285" s="2" t="s">
        <v>1034</v>
      </c>
      <c r="E285" s="3" t="s">
        <v>1008</v>
      </c>
      <c r="F285" s="3">
        <v>84</v>
      </c>
      <c r="G285" s="3">
        <v>131</v>
      </c>
      <c r="H285" s="8">
        <v>50000</v>
      </c>
      <c r="I285" s="48">
        <f>Table13[[#This Row],[Physical_Stock_Qty]]-Table13[[#This Row],[System_Stock_Qty]]</f>
        <v>47</v>
      </c>
      <c r="J285" s="53" t="str" cm="1">
        <f t="array" ref="J285">_xlfn.IFS(I285=0,"Matched",I285&gt;0,"Excess",I285&lt;0,"Shortage")</f>
        <v>Excess</v>
      </c>
      <c r="K285" s="50">
        <f>ABS(Table13[[#This Row],[Stock Difference]])</f>
        <v>47</v>
      </c>
      <c r="L285" s="17">
        <f t="shared" si="12"/>
        <v>2350000</v>
      </c>
      <c r="M285" s="17">
        <f t="shared" si="13"/>
        <v>4200000</v>
      </c>
      <c r="N285" s="17" t="str" cm="1">
        <f t="array" ref="N285">_xlfn.IFS(K285=0,"Matched", K285&gt;100,"High", K285&gt;=50,"Medium", K285&lt;50,"Low")</f>
        <v>Low</v>
      </c>
      <c r="O285" s="17" t="str">
        <f t="shared" si="14"/>
        <v>Yes</v>
      </c>
    </row>
    <row r="286" spans="2:15" x14ac:dyDescent="0.3">
      <c r="B286" s="7">
        <v>284</v>
      </c>
      <c r="C286" s="3" t="s">
        <v>290</v>
      </c>
      <c r="D286" s="2" t="s">
        <v>1044</v>
      </c>
      <c r="E286" s="3" t="s">
        <v>1010</v>
      </c>
      <c r="F286" s="3">
        <v>86</v>
      </c>
      <c r="G286" s="3">
        <v>187</v>
      </c>
      <c r="H286" s="8">
        <v>100</v>
      </c>
      <c r="I286" s="48">
        <f>Table13[[#This Row],[Physical_Stock_Qty]]-Table13[[#This Row],[System_Stock_Qty]]</f>
        <v>101</v>
      </c>
      <c r="J286" s="53" t="str" cm="1">
        <f t="array" ref="J286">_xlfn.IFS(I286=0,"Matched",I286&gt;0,"Excess",I286&lt;0,"Shortage")</f>
        <v>Excess</v>
      </c>
      <c r="K286" s="50">
        <f>ABS(Table13[[#This Row],[Stock Difference]])</f>
        <v>101</v>
      </c>
      <c r="L286" s="17">
        <f t="shared" si="12"/>
        <v>10100</v>
      </c>
      <c r="M286" s="17">
        <f t="shared" si="13"/>
        <v>8600</v>
      </c>
      <c r="N286" s="17" t="str" cm="1">
        <f t="array" ref="N286">_xlfn.IFS(K286=0,"Matched", K286&gt;100,"High", K286&gt;=50,"Medium", K286&lt;50,"Low")</f>
        <v>High</v>
      </c>
      <c r="O286" s="17" t="str">
        <f t="shared" si="14"/>
        <v>No</v>
      </c>
    </row>
    <row r="287" spans="2:15" x14ac:dyDescent="0.3">
      <c r="B287" s="7">
        <v>285</v>
      </c>
      <c r="C287" s="3" t="s">
        <v>291</v>
      </c>
      <c r="D287" s="2" t="s">
        <v>1044</v>
      </c>
      <c r="E287" s="3" t="s">
        <v>1010</v>
      </c>
      <c r="F287" s="3">
        <v>50</v>
      </c>
      <c r="G287" s="3">
        <v>148</v>
      </c>
      <c r="H287" s="8">
        <v>100</v>
      </c>
      <c r="I287" s="48">
        <f>Table13[[#This Row],[Physical_Stock_Qty]]-Table13[[#This Row],[System_Stock_Qty]]</f>
        <v>98</v>
      </c>
      <c r="J287" s="53" t="str" cm="1">
        <f t="array" ref="J287">_xlfn.IFS(I287=0,"Matched",I287&gt;0,"Excess",I287&lt;0,"Shortage")</f>
        <v>Excess</v>
      </c>
      <c r="K287" s="50">
        <f>ABS(Table13[[#This Row],[Stock Difference]])</f>
        <v>98</v>
      </c>
      <c r="L287" s="17">
        <f t="shared" si="12"/>
        <v>9800</v>
      </c>
      <c r="M287" s="17">
        <f t="shared" si="13"/>
        <v>5000</v>
      </c>
      <c r="N287" s="17" t="str" cm="1">
        <f t="array" ref="N287">_xlfn.IFS(K287=0,"Matched", K287&gt;100,"High", K287&gt;=50,"Medium", K287&lt;50,"Low")</f>
        <v>Medium</v>
      </c>
      <c r="O287" s="17" t="str">
        <f t="shared" si="14"/>
        <v>No</v>
      </c>
    </row>
    <row r="288" spans="2:15" x14ac:dyDescent="0.3">
      <c r="B288" s="7">
        <v>286</v>
      </c>
      <c r="C288" s="3" t="s">
        <v>292</v>
      </c>
      <c r="D288" s="2" t="s">
        <v>1041</v>
      </c>
      <c r="E288" s="3" t="s">
        <v>1007</v>
      </c>
      <c r="F288" s="3">
        <v>176</v>
      </c>
      <c r="G288" s="3">
        <v>183</v>
      </c>
      <c r="H288" s="8">
        <v>2000</v>
      </c>
      <c r="I288" s="48">
        <f>Table13[[#This Row],[Physical_Stock_Qty]]-Table13[[#This Row],[System_Stock_Qty]]</f>
        <v>7</v>
      </c>
      <c r="J288" s="53" t="str" cm="1">
        <f t="array" ref="J288">_xlfn.IFS(I288=0,"Matched",I288&gt;0,"Excess",I288&lt;0,"Shortage")</f>
        <v>Excess</v>
      </c>
      <c r="K288" s="50">
        <f>ABS(Table13[[#This Row],[Stock Difference]])</f>
        <v>7</v>
      </c>
      <c r="L288" s="17">
        <f t="shared" si="12"/>
        <v>14000</v>
      </c>
      <c r="M288" s="17">
        <f t="shared" si="13"/>
        <v>352000</v>
      </c>
      <c r="N288" s="17" t="str" cm="1">
        <f t="array" ref="N288">_xlfn.IFS(K288=0,"Matched", K288&gt;100,"High", K288&gt;=50,"Medium", K288&lt;50,"Low")</f>
        <v>Low</v>
      </c>
      <c r="O288" s="17" t="str">
        <f t="shared" si="14"/>
        <v>No</v>
      </c>
    </row>
    <row r="289" spans="2:15" x14ac:dyDescent="0.3">
      <c r="B289" s="7">
        <v>287</v>
      </c>
      <c r="C289" s="3" t="s">
        <v>293</v>
      </c>
      <c r="D289" s="2" t="s">
        <v>1086</v>
      </c>
      <c r="E289" s="3" t="s">
        <v>1011</v>
      </c>
      <c r="F289" s="3">
        <v>58</v>
      </c>
      <c r="G289" s="3">
        <v>127</v>
      </c>
      <c r="H289" s="8">
        <v>4500</v>
      </c>
      <c r="I289" s="48">
        <f>Table13[[#This Row],[Physical_Stock_Qty]]-Table13[[#This Row],[System_Stock_Qty]]</f>
        <v>69</v>
      </c>
      <c r="J289" s="53" t="str" cm="1">
        <f t="array" ref="J289">_xlfn.IFS(I289=0,"Matched",I289&gt;0,"Excess",I289&lt;0,"Shortage")</f>
        <v>Excess</v>
      </c>
      <c r="K289" s="50">
        <f>ABS(Table13[[#This Row],[Stock Difference]])</f>
        <v>69</v>
      </c>
      <c r="L289" s="17">
        <f t="shared" si="12"/>
        <v>310500</v>
      </c>
      <c r="M289" s="17">
        <f t="shared" si="13"/>
        <v>261000</v>
      </c>
      <c r="N289" s="17" t="str" cm="1">
        <f t="array" ref="N289">_xlfn.IFS(K289=0,"Matched", K289&gt;100,"High", K289&gt;=50,"Medium", K289&lt;50,"Low")</f>
        <v>Medium</v>
      </c>
      <c r="O289" s="17" t="str">
        <f t="shared" si="14"/>
        <v>No</v>
      </c>
    </row>
    <row r="290" spans="2:15" x14ac:dyDescent="0.3">
      <c r="B290" s="7">
        <v>288</v>
      </c>
      <c r="C290" s="3" t="s">
        <v>294</v>
      </c>
      <c r="D290" s="2" t="s">
        <v>1027</v>
      </c>
      <c r="E290" s="3" t="s">
        <v>1008</v>
      </c>
      <c r="F290" s="3">
        <v>125</v>
      </c>
      <c r="G290" s="3">
        <v>120</v>
      </c>
      <c r="H290" s="8">
        <v>30000</v>
      </c>
      <c r="I290" s="48">
        <f>Table13[[#This Row],[Physical_Stock_Qty]]-Table13[[#This Row],[System_Stock_Qty]]</f>
        <v>-5</v>
      </c>
      <c r="J290" s="53" t="str" cm="1">
        <f t="array" ref="J290">_xlfn.IFS(I290=0,"Matched",I290&gt;0,"Excess",I290&lt;0,"Shortage")</f>
        <v>Shortage</v>
      </c>
      <c r="K290" s="50">
        <f>ABS(Table13[[#This Row],[Stock Difference]])</f>
        <v>5</v>
      </c>
      <c r="L290" s="17">
        <f t="shared" si="12"/>
        <v>150000</v>
      </c>
      <c r="M290" s="17">
        <f t="shared" si="13"/>
        <v>3750000</v>
      </c>
      <c r="N290" s="17" t="str" cm="1">
        <f t="array" ref="N290">_xlfn.IFS(K290=0,"Matched", K290&gt;100,"High", K290&gt;=50,"Medium", K290&lt;50,"Low")</f>
        <v>Low</v>
      </c>
      <c r="O290" s="17" t="str">
        <f t="shared" si="14"/>
        <v>No</v>
      </c>
    </row>
    <row r="291" spans="2:15" x14ac:dyDescent="0.3">
      <c r="B291" s="7">
        <v>289</v>
      </c>
      <c r="C291" s="3" t="s">
        <v>295</v>
      </c>
      <c r="D291" s="2" t="s">
        <v>1036</v>
      </c>
      <c r="E291" s="3" t="s">
        <v>1007</v>
      </c>
      <c r="F291" s="3">
        <v>47</v>
      </c>
      <c r="G291" s="3">
        <v>78</v>
      </c>
      <c r="H291" s="8">
        <v>8000</v>
      </c>
      <c r="I291" s="48">
        <f>Table13[[#This Row],[Physical_Stock_Qty]]-Table13[[#This Row],[System_Stock_Qty]]</f>
        <v>31</v>
      </c>
      <c r="J291" s="53" t="str" cm="1">
        <f t="array" ref="J291">_xlfn.IFS(I291=0,"Matched",I291&gt;0,"Excess",I291&lt;0,"Shortage")</f>
        <v>Excess</v>
      </c>
      <c r="K291" s="50">
        <f>ABS(Table13[[#This Row],[Stock Difference]])</f>
        <v>31</v>
      </c>
      <c r="L291" s="17">
        <f t="shared" si="12"/>
        <v>248000</v>
      </c>
      <c r="M291" s="17">
        <f t="shared" si="13"/>
        <v>376000</v>
      </c>
      <c r="N291" s="17" t="str" cm="1">
        <f t="array" ref="N291">_xlfn.IFS(K291=0,"Matched", K291&gt;100,"High", K291&gt;=50,"Medium", K291&lt;50,"Low")</f>
        <v>Low</v>
      </c>
      <c r="O291" s="17" t="str">
        <f t="shared" si="14"/>
        <v>No</v>
      </c>
    </row>
    <row r="292" spans="2:15" hidden="1" x14ac:dyDescent="0.3">
      <c r="B292" s="7">
        <v>290</v>
      </c>
      <c r="C292" s="3" t="s">
        <v>296</v>
      </c>
      <c r="D292" s="2" t="s">
        <v>1052</v>
      </c>
      <c r="E292" s="3" t="s">
        <v>1010</v>
      </c>
      <c r="F292" s="3">
        <v>118</v>
      </c>
      <c r="G292" s="3">
        <v>118</v>
      </c>
      <c r="H292" s="8">
        <v>100</v>
      </c>
      <c r="I292" s="48">
        <f>Table13[[#This Row],[Physical_Stock_Qty]]-Table13[[#This Row],[System_Stock_Qty]]</f>
        <v>0</v>
      </c>
      <c r="J292" s="53" t="str" cm="1">
        <f t="array" ref="J292">_xlfn.IFS(I292=0,"Matched",I292&gt;0,"Excess",I292&lt;0,"Shortage")</f>
        <v>Matched</v>
      </c>
      <c r="K292" s="50">
        <f>ABS(Table13[[#This Row],[Stock Difference]])</f>
        <v>0</v>
      </c>
      <c r="L292" s="17">
        <f t="shared" si="12"/>
        <v>0</v>
      </c>
      <c r="M292" s="17">
        <f t="shared" si="13"/>
        <v>11800</v>
      </c>
      <c r="N292" s="17" t="str" cm="1">
        <f t="array" ref="N292">_xlfn.IFS(K292=0,"Matched", K292&gt;100,"High", K292&gt;=50,"Medium", K292&lt;50,"Low")</f>
        <v>Matched</v>
      </c>
      <c r="O292" s="17" t="str">
        <f t="shared" si="14"/>
        <v>No Match</v>
      </c>
    </row>
    <row r="293" spans="2:15" hidden="1" x14ac:dyDescent="0.3">
      <c r="B293" s="7">
        <v>291</v>
      </c>
      <c r="C293" s="3" t="s">
        <v>297</v>
      </c>
      <c r="D293" s="2" t="s">
        <v>1077</v>
      </c>
      <c r="E293" s="3" t="s">
        <v>1011</v>
      </c>
      <c r="F293" s="3">
        <v>150</v>
      </c>
      <c r="G293" s="3">
        <v>150</v>
      </c>
      <c r="H293" s="8">
        <v>5000</v>
      </c>
      <c r="I293" s="48">
        <f>Table13[[#This Row],[Physical_Stock_Qty]]-Table13[[#This Row],[System_Stock_Qty]]</f>
        <v>0</v>
      </c>
      <c r="J293" s="53" t="str" cm="1">
        <f t="array" ref="J293">_xlfn.IFS(I293=0,"Matched",I293&gt;0,"Excess",I293&lt;0,"Shortage")</f>
        <v>Matched</v>
      </c>
      <c r="K293" s="50">
        <f>ABS(Table13[[#This Row],[Stock Difference]])</f>
        <v>0</v>
      </c>
      <c r="L293" s="17">
        <f t="shared" si="12"/>
        <v>0</v>
      </c>
      <c r="M293" s="17">
        <f t="shared" si="13"/>
        <v>750000</v>
      </c>
      <c r="N293" s="17" t="str" cm="1">
        <f t="array" ref="N293">_xlfn.IFS(K293=0,"Matched", K293&gt;100,"High", K293&gt;=50,"Medium", K293&lt;50,"Low")</f>
        <v>Matched</v>
      </c>
      <c r="O293" s="17" t="str">
        <f t="shared" si="14"/>
        <v>No Match</v>
      </c>
    </row>
    <row r="294" spans="2:15" hidden="1" x14ac:dyDescent="0.3">
      <c r="B294" s="7">
        <v>292</v>
      </c>
      <c r="C294" s="3" t="s">
        <v>298</v>
      </c>
      <c r="D294" s="2" t="s">
        <v>1031</v>
      </c>
      <c r="E294" s="3" t="s">
        <v>1008</v>
      </c>
      <c r="F294" s="3">
        <v>77</v>
      </c>
      <c r="G294" s="3">
        <v>77</v>
      </c>
      <c r="H294" s="8">
        <v>40000</v>
      </c>
      <c r="I294" s="48">
        <f>Table13[[#This Row],[Physical_Stock_Qty]]-Table13[[#This Row],[System_Stock_Qty]]</f>
        <v>0</v>
      </c>
      <c r="J294" s="53" t="str" cm="1">
        <f t="array" ref="J294">_xlfn.IFS(I294=0,"Matched",I294&gt;0,"Excess",I294&lt;0,"Shortage")</f>
        <v>Matched</v>
      </c>
      <c r="K294" s="50">
        <f>ABS(Table13[[#This Row],[Stock Difference]])</f>
        <v>0</v>
      </c>
      <c r="L294" s="17">
        <f t="shared" si="12"/>
        <v>0</v>
      </c>
      <c r="M294" s="17">
        <f t="shared" si="13"/>
        <v>3080000</v>
      </c>
      <c r="N294" s="17" t="str" cm="1">
        <f t="array" ref="N294">_xlfn.IFS(K294=0,"Matched", K294&gt;100,"High", K294&gt;=50,"Medium", K294&lt;50,"Low")</f>
        <v>Matched</v>
      </c>
      <c r="O294" s="17" t="str">
        <f t="shared" si="14"/>
        <v>No Match</v>
      </c>
    </row>
    <row r="295" spans="2:15" hidden="1" x14ac:dyDescent="0.3">
      <c r="B295" s="7">
        <v>293</v>
      </c>
      <c r="C295" s="3" t="s">
        <v>299</v>
      </c>
      <c r="D295" s="2" t="s">
        <v>1041</v>
      </c>
      <c r="E295" s="3" t="s">
        <v>1007</v>
      </c>
      <c r="F295" s="3">
        <v>175</v>
      </c>
      <c r="G295" s="3">
        <v>175</v>
      </c>
      <c r="H295" s="8">
        <v>2000</v>
      </c>
      <c r="I295" s="48">
        <f>Table13[[#This Row],[Physical_Stock_Qty]]-Table13[[#This Row],[System_Stock_Qty]]</f>
        <v>0</v>
      </c>
      <c r="J295" s="53" t="str" cm="1">
        <f t="array" ref="J295">_xlfn.IFS(I295=0,"Matched",I295&gt;0,"Excess",I295&lt;0,"Shortage")</f>
        <v>Matched</v>
      </c>
      <c r="K295" s="50">
        <f>ABS(Table13[[#This Row],[Stock Difference]])</f>
        <v>0</v>
      </c>
      <c r="L295" s="17">
        <f t="shared" si="12"/>
        <v>0</v>
      </c>
      <c r="M295" s="17">
        <f t="shared" si="13"/>
        <v>350000</v>
      </c>
      <c r="N295" s="17" t="str" cm="1">
        <f t="array" ref="N295">_xlfn.IFS(K295=0,"Matched", K295&gt;100,"High", K295&gt;=50,"Medium", K295&lt;50,"Low")</f>
        <v>Matched</v>
      </c>
      <c r="O295" s="17" t="str">
        <f t="shared" si="14"/>
        <v>No Match</v>
      </c>
    </row>
    <row r="296" spans="2:15" hidden="1" x14ac:dyDescent="0.3">
      <c r="B296" s="7">
        <v>294</v>
      </c>
      <c r="C296" s="3" t="s">
        <v>300</v>
      </c>
      <c r="D296" s="2" t="s">
        <v>1079</v>
      </c>
      <c r="E296" s="3" t="s">
        <v>1011</v>
      </c>
      <c r="F296" s="3">
        <v>130</v>
      </c>
      <c r="G296" s="3">
        <v>130</v>
      </c>
      <c r="H296" s="8">
        <v>5000</v>
      </c>
      <c r="I296" s="48">
        <f>Table13[[#This Row],[Physical_Stock_Qty]]-Table13[[#This Row],[System_Stock_Qty]]</f>
        <v>0</v>
      </c>
      <c r="J296" s="53" t="str" cm="1">
        <f t="array" ref="J296">_xlfn.IFS(I296=0,"Matched",I296&gt;0,"Excess",I296&lt;0,"Shortage")</f>
        <v>Matched</v>
      </c>
      <c r="K296" s="50">
        <f>ABS(Table13[[#This Row],[Stock Difference]])</f>
        <v>0</v>
      </c>
      <c r="L296" s="17">
        <f t="shared" si="12"/>
        <v>0</v>
      </c>
      <c r="M296" s="17">
        <f t="shared" si="13"/>
        <v>650000</v>
      </c>
      <c r="N296" s="17" t="str" cm="1">
        <f t="array" ref="N296">_xlfn.IFS(K296=0,"Matched", K296&gt;100,"High", K296&gt;=50,"Medium", K296&lt;50,"Low")</f>
        <v>Matched</v>
      </c>
      <c r="O296" s="17" t="str">
        <f t="shared" si="14"/>
        <v>No Match</v>
      </c>
    </row>
    <row r="297" spans="2:15" x14ac:dyDescent="0.3">
      <c r="B297" s="7">
        <v>295</v>
      </c>
      <c r="C297" s="3" t="s">
        <v>301</v>
      </c>
      <c r="D297" s="2" t="s">
        <v>1040</v>
      </c>
      <c r="E297" s="3" t="s">
        <v>1007</v>
      </c>
      <c r="F297" s="3">
        <v>154</v>
      </c>
      <c r="G297" s="3">
        <v>72</v>
      </c>
      <c r="H297" s="8">
        <v>5000</v>
      </c>
      <c r="I297" s="48">
        <f>Table13[[#This Row],[Physical_Stock_Qty]]-Table13[[#This Row],[System_Stock_Qty]]</f>
        <v>-82</v>
      </c>
      <c r="J297" s="53" t="str" cm="1">
        <f t="array" ref="J297">_xlfn.IFS(I297=0,"Matched",I297&gt;0,"Excess",I297&lt;0,"Shortage")</f>
        <v>Shortage</v>
      </c>
      <c r="K297" s="50">
        <f>ABS(Table13[[#This Row],[Stock Difference]])</f>
        <v>82</v>
      </c>
      <c r="L297" s="17">
        <f t="shared" si="12"/>
        <v>410000</v>
      </c>
      <c r="M297" s="17">
        <f t="shared" si="13"/>
        <v>770000</v>
      </c>
      <c r="N297" s="17" t="str" cm="1">
        <f t="array" ref="N297">_xlfn.IFS(K297=0,"Matched", K297&gt;100,"High", K297&gt;=50,"Medium", K297&lt;50,"Low")</f>
        <v>Medium</v>
      </c>
      <c r="O297" s="17" t="str">
        <f t="shared" si="14"/>
        <v>No</v>
      </c>
    </row>
    <row r="298" spans="2:15" x14ac:dyDescent="0.3">
      <c r="B298" s="7">
        <v>296</v>
      </c>
      <c r="C298" s="3" t="s">
        <v>302</v>
      </c>
      <c r="D298" s="2" t="s">
        <v>1027</v>
      </c>
      <c r="E298" s="3" t="s">
        <v>1008</v>
      </c>
      <c r="F298" s="3">
        <v>74</v>
      </c>
      <c r="G298" s="3">
        <v>118</v>
      </c>
      <c r="H298" s="8">
        <v>30000</v>
      </c>
      <c r="I298" s="48">
        <f>Table13[[#This Row],[Physical_Stock_Qty]]-Table13[[#This Row],[System_Stock_Qty]]</f>
        <v>44</v>
      </c>
      <c r="J298" s="53" t="str" cm="1">
        <f t="array" ref="J298">_xlfn.IFS(I298=0,"Matched",I298&gt;0,"Excess",I298&lt;0,"Shortage")</f>
        <v>Excess</v>
      </c>
      <c r="K298" s="50">
        <f>ABS(Table13[[#This Row],[Stock Difference]])</f>
        <v>44</v>
      </c>
      <c r="L298" s="17">
        <f t="shared" si="12"/>
        <v>1320000</v>
      </c>
      <c r="M298" s="17">
        <f t="shared" si="13"/>
        <v>2220000</v>
      </c>
      <c r="N298" s="17" t="str" cm="1">
        <f t="array" ref="N298">_xlfn.IFS(K298=0,"Matched", K298&gt;100,"High", K298&gt;=50,"Medium", K298&lt;50,"Low")</f>
        <v>Low</v>
      </c>
      <c r="O298" s="17" t="str">
        <f t="shared" si="14"/>
        <v>Yes</v>
      </c>
    </row>
    <row r="299" spans="2:15" x14ac:dyDescent="0.3">
      <c r="B299" s="7">
        <v>297</v>
      </c>
      <c r="C299" s="3" t="s">
        <v>303</v>
      </c>
      <c r="D299" s="2" t="s">
        <v>1018</v>
      </c>
      <c r="E299" s="3" t="s">
        <v>1012</v>
      </c>
      <c r="F299" s="3">
        <v>113</v>
      </c>
      <c r="G299" s="3">
        <v>70</v>
      </c>
      <c r="H299" s="8">
        <v>3000</v>
      </c>
      <c r="I299" s="48">
        <f>Table13[[#This Row],[Physical_Stock_Qty]]-Table13[[#This Row],[System_Stock_Qty]]</f>
        <v>-43</v>
      </c>
      <c r="J299" s="53" t="str" cm="1">
        <f t="array" ref="J299">_xlfn.IFS(I299=0,"Matched",I299&gt;0,"Excess",I299&lt;0,"Shortage")</f>
        <v>Shortage</v>
      </c>
      <c r="K299" s="50">
        <f>ABS(Table13[[#This Row],[Stock Difference]])</f>
        <v>43</v>
      </c>
      <c r="L299" s="17">
        <f t="shared" si="12"/>
        <v>129000</v>
      </c>
      <c r="M299" s="17">
        <f t="shared" si="13"/>
        <v>339000</v>
      </c>
      <c r="N299" s="17" t="str" cm="1">
        <f t="array" ref="N299">_xlfn.IFS(K299=0,"Matched", K299&gt;100,"High", K299&gt;=50,"Medium", K299&lt;50,"Low")</f>
        <v>Low</v>
      </c>
      <c r="O299" s="17" t="str">
        <f t="shared" si="14"/>
        <v>No</v>
      </c>
    </row>
    <row r="300" spans="2:15" hidden="1" x14ac:dyDescent="0.3">
      <c r="B300" s="7">
        <v>298</v>
      </c>
      <c r="C300" s="3" t="s">
        <v>304</v>
      </c>
      <c r="D300" s="2" t="s">
        <v>1037</v>
      </c>
      <c r="E300" s="3" t="s">
        <v>1007</v>
      </c>
      <c r="F300" s="3">
        <v>42</v>
      </c>
      <c r="G300" s="3">
        <v>42</v>
      </c>
      <c r="H300" s="8">
        <v>10000</v>
      </c>
      <c r="I300" s="48">
        <f>Table13[[#This Row],[Physical_Stock_Qty]]-Table13[[#This Row],[System_Stock_Qty]]</f>
        <v>0</v>
      </c>
      <c r="J300" s="53" t="str" cm="1">
        <f t="array" ref="J300">_xlfn.IFS(I300=0,"Matched",I300&gt;0,"Excess",I300&lt;0,"Shortage")</f>
        <v>Matched</v>
      </c>
      <c r="K300" s="50">
        <f>ABS(Table13[[#This Row],[Stock Difference]])</f>
        <v>0</v>
      </c>
      <c r="L300" s="17">
        <f t="shared" si="12"/>
        <v>0</v>
      </c>
      <c r="M300" s="17">
        <f t="shared" si="13"/>
        <v>420000</v>
      </c>
      <c r="N300" s="17" t="str" cm="1">
        <f t="array" ref="N300">_xlfn.IFS(K300=0,"Matched", K300&gt;100,"High", K300&gt;=50,"Medium", K300&lt;50,"Low")</f>
        <v>Matched</v>
      </c>
      <c r="O300" s="17" t="str">
        <f t="shared" si="14"/>
        <v>No Match</v>
      </c>
    </row>
    <row r="301" spans="2:15" x14ac:dyDescent="0.3">
      <c r="B301" s="7">
        <v>299</v>
      </c>
      <c r="C301" s="3" t="s">
        <v>305</v>
      </c>
      <c r="D301" s="2" t="s">
        <v>1041</v>
      </c>
      <c r="E301" s="3" t="s">
        <v>1007</v>
      </c>
      <c r="F301" s="3">
        <v>65</v>
      </c>
      <c r="G301" s="3">
        <v>84</v>
      </c>
      <c r="H301" s="8">
        <v>2000</v>
      </c>
      <c r="I301" s="48">
        <f>Table13[[#This Row],[Physical_Stock_Qty]]-Table13[[#This Row],[System_Stock_Qty]]</f>
        <v>19</v>
      </c>
      <c r="J301" s="53" t="str" cm="1">
        <f t="array" ref="J301">_xlfn.IFS(I301=0,"Matched",I301&gt;0,"Excess",I301&lt;0,"Shortage")</f>
        <v>Excess</v>
      </c>
      <c r="K301" s="50">
        <f>ABS(Table13[[#This Row],[Stock Difference]])</f>
        <v>19</v>
      </c>
      <c r="L301" s="17">
        <f t="shared" si="12"/>
        <v>38000</v>
      </c>
      <c r="M301" s="17">
        <f t="shared" si="13"/>
        <v>130000</v>
      </c>
      <c r="N301" s="17" t="str" cm="1">
        <f t="array" ref="N301">_xlfn.IFS(K301=0,"Matched", K301&gt;100,"High", K301&gt;=50,"Medium", K301&lt;50,"Low")</f>
        <v>Low</v>
      </c>
      <c r="O301" s="17" t="str">
        <f t="shared" si="14"/>
        <v>No</v>
      </c>
    </row>
    <row r="302" spans="2:15" x14ac:dyDescent="0.3">
      <c r="B302" s="7">
        <v>300</v>
      </c>
      <c r="C302" s="3" t="s">
        <v>306</v>
      </c>
      <c r="D302" s="2" t="s">
        <v>1081</v>
      </c>
      <c r="E302" s="3" t="s">
        <v>1011</v>
      </c>
      <c r="F302" s="3">
        <v>67</v>
      </c>
      <c r="G302" s="3">
        <v>40</v>
      </c>
      <c r="H302" s="8">
        <v>1000</v>
      </c>
      <c r="I302" s="48">
        <f>Table13[[#This Row],[Physical_Stock_Qty]]-Table13[[#This Row],[System_Stock_Qty]]</f>
        <v>-27</v>
      </c>
      <c r="J302" s="53" t="str" cm="1">
        <f t="array" ref="J302">_xlfn.IFS(I302=0,"Matched",I302&gt;0,"Excess",I302&lt;0,"Shortage")</f>
        <v>Shortage</v>
      </c>
      <c r="K302" s="50">
        <f>ABS(Table13[[#This Row],[Stock Difference]])</f>
        <v>27</v>
      </c>
      <c r="L302" s="17">
        <f t="shared" si="12"/>
        <v>27000</v>
      </c>
      <c r="M302" s="17">
        <f t="shared" si="13"/>
        <v>67000</v>
      </c>
      <c r="N302" s="17" t="str" cm="1">
        <f t="array" ref="N302">_xlfn.IFS(K302=0,"Matched", K302&gt;100,"High", K302&gt;=50,"Medium", K302&lt;50,"Low")</f>
        <v>Low</v>
      </c>
      <c r="O302" s="17" t="str">
        <f t="shared" si="14"/>
        <v>No</v>
      </c>
    </row>
    <row r="303" spans="2:15" x14ac:dyDescent="0.3">
      <c r="B303" s="7">
        <v>301</v>
      </c>
      <c r="C303" s="3" t="s">
        <v>307</v>
      </c>
      <c r="D303" s="2" t="s">
        <v>1060</v>
      </c>
      <c r="E303" s="3" t="s">
        <v>1012</v>
      </c>
      <c r="F303" s="3">
        <v>40</v>
      </c>
      <c r="G303" s="3">
        <v>102</v>
      </c>
      <c r="H303" s="8">
        <v>1500</v>
      </c>
      <c r="I303" s="48">
        <f>Table13[[#This Row],[Physical_Stock_Qty]]-Table13[[#This Row],[System_Stock_Qty]]</f>
        <v>62</v>
      </c>
      <c r="J303" s="53" t="str" cm="1">
        <f t="array" ref="J303">_xlfn.IFS(I303=0,"Matched",I303&gt;0,"Excess",I303&lt;0,"Shortage")</f>
        <v>Excess</v>
      </c>
      <c r="K303" s="50">
        <f>ABS(Table13[[#This Row],[Stock Difference]])</f>
        <v>62</v>
      </c>
      <c r="L303" s="17">
        <f t="shared" si="12"/>
        <v>93000</v>
      </c>
      <c r="M303" s="17">
        <f t="shared" si="13"/>
        <v>60000</v>
      </c>
      <c r="N303" s="17" t="str" cm="1">
        <f t="array" ref="N303">_xlfn.IFS(K303=0,"Matched", K303&gt;100,"High", K303&gt;=50,"Medium", K303&lt;50,"Low")</f>
        <v>Medium</v>
      </c>
      <c r="O303" s="17" t="str">
        <f t="shared" si="14"/>
        <v>No</v>
      </c>
    </row>
    <row r="304" spans="2:15" x14ac:dyDescent="0.3">
      <c r="B304" s="7">
        <v>302</v>
      </c>
      <c r="C304" s="3" t="s">
        <v>308</v>
      </c>
      <c r="D304" s="2" t="s">
        <v>1028</v>
      </c>
      <c r="E304" s="3" t="s">
        <v>1008</v>
      </c>
      <c r="F304" s="3">
        <v>61</v>
      </c>
      <c r="G304" s="3">
        <v>116</v>
      </c>
      <c r="H304" s="8">
        <v>15000</v>
      </c>
      <c r="I304" s="48">
        <f>Table13[[#This Row],[Physical_Stock_Qty]]-Table13[[#This Row],[System_Stock_Qty]]</f>
        <v>55</v>
      </c>
      <c r="J304" s="53" t="str" cm="1">
        <f t="array" ref="J304">_xlfn.IFS(I304=0,"Matched",I304&gt;0,"Excess",I304&lt;0,"Shortage")</f>
        <v>Excess</v>
      </c>
      <c r="K304" s="50">
        <f>ABS(Table13[[#This Row],[Stock Difference]])</f>
        <v>55</v>
      </c>
      <c r="L304" s="17">
        <f t="shared" si="12"/>
        <v>825000</v>
      </c>
      <c r="M304" s="17">
        <f t="shared" si="13"/>
        <v>915000</v>
      </c>
      <c r="N304" s="17" t="str" cm="1">
        <f t="array" ref="N304">_xlfn.IFS(K304=0,"Matched", K304&gt;100,"High", K304&gt;=50,"Medium", K304&lt;50,"Low")</f>
        <v>Medium</v>
      </c>
      <c r="O304" s="17" t="str">
        <f t="shared" si="14"/>
        <v>Yes</v>
      </c>
    </row>
    <row r="305" spans="2:15" x14ac:dyDescent="0.3">
      <c r="B305" s="7">
        <v>303</v>
      </c>
      <c r="C305" s="3" t="s">
        <v>309</v>
      </c>
      <c r="D305" s="2" t="s">
        <v>1039</v>
      </c>
      <c r="E305" s="3" t="s">
        <v>1007</v>
      </c>
      <c r="F305" s="3">
        <v>30</v>
      </c>
      <c r="G305" s="3">
        <v>103</v>
      </c>
      <c r="H305" s="8">
        <v>12000</v>
      </c>
      <c r="I305" s="48">
        <f>Table13[[#This Row],[Physical_Stock_Qty]]-Table13[[#This Row],[System_Stock_Qty]]</f>
        <v>73</v>
      </c>
      <c r="J305" s="53" t="str" cm="1">
        <f t="array" ref="J305">_xlfn.IFS(I305=0,"Matched",I305&gt;0,"Excess",I305&lt;0,"Shortage")</f>
        <v>Excess</v>
      </c>
      <c r="K305" s="50">
        <f>ABS(Table13[[#This Row],[Stock Difference]])</f>
        <v>73</v>
      </c>
      <c r="L305" s="17">
        <f t="shared" si="12"/>
        <v>876000</v>
      </c>
      <c r="M305" s="17">
        <f t="shared" si="13"/>
        <v>360000</v>
      </c>
      <c r="N305" s="17" t="str" cm="1">
        <f t="array" ref="N305">_xlfn.IFS(K305=0,"Matched", K305&gt;100,"High", K305&gt;=50,"Medium", K305&lt;50,"Low")</f>
        <v>Medium</v>
      </c>
      <c r="O305" s="17" t="str">
        <f t="shared" si="14"/>
        <v>Yes</v>
      </c>
    </row>
    <row r="306" spans="2:15" x14ac:dyDescent="0.3">
      <c r="B306" s="7">
        <v>304</v>
      </c>
      <c r="C306" s="3" t="s">
        <v>310</v>
      </c>
      <c r="D306" s="2" t="s">
        <v>1029</v>
      </c>
      <c r="E306" s="3" t="s">
        <v>1008</v>
      </c>
      <c r="F306" s="3">
        <v>143</v>
      </c>
      <c r="G306" s="3">
        <v>147</v>
      </c>
      <c r="H306" s="8">
        <v>3000</v>
      </c>
      <c r="I306" s="48">
        <f>Table13[[#This Row],[Physical_Stock_Qty]]-Table13[[#This Row],[System_Stock_Qty]]</f>
        <v>4</v>
      </c>
      <c r="J306" s="53" t="str" cm="1">
        <f t="array" ref="J306">_xlfn.IFS(I306=0,"Matched",I306&gt;0,"Excess",I306&lt;0,"Shortage")</f>
        <v>Excess</v>
      </c>
      <c r="K306" s="50">
        <f>ABS(Table13[[#This Row],[Stock Difference]])</f>
        <v>4</v>
      </c>
      <c r="L306" s="17">
        <f t="shared" si="12"/>
        <v>12000</v>
      </c>
      <c r="M306" s="17">
        <f t="shared" si="13"/>
        <v>429000</v>
      </c>
      <c r="N306" s="17" t="str" cm="1">
        <f t="array" ref="N306">_xlfn.IFS(K306=0,"Matched", K306&gt;100,"High", K306&gt;=50,"Medium", K306&lt;50,"Low")</f>
        <v>Low</v>
      </c>
      <c r="O306" s="17" t="str">
        <f t="shared" si="14"/>
        <v>No</v>
      </c>
    </row>
    <row r="307" spans="2:15" x14ac:dyDescent="0.3">
      <c r="B307" s="7">
        <v>305</v>
      </c>
      <c r="C307" s="3" t="s">
        <v>311</v>
      </c>
      <c r="D307" s="2" t="s">
        <v>1043</v>
      </c>
      <c r="E307" s="3" t="s">
        <v>1010</v>
      </c>
      <c r="F307" s="3">
        <v>48</v>
      </c>
      <c r="G307" s="3">
        <v>76</v>
      </c>
      <c r="H307" s="8">
        <v>50</v>
      </c>
      <c r="I307" s="48">
        <f>Table13[[#This Row],[Physical_Stock_Qty]]-Table13[[#This Row],[System_Stock_Qty]]</f>
        <v>28</v>
      </c>
      <c r="J307" s="53" t="str" cm="1">
        <f t="array" ref="J307">_xlfn.IFS(I307=0,"Matched",I307&gt;0,"Excess",I307&lt;0,"Shortage")</f>
        <v>Excess</v>
      </c>
      <c r="K307" s="50">
        <f>ABS(Table13[[#This Row],[Stock Difference]])</f>
        <v>28</v>
      </c>
      <c r="L307" s="17">
        <f t="shared" si="12"/>
        <v>1400</v>
      </c>
      <c r="M307" s="17">
        <f t="shared" si="13"/>
        <v>2400</v>
      </c>
      <c r="N307" s="17" t="str" cm="1">
        <f t="array" ref="N307">_xlfn.IFS(K307=0,"Matched", K307&gt;100,"High", K307&gt;=50,"Medium", K307&lt;50,"Low")</f>
        <v>Low</v>
      </c>
      <c r="O307" s="17" t="str">
        <f t="shared" si="14"/>
        <v>No</v>
      </c>
    </row>
    <row r="308" spans="2:15" x14ac:dyDescent="0.3">
      <c r="B308" s="7">
        <v>306</v>
      </c>
      <c r="C308" s="3" t="s">
        <v>312</v>
      </c>
      <c r="D308" s="2" t="s">
        <v>1029</v>
      </c>
      <c r="E308" s="3" t="s">
        <v>1008</v>
      </c>
      <c r="F308" s="3">
        <v>174</v>
      </c>
      <c r="G308" s="3">
        <v>41</v>
      </c>
      <c r="H308" s="8">
        <v>3000</v>
      </c>
      <c r="I308" s="48">
        <f>Table13[[#This Row],[Physical_Stock_Qty]]-Table13[[#This Row],[System_Stock_Qty]]</f>
        <v>-133</v>
      </c>
      <c r="J308" s="53" t="str" cm="1">
        <f t="array" ref="J308">_xlfn.IFS(I308=0,"Matched",I308&gt;0,"Excess",I308&lt;0,"Shortage")</f>
        <v>Shortage</v>
      </c>
      <c r="K308" s="50">
        <f>ABS(Table13[[#This Row],[Stock Difference]])</f>
        <v>133</v>
      </c>
      <c r="L308" s="17">
        <f t="shared" si="12"/>
        <v>399000</v>
      </c>
      <c r="M308" s="17">
        <f t="shared" si="13"/>
        <v>522000</v>
      </c>
      <c r="N308" s="17" t="str" cm="1">
        <f t="array" ref="N308">_xlfn.IFS(K308=0,"Matched", K308&gt;100,"High", K308&gt;=50,"Medium", K308&lt;50,"Low")</f>
        <v>High</v>
      </c>
      <c r="O308" s="17" t="str">
        <f t="shared" si="14"/>
        <v>No</v>
      </c>
    </row>
    <row r="309" spans="2:15" x14ac:dyDescent="0.3">
      <c r="B309" s="7">
        <v>307</v>
      </c>
      <c r="C309" s="3" t="s">
        <v>313</v>
      </c>
      <c r="D309" s="2" t="s">
        <v>1054</v>
      </c>
      <c r="E309" s="3" t="s">
        <v>1010</v>
      </c>
      <c r="F309" s="3">
        <v>101</v>
      </c>
      <c r="G309" s="3">
        <v>37</v>
      </c>
      <c r="H309" s="8">
        <v>30</v>
      </c>
      <c r="I309" s="48">
        <f>Table13[[#This Row],[Physical_Stock_Qty]]-Table13[[#This Row],[System_Stock_Qty]]</f>
        <v>-64</v>
      </c>
      <c r="J309" s="53" t="str" cm="1">
        <f t="array" ref="J309">_xlfn.IFS(I309=0,"Matched",I309&gt;0,"Excess",I309&lt;0,"Shortage")</f>
        <v>Shortage</v>
      </c>
      <c r="K309" s="50">
        <f>ABS(Table13[[#This Row],[Stock Difference]])</f>
        <v>64</v>
      </c>
      <c r="L309" s="17">
        <f t="shared" si="12"/>
        <v>1920</v>
      </c>
      <c r="M309" s="17">
        <f t="shared" si="13"/>
        <v>3030</v>
      </c>
      <c r="N309" s="17" t="str" cm="1">
        <f t="array" ref="N309">_xlfn.IFS(K309=0,"Matched", K309&gt;100,"High", K309&gt;=50,"Medium", K309&lt;50,"Low")</f>
        <v>Medium</v>
      </c>
      <c r="O309" s="17" t="str">
        <f t="shared" si="14"/>
        <v>No</v>
      </c>
    </row>
    <row r="310" spans="2:15" x14ac:dyDescent="0.3">
      <c r="B310" s="7">
        <v>308</v>
      </c>
      <c r="C310" s="3" t="s">
        <v>314</v>
      </c>
      <c r="D310" s="2" t="s">
        <v>1084</v>
      </c>
      <c r="E310" s="3" t="s">
        <v>1011</v>
      </c>
      <c r="F310" s="3">
        <v>108</v>
      </c>
      <c r="G310" s="3">
        <v>66</v>
      </c>
      <c r="H310" s="8">
        <v>2000</v>
      </c>
      <c r="I310" s="48">
        <f>Table13[[#This Row],[Physical_Stock_Qty]]-Table13[[#This Row],[System_Stock_Qty]]</f>
        <v>-42</v>
      </c>
      <c r="J310" s="53" t="str" cm="1">
        <f t="array" ref="J310">_xlfn.IFS(I310=0,"Matched",I310&gt;0,"Excess",I310&lt;0,"Shortage")</f>
        <v>Shortage</v>
      </c>
      <c r="K310" s="50">
        <f>ABS(Table13[[#This Row],[Stock Difference]])</f>
        <v>42</v>
      </c>
      <c r="L310" s="17">
        <f t="shared" si="12"/>
        <v>84000</v>
      </c>
      <c r="M310" s="17">
        <f t="shared" si="13"/>
        <v>216000</v>
      </c>
      <c r="N310" s="17" t="str" cm="1">
        <f t="array" ref="N310">_xlfn.IFS(K310=0,"Matched", K310&gt;100,"High", K310&gt;=50,"Medium", K310&lt;50,"Low")</f>
        <v>Low</v>
      </c>
      <c r="O310" s="17" t="str">
        <f t="shared" si="14"/>
        <v>No</v>
      </c>
    </row>
    <row r="311" spans="2:15" x14ac:dyDescent="0.3">
      <c r="B311" s="7">
        <v>309</v>
      </c>
      <c r="C311" s="3" t="s">
        <v>315</v>
      </c>
      <c r="D311" s="2" t="s">
        <v>1087</v>
      </c>
      <c r="E311" s="3" t="s">
        <v>1011</v>
      </c>
      <c r="F311" s="3">
        <v>98</v>
      </c>
      <c r="G311" s="3">
        <v>89</v>
      </c>
      <c r="H311" s="8">
        <v>5000</v>
      </c>
      <c r="I311" s="48">
        <f>Table13[[#This Row],[Physical_Stock_Qty]]-Table13[[#This Row],[System_Stock_Qty]]</f>
        <v>-9</v>
      </c>
      <c r="J311" s="53" t="str" cm="1">
        <f t="array" ref="J311">_xlfn.IFS(I311=0,"Matched",I311&gt;0,"Excess",I311&lt;0,"Shortage")</f>
        <v>Shortage</v>
      </c>
      <c r="K311" s="50">
        <f>ABS(Table13[[#This Row],[Stock Difference]])</f>
        <v>9</v>
      </c>
      <c r="L311" s="17">
        <f t="shared" si="12"/>
        <v>45000</v>
      </c>
      <c r="M311" s="17">
        <f t="shared" si="13"/>
        <v>490000</v>
      </c>
      <c r="N311" s="17" t="str" cm="1">
        <f t="array" ref="N311">_xlfn.IFS(K311=0,"Matched", K311&gt;100,"High", K311&gt;=50,"Medium", K311&lt;50,"Low")</f>
        <v>Low</v>
      </c>
      <c r="O311" s="17" t="str">
        <f t="shared" si="14"/>
        <v>No</v>
      </c>
    </row>
    <row r="312" spans="2:15" x14ac:dyDescent="0.3">
      <c r="B312" s="7">
        <v>310</v>
      </c>
      <c r="C312" s="3" t="s">
        <v>316</v>
      </c>
      <c r="D312" s="2" t="s">
        <v>1029</v>
      </c>
      <c r="E312" s="3" t="s">
        <v>1008</v>
      </c>
      <c r="F312" s="3">
        <v>42</v>
      </c>
      <c r="G312" s="3">
        <v>166</v>
      </c>
      <c r="H312" s="8">
        <v>3000</v>
      </c>
      <c r="I312" s="48">
        <f>Table13[[#This Row],[Physical_Stock_Qty]]-Table13[[#This Row],[System_Stock_Qty]]</f>
        <v>124</v>
      </c>
      <c r="J312" s="53" t="str" cm="1">
        <f t="array" ref="J312">_xlfn.IFS(I312=0,"Matched",I312&gt;0,"Excess",I312&lt;0,"Shortage")</f>
        <v>Excess</v>
      </c>
      <c r="K312" s="50">
        <f>ABS(Table13[[#This Row],[Stock Difference]])</f>
        <v>124</v>
      </c>
      <c r="L312" s="17">
        <f t="shared" si="12"/>
        <v>372000</v>
      </c>
      <c r="M312" s="17">
        <f t="shared" si="13"/>
        <v>126000</v>
      </c>
      <c r="N312" s="17" t="str" cm="1">
        <f t="array" ref="N312">_xlfn.IFS(K312=0,"Matched", K312&gt;100,"High", K312&gt;=50,"Medium", K312&lt;50,"Low")</f>
        <v>High</v>
      </c>
      <c r="O312" s="17" t="str">
        <f t="shared" si="14"/>
        <v>No</v>
      </c>
    </row>
    <row r="313" spans="2:15" x14ac:dyDescent="0.3">
      <c r="B313" s="7">
        <v>311</v>
      </c>
      <c r="C313" s="3" t="s">
        <v>317</v>
      </c>
      <c r="D313" s="2" t="s">
        <v>1032</v>
      </c>
      <c r="E313" s="3" t="s">
        <v>1008</v>
      </c>
      <c r="F313" s="3">
        <v>183</v>
      </c>
      <c r="G313" s="3">
        <v>48</v>
      </c>
      <c r="H313" s="8">
        <v>2000</v>
      </c>
      <c r="I313" s="48">
        <f>Table13[[#This Row],[Physical_Stock_Qty]]-Table13[[#This Row],[System_Stock_Qty]]</f>
        <v>-135</v>
      </c>
      <c r="J313" s="53" t="str" cm="1">
        <f t="array" ref="J313">_xlfn.IFS(I313=0,"Matched",I313&gt;0,"Excess",I313&lt;0,"Shortage")</f>
        <v>Shortage</v>
      </c>
      <c r="K313" s="50">
        <f>ABS(Table13[[#This Row],[Stock Difference]])</f>
        <v>135</v>
      </c>
      <c r="L313" s="17">
        <f t="shared" si="12"/>
        <v>270000</v>
      </c>
      <c r="M313" s="17">
        <f t="shared" si="13"/>
        <v>366000</v>
      </c>
      <c r="N313" s="17" t="str" cm="1">
        <f t="array" ref="N313">_xlfn.IFS(K313=0,"Matched", K313&gt;100,"High", K313&gt;=50,"Medium", K313&lt;50,"Low")</f>
        <v>High</v>
      </c>
      <c r="O313" s="17" t="str">
        <f t="shared" si="14"/>
        <v>No</v>
      </c>
    </row>
    <row r="314" spans="2:15" hidden="1" x14ac:dyDescent="0.3">
      <c r="B314" s="7">
        <v>312</v>
      </c>
      <c r="C314" s="3" t="s">
        <v>318</v>
      </c>
      <c r="D314" s="2" t="s">
        <v>1053</v>
      </c>
      <c r="E314" s="3" t="s">
        <v>1010</v>
      </c>
      <c r="F314" s="3">
        <v>75</v>
      </c>
      <c r="G314" s="3">
        <v>75</v>
      </c>
      <c r="H314" s="8">
        <v>10</v>
      </c>
      <c r="I314" s="48">
        <f>Table13[[#This Row],[Physical_Stock_Qty]]-Table13[[#This Row],[System_Stock_Qty]]</f>
        <v>0</v>
      </c>
      <c r="J314" s="53" t="str" cm="1">
        <f t="array" ref="J314">_xlfn.IFS(I314=0,"Matched",I314&gt;0,"Excess",I314&lt;0,"Shortage")</f>
        <v>Matched</v>
      </c>
      <c r="K314" s="50">
        <f>ABS(Table13[[#This Row],[Stock Difference]])</f>
        <v>0</v>
      </c>
      <c r="L314" s="17">
        <f t="shared" si="12"/>
        <v>0</v>
      </c>
      <c r="M314" s="17">
        <f t="shared" si="13"/>
        <v>750</v>
      </c>
      <c r="N314" s="17" t="str" cm="1">
        <f t="array" ref="N314">_xlfn.IFS(K314=0,"Matched", K314&gt;100,"High", K314&gt;=50,"Medium", K314&lt;50,"Low")</f>
        <v>Matched</v>
      </c>
      <c r="O314" s="17" t="str">
        <f t="shared" si="14"/>
        <v>No Match</v>
      </c>
    </row>
    <row r="315" spans="2:15" hidden="1" x14ac:dyDescent="0.3">
      <c r="B315" s="7">
        <v>313</v>
      </c>
      <c r="C315" s="3" t="s">
        <v>319</v>
      </c>
      <c r="D315" s="2" t="s">
        <v>1073</v>
      </c>
      <c r="E315" s="3" t="s">
        <v>1009</v>
      </c>
      <c r="F315" s="3">
        <v>124</v>
      </c>
      <c r="G315" s="3">
        <v>124</v>
      </c>
      <c r="H315" s="8">
        <v>100</v>
      </c>
      <c r="I315" s="48">
        <f>Table13[[#This Row],[Physical_Stock_Qty]]-Table13[[#This Row],[System_Stock_Qty]]</f>
        <v>0</v>
      </c>
      <c r="J315" s="53" t="str" cm="1">
        <f t="array" ref="J315">_xlfn.IFS(I315=0,"Matched",I315&gt;0,"Excess",I315&lt;0,"Shortage")</f>
        <v>Matched</v>
      </c>
      <c r="K315" s="50">
        <f>ABS(Table13[[#This Row],[Stock Difference]])</f>
        <v>0</v>
      </c>
      <c r="L315" s="17">
        <f t="shared" si="12"/>
        <v>0</v>
      </c>
      <c r="M315" s="17">
        <f t="shared" si="13"/>
        <v>12400</v>
      </c>
      <c r="N315" s="17" t="str" cm="1">
        <f t="array" ref="N315">_xlfn.IFS(K315=0,"Matched", K315&gt;100,"High", K315&gt;=50,"Medium", K315&lt;50,"Low")</f>
        <v>Matched</v>
      </c>
      <c r="O315" s="17" t="str">
        <f t="shared" si="14"/>
        <v>No Match</v>
      </c>
    </row>
    <row r="316" spans="2:15" hidden="1" x14ac:dyDescent="0.3">
      <c r="B316" s="7">
        <v>314</v>
      </c>
      <c r="C316" s="3" t="s">
        <v>320</v>
      </c>
      <c r="D316" s="2" t="s">
        <v>1050</v>
      </c>
      <c r="E316" s="3" t="s">
        <v>1010</v>
      </c>
      <c r="F316" s="3">
        <v>68</v>
      </c>
      <c r="G316" s="3">
        <v>68</v>
      </c>
      <c r="H316" s="8">
        <v>30</v>
      </c>
      <c r="I316" s="48">
        <f>Table13[[#This Row],[Physical_Stock_Qty]]-Table13[[#This Row],[System_Stock_Qty]]</f>
        <v>0</v>
      </c>
      <c r="J316" s="53" t="str" cm="1">
        <f t="array" ref="J316">_xlfn.IFS(I316=0,"Matched",I316&gt;0,"Excess",I316&lt;0,"Shortage")</f>
        <v>Matched</v>
      </c>
      <c r="K316" s="50">
        <f>ABS(Table13[[#This Row],[Stock Difference]])</f>
        <v>0</v>
      </c>
      <c r="L316" s="17">
        <f t="shared" si="12"/>
        <v>0</v>
      </c>
      <c r="M316" s="17">
        <f t="shared" si="13"/>
        <v>2040</v>
      </c>
      <c r="N316" s="17" t="str" cm="1">
        <f t="array" ref="N316">_xlfn.IFS(K316=0,"Matched", K316&gt;100,"High", K316&gt;=50,"Medium", K316&lt;50,"Low")</f>
        <v>Matched</v>
      </c>
      <c r="O316" s="17" t="str">
        <f t="shared" si="14"/>
        <v>No Match</v>
      </c>
    </row>
    <row r="317" spans="2:15" hidden="1" x14ac:dyDescent="0.3">
      <c r="B317" s="7">
        <v>315</v>
      </c>
      <c r="C317" s="3" t="s">
        <v>321</v>
      </c>
      <c r="D317" s="2" t="s">
        <v>1055</v>
      </c>
      <c r="E317" s="3" t="s">
        <v>1010</v>
      </c>
      <c r="F317" s="3">
        <v>88</v>
      </c>
      <c r="G317" s="3">
        <v>88</v>
      </c>
      <c r="H317" s="8">
        <v>50</v>
      </c>
      <c r="I317" s="48">
        <f>Table13[[#This Row],[Physical_Stock_Qty]]-Table13[[#This Row],[System_Stock_Qty]]</f>
        <v>0</v>
      </c>
      <c r="J317" s="53" t="str" cm="1">
        <f t="array" ref="J317">_xlfn.IFS(I317=0,"Matched",I317&gt;0,"Excess",I317&lt;0,"Shortage")</f>
        <v>Matched</v>
      </c>
      <c r="K317" s="50">
        <f>ABS(Table13[[#This Row],[Stock Difference]])</f>
        <v>0</v>
      </c>
      <c r="L317" s="17">
        <f t="shared" si="12"/>
        <v>0</v>
      </c>
      <c r="M317" s="17">
        <f t="shared" si="13"/>
        <v>4400</v>
      </c>
      <c r="N317" s="17" t="str" cm="1">
        <f t="array" ref="N317">_xlfn.IFS(K317=0,"Matched", K317&gt;100,"High", K317&gt;=50,"Medium", K317&lt;50,"Low")</f>
        <v>Matched</v>
      </c>
      <c r="O317" s="17" t="str">
        <f t="shared" si="14"/>
        <v>No Match</v>
      </c>
    </row>
    <row r="318" spans="2:15" hidden="1" x14ac:dyDescent="0.3">
      <c r="B318" s="7">
        <v>316</v>
      </c>
      <c r="C318" s="3" t="s">
        <v>322</v>
      </c>
      <c r="D318" s="2" t="s">
        <v>1080</v>
      </c>
      <c r="E318" s="3" t="s">
        <v>1011</v>
      </c>
      <c r="F318" s="3">
        <v>133</v>
      </c>
      <c r="G318" s="3">
        <v>133</v>
      </c>
      <c r="H318" s="8">
        <v>2500</v>
      </c>
      <c r="I318" s="48">
        <f>Table13[[#This Row],[Physical_Stock_Qty]]-Table13[[#This Row],[System_Stock_Qty]]</f>
        <v>0</v>
      </c>
      <c r="J318" s="53" t="str" cm="1">
        <f t="array" ref="J318">_xlfn.IFS(I318=0,"Matched",I318&gt;0,"Excess",I318&lt;0,"Shortage")</f>
        <v>Matched</v>
      </c>
      <c r="K318" s="50">
        <f>ABS(Table13[[#This Row],[Stock Difference]])</f>
        <v>0</v>
      </c>
      <c r="L318" s="17">
        <f t="shared" si="12"/>
        <v>0</v>
      </c>
      <c r="M318" s="17">
        <f t="shared" si="13"/>
        <v>332500</v>
      </c>
      <c r="N318" s="17" t="str" cm="1">
        <f t="array" ref="N318">_xlfn.IFS(K318=0,"Matched", K318&gt;100,"High", K318&gt;=50,"Medium", K318&lt;50,"Low")</f>
        <v>Matched</v>
      </c>
      <c r="O318" s="17" t="str">
        <f t="shared" si="14"/>
        <v>No Match</v>
      </c>
    </row>
    <row r="319" spans="2:15" hidden="1" x14ac:dyDescent="0.3">
      <c r="B319" s="7">
        <v>317</v>
      </c>
      <c r="C319" s="3" t="s">
        <v>323</v>
      </c>
      <c r="D319" s="2" t="s">
        <v>1057</v>
      </c>
      <c r="E319" s="3" t="s">
        <v>1012</v>
      </c>
      <c r="F319" s="3">
        <v>126</v>
      </c>
      <c r="G319" s="3">
        <v>126</v>
      </c>
      <c r="H319" s="8">
        <v>500</v>
      </c>
      <c r="I319" s="48">
        <f>Table13[[#This Row],[Physical_Stock_Qty]]-Table13[[#This Row],[System_Stock_Qty]]</f>
        <v>0</v>
      </c>
      <c r="J319" s="53" t="str" cm="1">
        <f t="array" ref="J319">_xlfn.IFS(I319=0,"Matched",I319&gt;0,"Excess",I319&lt;0,"Shortage")</f>
        <v>Matched</v>
      </c>
      <c r="K319" s="50">
        <f>ABS(Table13[[#This Row],[Stock Difference]])</f>
        <v>0</v>
      </c>
      <c r="L319" s="17">
        <f t="shared" si="12"/>
        <v>0</v>
      </c>
      <c r="M319" s="17">
        <f t="shared" si="13"/>
        <v>63000</v>
      </c>
      <c r="N319" s="17" t="str" cm="1">
        <f t="array" ref="N319">_xlfn.IFS(K319=0,"Matched", K319&gt;100,"High", K319&gt;=50,"Medium", K319&lt;50,"Low")</f>
        <v>Matched</v>
      </c>
      <c r="O319" s="17" t="str">
        <f t="shared" si="14"/>
        <v>No Match</v>
      </c>
    </row>
    <row r="320" spans="2:15" hidden="1" x14ac:dyDescent="0.3">
      <c r="B320" s="7">
        <v>318</v>
      </c>
      <c r="C320" s="3" t="s">
        <v>324</v>
      </c>
      <c r="D320" s="2" t="s">
        <v>1085</v>
      </c>
      <c r="E320" s="3" t="s">
        <v>1011</v>
      </c>
      <c r="F320" s="3">
        <v>157</v>
      </c>
      <c r="G320" s="3">
        <v>157</v>
      </c>
      <c r="H320" s="8">
        <v>1500</v>
      </c>
      <c r="I320" s="48">
        <f>Table13[[#This Row],[Physical_Stock_Qty]]-Table13[[#This Row],[System_Stock_Qty]]</f>
        <v>0</v>
      </c>
      <c r="J320" s="53" t="str" cm="1">
        <f t="array" ref="J320">_xlfn.IFS(I320=0,"Matched",I320&gt;0,"Excess",I320&lt;0,"Shortage")</f>
        <v>Matched</v>
      </c>
      <c r="K320" s="50">
        <f>ABS(Table13[[#This Row],[Stock Difference]])</f>
        <v>0</v>
      </c>
      <c r="L320" s="17">
        <f t="shared" si="12"/>
        <v>0</v>
      </c>
      <c r="M320" s="17">
        <f t="shared" si="13"/>
        <v>235500</v>
      </c>
      <c r="N320" s="17" t="str" cm="1">
        <f t="array" ref="N320">_xlfn.IFS(K320=0,"Matched", K320&gt;100,"High", K320&gt;=50,"Medium", K320&lt;50,"Low")</f>
        <v>Matched</v>
      </c>
      <c r="O320" s="17" t="str">
        <f t="shared" si="14"/>
        <v>No Match</v>
      </c>
    </row>
    <row r="321" spans="2:15" hidden="1" x14ac:dyDescent="0.3">
      <c r="B321" s="7">
        <v>319</v>
      </c>
      <c r="C321" s="3" t="s">
        <v>325</v>
      </c>
      <c r="D321" s="2" t="s">
        <v>1034</v>
      </c>
      <c r="E321" s="3" t="s">
        <v>1008</v>
      </c>
      <c r="F321" s="3">
        <v>43</v>
      </c>
      <c r="G321" s="3">
        <v>43</v>
      </c>
      <c r="H321" s="8">
        <v>50000</v>
      </c>
      <c r="I321" s="48">
        <f>Table13[[#This Row],[Physical_Stock_Qty]]-Table13[[#This Row],[System_Stock_Qty]]</f>
        <v>0</v>
      </c>
      <c r="J321" s="53" t="str" cm="1">
        <f t="array" ref="J321">_xlfn.IFS(I321=0,"Matched",I321&gt;0,"Excess",I321&lt;0,"Shortage")</f>
        <v>Matched</v>
      </c>
      <c r="K321" s="50">
        <f>ABS(Table13[[#This Row],[Stock Difference]])</f>
        <v>0</v>
      </c>
      <c r="L321" s="17">
        <f t="shared" si="12"/>
        <v>0</v>
      </c>
      <c r="M321" s="17">
        <f t="shared" si="13"/>
        <v>2150000</v>
      </c>
      <c r="N321" s="17" t="str" cm="1">
        <f t="array" ref="N321">_xlfn.IFS(K321=0,"Matched", K321&gt;100,"High", K321&gt;=50,"Medium", K321&lt;50,"Low")</f>
        <v>Matched</v>
      </c>
      <c r="O321" s="17" t="str">
        <f t="shared" si="14"/>
        <v>No Match</v>
      </c>
    </row>
    <row r="322" spans="2:15" hidden="1" x14ac:dyDescent="0.3">
      <c r="B322" s="7">
        <v>320</v>
      </c>
      <c r="C322" s="3" t="s">
        <v>326</v>
      </c>
      <c r="D322" s="2" t="s">
        <v>1080</v>
      </c>
      <c r="E322" s="3" t="s">
        <v>1011</v>
      </c>
      <c r="F322" s="3">
        <v>189</v>
      </c>
      <c r="G322" s="3">
        <v>189</v>
      </c>
      <c r="H322" s="8">
        <v>2500</v>
      </c>
      <c r="I322" s="48">
        <f>Table13[[#This Row],[Physical_Stock_Qty]]-Table13[[#This Row],[System_Stock_Qty]]</f>
        <v>0</v>
      </c>
      <c r="J322" s="53" t="str" cm="1">
        <f t="array" ref="J322">_xlfn.IFS(I322=0,"Matched",I322&gt;0,"Excess",I322&lt;0,"Shortage")</f>
        <v>Matched</v>
      </c>
      <c r="K322" s="50">
        <f>ABS(Table13[[#This Row],[Stock Difference]])</f>
        <v>0</v>
      </c>
      <c r="L322" s="17">
        <f t="shared" si="12"/>
        <v>0</v>
      </c>
      <c r="M322" s="17">
        <f t="shared" si="13"/>
        <v>472500</v>
      </c>
      <c r="N322" s="17" t="str" cm="1">
        <f t="array" ref="N322">_xlfn.IFS(K322=0,"Matched", K322&gt;100,"High", K322&gt;=50,"Medium", K322&lt;50,"Low")</f>
        <v>Matched</v>
      </c>
      <c r="O322" s="17" t="str">
        <f t="shared" si="14"/>
        <v>No Match</v>
      </c>
    </row>
    <row r="323" spans="2:15" hidden="1" x14ac:dyDescent="0.3">
      <c r="B323" s="7">
        <v>321</v>
      </c>
      <c r="C323" s="3" t="s">
        <v>327</v>
      </c>
      <c r="D323" s="2" t="s">
        <v>1083</v>
      </c>
      <c r="E323" s="3" t="s">
        <v>1011</v>
      </c>
      <c r="F323" s="3">
        <v>47</v>
      </c>
      <c r="G323" s="3">
        <v>47</v>
      </c>
      <c r="H323" s="8">
        <v>3000</v>
      </c>
      <c r="I323" s="48">
        <f>Table13[[#This Row],[Physical_Stock_Qty]]-Table13[[#This Row],[System_Stock_Qty]]</f>
        <v>0</v>
      </c>
      <c r="J323" s="53" t="str" cm="1">
        <f t="array" ref="J323">_xlfn.IFS(I323=0,"Matched",I323&gt;0,"Excess",I323&lt;0,"Shortage")</f>
        <v>Matched</v>
      </c>
      <c r="K323" s="50">
        <f>ABS(Table13[[#This Row],[Stock Difference]])</f>
        <v>0</v>
      </c>
      <c r="L323" s="17">
        <f t="shared" si="12"/>
        <v>0</v>
      </c>
      <c r="M323" s="17">
        <f t="shared" si="13"/>
        <v>141000</v>
      </c>
      <c r="N323" s="17" t="str" cm="1">
        <f t="array" ref="N323">_xlfn.IFS(K323=0,"Matched", K323&gt;100,"High", K323&gt;=50,"Medium", K323&lt;50,"Low")</f>
        <v>Matched</v>
      </c>
      <c r="O323" s="17" t="str">
        <f t="shared" si="14"/>
        <v>No Match</v>
      </c>
    </row>
    <row r="324" spans="2:15" hidden="1" x14ac:dyDescent="0.3">
      <c r="B324" s="7">
        <v>322</v>
      </c>
      <c r="C324" s="3" t="s">
        <v>328</v>
      </c>
      <c r="D324" s="2" t="s">
        <v>1054</v>
      </c>
      <c r="E324" s="3" t="s">
        <v>1010</v>
      </c>
      <c r="F324" s="3">
        <v>167</v>
      </c>
      <c r="G324" s="3">
        <v>167</v>
      </c>
      <c r="H324" s="8">
        <v>30</v>
      </c>
      <c r="I324" s="48">
        <f>Table13[[#This Row],[Physical_Stock_Qty]]-Table13[[#This Row],[System_Stock_Qty]]</f>
        <v>0</v>
      </c>
      <c r="J324" s="53" t="str" cm="1">
        <f t="array" ref="J324">_xlfn.IFS(I324=0,"Matched",I324&gt;0,"Excess",I324&lt;0,"Shortage")</f>
        <v>Matched</v>
      </c>
      <c r="K324" s="50">
        <f>ABS(Table13[[#This Row],[Stock Difference]])</f>
        <v>0</v>
      </c>
      <c r="L324" s="17">
        <f t="shared" ref="L324:L387" si="15">(K324*H324)</f>
        <v>0</v>
      </c>
      <c r="M324" s="17">
        <f t="shared" ref="M324:M387" si="16">F324*H324</f>
        <v>5010</v>
      </c>
      <c r="N324" s="17" t="str" cm="1">
        <f t="array" ref="N324">_xlfn.IFS(K324=0,"Matched", K324&gt;100,"High", K324&gt;=50,"Medium", K324&lt;50,"Low")</f>
        <v>Matched</v>
      </c>
      <c r="O324" s="17" t="str">
        <f t="shared" ref="O324:O387" si="17">IF(L324&gt;500000,"Yes",IF(L324=0,"No Match","No"))</f>
        <v>No Match</v>
      </c>
    </row>
    <row r="325" spans="2:15" hidden="1" x14ac:dyDescent="0.3">
      <c r="B325" s="7">
        <v>323</v>
      </c>
      <c r="C325" s="3" t="s">
        <v>329</v>
      </c>
      <c r="D325" s="2" t="s">
        <v>1038</v>
      </c>
      <c r="E325" s="3" t="s">
        <v>1007</v>
      </c>
      <c r="F325" s="3">
        <v>78</v>
      </c>
      <c r="G325" s="3">
        <v>78</v>
      </c>
      <c r="H325" s="8">
        <v>5000</v>
      </c>
      <c r="I325" s="48">
        <f>Table13[[#This Row],[Physical_Stock_Qty]]-Table13[[#This Row],[System_Stock_Qty]]</f>
        <v>0</v>
      </c>
      <c r="J325" s="53" t="str" cm="1">
        <f t="array" ref="J325">_xlfn.IFS(I325=0,"Matched",I325&gt;0,"Excess",I325&lt;0,"Shortage")</f>
        <v>Matched</v>
      </c>
      <c r="K325" s="50">
        <f>ABS(Table13[[#This Row],[Stock Difference]])</f>
        <v>0</v>
      </c>
      <c r="L325" s="17">
        <f t="shared" si="15"/>
        <v>0</v>
      </c>
      <c r="M325" s="17">
        <f t="shared" si="16"/>
        <v>390000</v>
      </c>
      <c r="N325" s="17" t="str" cm="1">
        <f t="array" ref="N325">_xlfn.IFS(K325=0,"Matched", K325&gt;100,"High", K325&gt;=50,"Medium", K325&lt;50,"Low")</f>
        <v>Matched</v>
      </c>
      <c r="O325" s="17" t="str">
        <f t="shared" si="17"/>
        <v>No Match</v>
      </c>
    </row>
    <row r="326" spans="2:15" hidden="1" x14ac:dyDescent="0.3">
      <c r="B326" s="7">
        <v>324</v>
      </c>
      <c r="C326" s="3" t="s">
        <v>330</v>
      </c>
      <c r="D326" s="2" t="s">
        <v>1043</v>
      </c>
      <c r="E326" s="3" t="s">
        <v>1010</v>
      </c>
      <c r="F326" s="3">
        <v>37</v>
      </c>
      <c r="G326" s="3">
        <v>37</v>
      </c>
      <c r="H326" s="8">
        <v>50</v>
      </c>
      <c r="I326" s="48">
        <f>Table13[[#This Row],[Physical_Stock_Qty]]-Table13[[#This Row],[System_Stock_Qty]]</f>
        <v>0</v>
      </c>
      <c r="J326" s="53" t="str" cm="1">
        <f t="array" ref="J326">_xlfn.IFS(I326=0,"Matched",I326&gt;0,"Excess",I326&lt;0,"Shortage")</f>
        <v>Matched</v>
      </c>
      <c r="K326" s="50">
        <f>ABS(Table13[[#This Row],[Stock Difference]])</f>
        <v>0</v>
      </c>
      <c r="L326" s="17">
        <f t="shared" si="15"/>
        <v>0</v>
      </c>
      <c r="M326" s="17">
        <f t="shared" si="16"/>
        <v>1850</v>
      </c>
      <c r="N326" s="17" t="str" cm="1">
        <f t="array" ref="N326">_xlfn.IFS(K326=0,"Matched", K326&gt;100,"High", K326&gt;=50,"Medium", K326&lt;50,"Low")</f>
        <v>Matched</v>
      </c>
      <c r="O326" s="17" t="str">
        <f t="shared" si="17"/>
        <v>No Match</v>
      </c>
    </row>
    <row r="327" spans="2:15" hidden="1" x14ac:dyDescent="0.3">
      <c r="B327" s="7">
        <v>325</v>
      </c>
      <c r="C327" s="3" t="s">
        <v>331</v>
      </c>
      <c r="D327" s="2" t="s">
        <v>1027</v>
      </c>
      <c r="E327" s="3" t="s">
        <v>1008</v>
      </c>
      <c r="F327" s="3">
        <v>123</v>
      </c>
      <c r="G327" s="3">
        <v>123</v>
      </c>
      <c r="H327" s="8">
        <v>30000</v>
      </c>
      <c r="I327" s="48">
        <f>Table13[[#This Row],[Physical_Stock_Qty]]-Table13[[#This Row],[System_Stock_Qty]]</f>
        <v>0</v>
      </c>
      <c r="J327" s="53" t="str" cm="1">
        <f t="array" ref="J327">_xlfn.IFS(I327=0,"Matched",I327&gt;0,"Excess",I327&lt;0,"Shortage")</f>
        <v>Matched</v>
      </c>
      <c r="K327" s="50">
        <f>ABS(Table13[[#This Row],[Stock Difference]])</f>
        <v>0</v>
      </c>
      <c r="L327" s="17">
        <f t="shared" si="15"/>
        <v>0</v>
      </c>
      <c r="M327" s="17">
        <f t="shared" si="16"/>
        <v>3690000</v>
      </c>
      <c r="N327" s="17" t="str" cm="1">
        <f t="array" ref="N327">_xlfn.IFS(K327=0,"Matched", K327&gt;100,"High", K327&gt;=50,"Medium", K327&lt;50,"Low")</f>
        <v>Matched</v>
      </c>
      <c r="O327" s="17" t="str">
        <f t="shared" si="17"/>
        <v>No Match</v>
      </c>
    </row>
    <row r="328" spans="2:15" hidden="1" x14ac:dyDescent="0.3">
      <c r="B328" s="7">
        <v>326</v>
      </c>
      <c r="C328" s="3" t="s">
        <v>332</v>
      </c>
      <c r="D328" s="2" t="s">
        <v>1080</v>
      </c>
      <c r="E328" s="3" t="s">
        <v>1011</v>
      </c>
      <c r="F328" s="3">
        <v>46</v>
      </c>
      <c r="G328" s="3">
        <v>46</v>
      </c>
      <c r="H328" s="8">
        <v>2500</v>
      </c>
      <c r="I328" s="48">
        <f>Table13[[#This Row],[Physical_Stock_Qty]]-Table13[[#This Row],[System_Stock_Qty]]</f>
        <v>0</v>
      </c>
      <c r="J328" s="53" t="str" cm="1">
        <f t="array" ref="J328">_xlfn.IFS(I328=0,"Matched",I328&gt;0,"Excess",I328&lt;0,"Shortage")</f>
        <v>Matched</v>
      </c>
      <c r="K328" s="50">
        <f>ABS(Table13[[#This Row],[Stock Difference]])</f>
        <v>0</v>
      </c>
      <c r="L328" s="17">
        <f t="shared" si="15"/>
        <v>0</v>
      </c>
      <c r="M328" s="17">
        <f t="shared" si="16"/>
        <v>115000</v>
      </c>
      <c r="N328" s="17" t="str" cm="1">
        <f t="array" ref="N328">_xlfn.IFS(K328=0,"Matched", K328&gt;100,"High", K328&gt;=50,"Medium", K328&lt;50,"Low")</f>
        <v>Matched</v>
      </c>
      <c r="O328" s="17" t="str">
        <f t="shared" si="17"/>
        <v>No Match</v>
      </c>
    </row>
    <row r="329" spans="2:15" hidden="1" x14ac:dyDescent="0.3">
      <c r="B329" s="7">
        <v>327</v>
      </c>
      <c r="C329" s="3" t="s">
        <v>333</v>
      </c>
      <c r="D329" s="2" t="s">
        <v>1037</v>
      </c>
      <c r="E329" s="3" t="s">
        <v>1007</v>
      </c>
      <c r="F329" s="3">
        <v>169</v>
      </c>
      <c r="G329" s="3">
        <v>169</v>
      </c>
      <c r="H329" s="8">
        <v>10000</v>
      </c>
      <c r="I329" s="48">
        <f>Table13[[#This Row],[Physical_Stock_Qty]]-Table13[[#This Row],[System_Stock_Qty]]</f>
        <v>0</v>
      </c>
      <c r="J329" s="53" t="str" cm="1">
        <f t="array" ref="J329">_xlfn.IFS(I329=0,"Matched",I329&gt;0,"Excess",I329&lt;0,"Shortage")</f>
        <v>Matched</v>
      </c>
      <c r="K329" s="50">
        <f>ABS(Table13[[#This Row],[Stock Difference]])</f>
        <v>0</v>
      </c>
      <c r="L329" s="17">
        <f t="shared" si="15"/>
        <v>0</v>
      </c>
      <c r="M329" s="17">
        <f t="shared" si="16"/>
        <v>1690000</v>
      </c>
      <c r="N329" s="17" t="str" cm="1">
        <f t="array" ref="N329">_xlfn.IFS(K329=0,"Matched", K329&gt;100,"High", K329&gt;=50,"Medium", K329&lt;50,"Low")</f>
        <v>Matched</v>
      </c>
      <c r="O329" s="17" t="str">
        <f t="shared" si="17"/>
        <v>No Match</v>
      </c>
    </row>
    <row r="330" spans="2:15" hidden="1" x14ac:dyDescent="0.3">
      <c r="B330" s="7">
        <v>328</v>
      </c>
      <c r="C330" s="3" t="s">
        <v>334</v>
      </c>
      <c r="D330" s="2" t="s">
        <v>1086</v>
      </c>
      <c r="E330" s="3" t="s">
        <v>1011</v>
      </c>
      <c r="F330" s="3">
        <v>123</v>
      </c>
      <c r="G330" s="3">
        <v>123</v>
      </c>
      <c r="H330" s="8">
        <v>4500</v>
      </c>
      <c r="I330" s="48">
        <f>Table13[[#This Row],[Physical_Stock_Qty]]-Table13[[#This Row],[System_Stock_Qty]]</f>
        <v>0</v>
      </c>
      <c r="J330" s="53" t="str" cm="1">
        <f t="array" ref="J330">_xlfn.IFS(I330=0,"Matched",I330&gt;0,"Excess",I330&lt;0,"Shortage")</f>
        <v>Matched</v>
      </c>
      <c r="K330" s="50">
        <f>ABS(Table13[[#This Row],[Stock Difference]])</f>
        <v>0</v>
      </c>
      <c r="L330" s="17">
        <f t="shared" si="15"/>
        <v>0</v>
      </c>
      <c r="M330" s="17">
        <f t="shared" si="16"/>
        <v>553500</v>
      </c>
      <c r="N330" s="17" t="str" cm="1">
        <f t="array" ref="N330">_xlfn.IFS(K330=0,"Matched", K330&gt;100,"High", K330&gt;=50,"Medium", K330&lt;50,"Low")</f>
        <v>Matched</v>
      </c>
      <c r="O330" s="17" t="str">
        <f t="shared" si="17"/>
        <v>No Match</v>
      </c>
    </row>
    <row r="331" spans="2:15" hidden="1" x14ac:dyDescent="0.3">
      <c r="B331" s="7">
        <v>329</v>
      </c>
      <c r="C331" s="3" t="s">
        <v>335</v>
      </c>
      <c r="D331" s="2" t="s">
        <v>1084</v>
      </c>
      <c r="E331" s="3" t="s">
        <v>1011</v>
      </c>
      <c r="F331" s="3">
        <v>75</v>
      </c>
      <c r="G331" s="3">
        <v>75</v>
      </c>
      <c r="H331" s="8">
        <v>2000</v>
      </c>
      <c r="I331" s="48">
        <f>Table13[[#This Row],[Physical_Stock_Qty]]-Table13[[#This Row],[System_Stock_Qty]]</f>
        <v>0</v>
      </c>
      <c r="J331" s="53" t="str" cm="1">
        <f t="array" ref="J331">_xlfn.IFS(I331=0,"Matched",I331&gt;0,"Excess",I331&lt;0,"Shortage")</f>
        <v>Matched</v>
      </c>
      <c r="K331" s="50">
        <f>ABS(Table13[[#This Row],[Stock Difference]])</f>
        <v>0</v>
      </c>
      <c r="L331" s="17">
        <f t="shared" si="15"/>
        <v>0</v>
      </c>
      <c r="M331" s="17">
        <f t="shared" si="16"/>
        <v>150000</v>
      </c>
      <c r="N331" s="17" t="str" cm="1">
        <f t="array" ref="N331">_xlfn.IFS(K331=0,"Matched", K331&gt;100,"High", K331&gt;=50,"Medium", K331&lt;50,"Low")</f>
        <v>Matched</v>
      </c>
      <c r="O331" s="17" t="str">
        <f t="shared" si="17"/>
        <v>No Match</v>
      </c>
    </row>
    <row r="332" spans="2:15" hidden="1" x14ac:dyDescent="0.3">
      <c r="B332" s="7">
        <v>330</v>
      </c>
      <c r="C332" s="3" t="s">
        <v>336</v>
      </c>
      <c r="D332" s="2" t="s">
        <v>1080</v>
      </c>
      <c r="E332" s="3" t="s">
        <v>1011</v>
      </c>
      <c r="F332" s="3">
        <v>96</v>
      </c>
      <c r="G332" s="3">
        <v>96</v>
      </c>
      <c r="H332" s="8">
        <v>2500</v>
      </c>
      <c r="I332" s="48">
        <f>Table13[[#This Row],[Physical_Stock_Qty]]-Table13[[#This Row],[System_Stock_Qty]]</f>
        <v>0</v>
      </c>
      <c r="J332" s="53" t="str" cm="1">
        <f t="array" ref="J332">_xlfn.IFS(I332=0,"Matched",I332&gt;0,"Excess",I332&lt;0,"Shortage")</f>
        <v>Matched</v>
      </c>
      <c r="K332" s="50">
        <f>ABS(Table13[[#This Row],[Stock Difference]])</f>
        <v>0</v>
      </c>
      <c r="L332" s="17">
        <f t="shared" si="15"/>
        <v>0</v>
      </c>
      <c r="M332" s="17">
        <f t="shared" si="16"/>
        <v>240000</v>
      </c>
      <c r="N332" s="17" t="str" cm="1">
        <f t="array" ref="N332">_xlfn.IFS(K332=0,"Matched", K332&gt;100,"High", K332&gt;=50,"Medium", K332&lt;50,"Low")</f>
        <v>Matched</v>
      </c>
      <c r="O332" s="17" t="str">
        <f t="shared" si="17"/>
        <v>No Match</v>
      </c>
    </row>
    <row r="333" spans="2:15" hidden="1" x14ac:dyDescent="0.3">
      <c r="B333" s="7">
        <v>331</v>
      </c>
      <c r="C333" s="3" t="s">
        <v>337</v>
      </c>
      <c r="D333" s="2" t="s">
        <v>1068</v>
      </c>
      <c r="E333" s="3" t="s">
        <v>1009</v>
      </c>
      <c r="F333" s="3">
        <v>149</v>
      </c>
      <c r="G333" s="3">
        <v>149</v>
      </c>
      <c r="H333" s="8">
        <v>100</v>
      </c>
      <c r="I333" s="48">
        <f>Table13[[#This Row],[Physical_Stock_Qty]]-Table13[[#This Row],[System_Stock_Qty]]</f>
        <v>0</v>
      </c>
      <c r="J333" s="53" t="str" cm="1">
        <f t="array" ref="J333">_xlfn.IFS(I333=0,"Matched",I333&gt;0,"Excess",I333&lt;0,"Shortage")</f>
        <v>Matched</v>
      </c>
      <c r="K333" s="50">
        <f>ABS(Table13[[#This Row],[Stock Difference]])</f>
        <v>0</v>
      </c>
      <c r="L333" s="17">
        <f t="shared" si="15"/>
        <v>0</v>
      </c>
      <c r="M333" s="17">
        <f t="shared" si="16"/>
        <v>14900</v>
      </c>
      <c r="N333" s="17" t="str" cm="1">
        <f t="array" ref="N333">_xlfn.IFS(K333=0,"Matched", K333&gt;100,"High", K333&gt;=50,"Medium", K333&lt;50,"Low")</f>
        <v>Matched</v>
      </c>
      <c r="O333" s="17" t="str">
        <f t="shared" si="17"/>
        <v>No Match</v>
      </c>
    </row>
    <row r="334" spans="2:15" hidden="1" x14ac:dyDescent="0.3">
      <c r="B334" s="7">
        <v>332</v>
      </c>
      <c r="C334" s="3" t="s">
        <v>338</v>
      </c>
      <c r="D334" s="2" t="s">
        <v>1023</v>
      </c>
      <c r="E334" s="3" t="s">
        <v>1008</v>
      </c>
      <c r="F334" s="3">
        <v>84</v>
      </c>
      <c r="G334" s="3">
        <v>84</v>
      </c>
      <c r="H334" s="8">
        <v>20000</v>
      </c>
      <c r="I334" s="48">
        <f>Table13[[#This Row],[Physical_Stock_Qty]]-Table13[[#This Row],[System_Stock_Qty]]</f>
        <v>0</v>
      </c>
      <c r="J334" s="53" t="str" cm="1">
        <f t="array" ref="J334">_xlfn.IFS(I334=0,"Matched",I334&gt;0,"Excess",I334&lt;0,"Shortage")</f>
        <v>Matched</v>
      </c>
      <c r="K334" s="50">
        <f>ABS(Table13[[#This Row],[Stock Difference]])</f>
        <v>0</v>
      </c>
      <c r="L334" s="17">
        <f t="shared" si="15"/>
        <v>0</v>
      </c>
      <c r="M334" s="17">
        <f t="shared" si="16"/>
        <v>1680000</v>
      </c>
      <c r="N334" s="17" t="str" cm="1">
        <f t="array" ref="N334">_xlfn.IFS(K334=0,"Matched", K334&gt;100,"High", K334&gt;=50,"Medium", K334&lt;50,"Low")</f>
        <v>Matched</v>
      </c>
      <c r="O334" s="17" t="str">
        <f t="shared" si="17"/>
        <v>No Match</v>
      </c>
    </row>
    <row r="335" spans="2:15" hidden="1" x14ac:dyDescent="0.3">
      <c r="B335" s="7">
        <v>333</v>
      </c>
      <c r="C335" s="3" t="s">
        <v>339</v>
      </c>
      <c r="D335" s="2" t="s">
        <v>1047</v>
      </c>
      <c r="E335" s="3" t="s">
        <v>1010</v>
      </c>
      <c r="F335" s="3">
        <v>195</v>
      </c>
      <c r="G335" s="3">
        <v>195</v>
      </c>
      <c r="H335" s="8">
        <v>500</v>
      </c>
      <c r="I335" s="48">
        <f>Table13[[#This Row],[Physical_Stock_Qty]]-Table13[[#This Row],[System_Stock_Qty]]</f>
        <v>0</v>
      </c>
      <c r="J335" s="53" t="str" cm="1">
        <f t="array" ref="J335">_xlfn.IFS(I335=0,"Matched",I335&gt;0,"Excess",I335&lt;0,"Shortage")</f>
        <v>Matched</v>
      </c>
      <c r="K335" s="50">
        <f>ABS(Table13[[#This Row],[Stock Difference]])</f>
        <v>0</v>
      </c>
      <c r="L335" s="17">
        <f t="shared" si="15"/>
        <v>0</v>
      </c>
      <c r="M335" s="17">
        <f t="shared" si="16"/>
        <v>97500</v>
      </c>
      <c r="N335" s="17" t="str" cm="1">
        <f t="array" ref="N335">_xlfn.IFS(K335=0,"Matched", K335&gt;100,"High", K335&gt;=50,"Medium", K335&lt;50,"Low")</f>
        <v>Matched</v>
      </c>
      <c r="O335" s="17" t="str">
        <f t="shared" si="17"/>
        <v>No Match</v>
      </c>
    </row>
    <row r="336" spans="2:15" hidden="1" x14ac:dyDescent="0.3">
      <c r="B336" s="7">
        <v>334</v>
      </c>
      <c r="C336" s="3" t="s">
        <v>340</v>
      </c>
      <c r="D336" s="2" t="s">
        <v>1063</v>
      </c>
      <c r="E336" s="3" t="s">
        <v>1009</v>
      </c>
      <c r="F336" s="3">
        <v>59</v>
      </c>
      <c r="G336" s="3">
        <v>59</v>
      </c>
      <c r="H336" s="8">
        <v>4500</v>
      </c>
      <c r="I336" s="48">
        <f>Table13[[#This Row],[Physical_Stock_Qty]]-Table13[[#This Row],[System_Stock_Qty]]</f>
        <v>0</v>
      </c>
      <c r="J336" s="53" t="str" cm="1">
        <f t="array" ref="J336">_xlfn.IFS(I336=0,"Matched",I336&gt;0,"Excess",I336&lt;0,"Shortage")</f>
        <v>Matched</v>
      </c>
      <c r="K336" s="50">
        <f>ABS(Table13[[#This Row],[Stock Difference]])</f>
        <v>0</v>
      </c>
      <c r="L336" s="17">
        <f t="shared" si="15"/>
        <v>0</v>
      </c>
      <c r="M336" s="17">
        <f t="shared" si="16"/>
        <v>265500</v>
      </c>
      <c r="N336" s="17" t="str" cm="1">
        <f t="array" ref="N336">_xlfn.IFS(K336=0,"Matched", K336&gt;100,"High", K336&gt;=50,"Medium", K336&lt;50,"Low")</f>
        <v>Matched</v>
      </c>
      <c r="O336" s="17" t="str">
        <f t="shared" si="17"/>
        <v>No Match</v>
      </c>
    </row>
    <row r="337" spans="2:15" hidden="1" x14ac:dyDescent="0.3">
      <c r="B337" s="7">
        <v>335</v>
      </c>
      <c r="C337" s="3" t="s">
        <v>341</v>
      </c>
      <c r="D337" s="2" t="s">
        <v>1081</v>
      </c>
      <c r="E337" s="3" t="s">
        <v>1011</v>
      </c>
      <c r="F337" s="3">
        <v>194</v>
      </c>
      <c r="G337" s="3">
        <v>194</v>
      </c>
      <c r="H337" s="8">
        <v>1000</v>
      </c>
      <c r="I337" s="48">
        <f>Table13[[#This Row],[Physical_Stock_Qty]]-Table13[[#This Row],[System_Stock_Qty]]</f>
        <v>0</v>
      </c>
      <c r="J337" s="53" t="str" cm="1">
        <f t="array" ref="J337">_xlfn.IFS(I337=0,"Matched",I337&gt;0,"Excess",I337&lt;0,"Shortage")</f>
        <v>Matched</v>
      </c>
      <c r="K337" s="50">
        <f>ABS(Table13[[#This Row],[Stock Difference]])</f>
        <v>0</v>
      </c>
      <c r="L337" s="17">
        <f t="shared" si="15"/>
        <v>0</v>
      </c>
      <c r="M337" s="17">
        <f t="shared" si="16"/>
        <v>194000</v>
      </c>
      <c r="N337" s="17" t="str" cm="1">
        <f t="array" ref="N337">_xlfn.IFS(K337=0,"Matched", K337&gt;100,"High", K337&gt;=50,"Medium", K337&lt;50,"Low")</f>
        <v>Matched</v>
      </c>
      <c r="O337" s="17" t="str">
        <f t="shared" si="17"/>
        <v>No Match</v>
      </c>
    </row>
    <row r="338" spans="2:15" hidden="1" x14ac:dyDescent="0.3">
      <c r="B338" s="7">
        <v>336</v>
      </c>
      <c r="C338" s="3" t="s">
        <v>342</v>
      </c>
      <c r="D338" s="2" t="s">
        <v>1037</v>
      </c>
      <c r="E338" s="3" t="s">
        <v>1007</v>
      </c>
      <c r="F338" s="3">
        <v>136</v>
      </c>
      <c r="G338" s="3">
        <v>136</v>
      </c>
      <c r="H338" s="8">
        <v>10000</v>
      </c>
      <c r="I338" s="48">
        <f>Table13[[#This Row],[Physical_Stock_Qty]]-Table13[[#This Row],[System_Stock_Qty]]</f>
        <v>0</v>
      </c>
      <c r="J338" s="53" t="str" cm="1">
        <f t="array" ref="J338">_xlfn.IFS(I338=0,"Matched",I338&gt;0,"Excess",I338&lt;0,"Shortage")</f>
        <v>Matched</v>
      </c>
      <c r="K338" s="50">
        <f>ABS(Table13[[#This Row],[Stock Difference]])</f>
        <v>0</v>
      </c>
      <c r="L338" s="17">
        <f t="shared" si="15"/>
        <v>0</v>
      </c>
      <c r="M338" s="17">
        <f t="shared" si="16"/>
        <v>1360000</v>
      </c>
      <c r="N338" s="17" t="str" cm="1">
        <f t="array" ref="N338">_xlfn.IFS(K338=0,"Matched", K338&gt;100,"High", K338&gt;=50,"Medium", K338&lt;50,"Low")</f>
        <v>Matched</v>
      </c>
      <c r="O338" s="17" t="str">
        <f t="shared" si="17"/>
        <v>No Match</v>
      </c>
    </row>
    <row r="339" spans="2:15" hidden="1" x14ac:dyDescent="0.3">
      <c r="B339" s="7">
        <v>337</v>
      </c>
      <c r="C339" s="3" t="s">
        <v>343</v>
      </c>
      <c r="D339" s="2" t="s">
        <v>1018</v>
      </c>
      <c r="E339" s="3" t="s">
        <v>1012</v>
      </c>
      <c r="F339" s="3">
        <v>200</v>
      </c>
      <c r="G339" s="3">
        <v>200</v>
      </c>
      <c r="H339" s="8">
        <v>3000</v>
      </c>
      <c r="I339" s="48">
        <f>Table13[[#This Row],[Physical_Stock_Qty]]-Table13[[#This Row],[System_Stock_Qty]]</f>
        <v>0</v>
      </c>
      <c r="J339" s="53" t="str" cm="1">
        <f t="array" ref="J339">_xlfn.IFS(I339=0,"Matched",I339&gt;0,"Excess",I339&lt;0,"Shortage")</f>
        <v>Matched</v>
      </c>
      <c r="K339" s="50">
        <f>ABS(Table13[[#This Row],[Stock Difference]])</f>
        <v>0</v>
      </c>
      <c r="L339" s="17">
        <f t="shared" si="15"/>
        <v>0</v>
      </c>
      <c r="M339" s="17">
        <f t="shared" si="16"/>
        <v>600000</v>
      </c>
      <c r="N339" s="17" t="str" cm="1">
        <f t="array" ref="N339">_xlfn.IFS(K339=0,"Matched", K339&gt;100,"High", K339&gt;=50,"Medium", K339&lt;50,"Low")</f>
        <v>Matched</v>
      </c>
      <c r="O339" s="17" t="str">
        <f t="shared" si="17"/>
        <v>No Match</v>
      </c>
    </row>
    <row r="340" spans="2:15" x14ac:dyDescent="0.3">
      <c r="B340" s="7">
        <v>338</v>
      </c>
      <c r="C340" s="3" t="s">
        <v>344</v>
      </c>
      <c r="D340" s="2" t="s">
        <v>1038</v>
      </c>
      <c r="E340" s="3" t="s">
        <v>1007</v>
      </c>
      <c r="F340" s="3">
        <v>51</v>
      </c>
      <c r="G340" s="3">
        <v>36</v>
      </c>
      <c r="H340" s="8">
        <v>5000</v>
      </c>
      <c r="I340" s="48">
        <f>Table13[[#This Row],[Physical_Stock_Qty]]-Table13[[#This Row],[System_Stock_Qty]]</f>
        <v>-15</v>
      </c>
      <c r="J340" s="53" t="str" cm="1">
        <f t="array" ref="J340">_xlfn.IFS(I340=0,"Matched",I340&gt;0,"Excess",I340&lt;0,"Shortage")</f>
        <v>Shortage</v>
      </c>
      <c r="K340" s="50">
        <f>ABS(Table13[[#This Row],[Stock Difference]])</f>
        <v>15</v>
      </c>
      <c r="L340" s="17">
        <f t="shared" si="15"/>
        <v>75000</v>
      </c>
      <c r="M340" s="17">
        <f t="shared" si="16"/>
        <v>255000</v>
      </c>
      <c r="N340" s="17" t="str" cm="1">
        <f t="array" ref="N340">_xlfn.IFS(K340=0,"Matched", K340&gt;100,"High", K340&gt;=50,"Medium", K340&lt;50,"Low")</f>
        <v>Low</v>
      </c>
      <c r="O340" s="17" t="str">
        <f t="shared" si="17"/>
        <v>No</v>
      </c>
    </row>
    <row r="341" spans="2:15" x14ac:dyDescent="0.3">
      <c r="B341" s="7">
        <v>339</v>
      </c>
      <c r="C341" s="3" t="s">
        <v>345</v>
      </c>
      <c r="D341" s="2" t="s">
        <v>1082</v>
      </c>
      <c r="E341" s="3" t="s">
        <v>1011</v>
      </c>
      <c r="F341" s="3">
        <v>165</v>
      </c>
      <c r="G341" s="3">
        <v>152</v>
      </c>
      <c r="H341" s="8">
        <v>2000</v>
      </c>
      <c r="I341" s="48">
        <f>Table13[[#This Row],[Physical_Stock_Qty]]-Table13[[#This Row],[System_Stock_Qty]]</f>
        <v>-13</v>
      </c>
      <c r="J341" s="53" t="str" cm="1">
        <f t="array" ref="J341">_xlfn.IFS(I341=0,"Matched",I341&gt;0,"Excess",I341&lt;0,"Shortage")</f>
        <v>Shortage</v>
      </c>
      <c r="K341" s="50">
        <f>ABS(Table13[[#This Row],[Stock Difference]])</f>
        <v>13</v>
      </c>
      <c r="L341" s="17">
        <f t="shared" si="15"/>
        <v>26000</v>
      </c>
      <c r="M341" s="17">
        <f t="shared" si="16"/>
        <v>330000</v>
      </c>
      <c r="N341" s="17" t="str" cm="1">
        <f t="array" ref="N341">_xlfn.IFS(K341=0,"Matched", K341&gt;100,"High", K341&gt;=50,"Medium", K341&lt;50,"Low")</f>
        <v>Low</v>
      </c>
      <c r="O341" s="17" t="str">
        <f t="shared" si="17"/>
        <v>No</v>
      </c>
    </row>
    <row r="342" spans="2:15" x14ac:dyDescent="0.3">
      <c r="B342" s="7">
        <v>340</v>
      </c>
      <c r="C342" s="3" t="s">
        <v>346</v>
      </c>
      <c r="D342" s="2" t="s">
        <v>1066</v>
      </c>
      <c r="E342" s="3" t="s">
        <v>1009</v>
      </c>
      <c r="F342" s="3">
        <v>102</v>
      </c>
      <c r="G342" s="3">
        <v>68</v>
      </c>
      <c r="H342" s="8">
        <v>800</v>
      </c>
      <c r="I342" s="48">
        <f>Table13[[#This Row],[Physical_Stock_Qty]]-Table13[[#This Row],[System_Stock_Qty]]</f>
        <v>-34</v>
      </c>
      <c r="J342" s="53" t="str" cm="1">
        <f t="array" ref="J342">_xlfn.IFS(I342=0,"Matched",I342&gt;0,"Excess",I342&lt;0,"Shortage")</f>
        <v>Shortage</v>
      </c>
      <c r="K342" s="50">
        <f>ABS(Table13[[#This Row],[Stock Difference]])</f>
        <v>34</v>
      </c>
      <c r="L342" s="17">
        <f t="shared" si="15"/>
        <v>27200</v>
      </c>
      <c r="M342" s="17">
        <f t="shared" si="16"/>
        <v>81600</v>
      </c>
      <c r="N342" s="17" t="str" cm="1">
        <f t="array" ref="N342">_xlfn.IFS(K342=0,"Matched", K342&gt;100,"High", K342&gt;=50,"Medium", K342&lt;50,"Low")</f>
        <v>Low</v>
      </c>
      <c r="O342" s="17" t="str">
        <f t="shared" si="17"/>
        <v>No</v>
      </c>
    </row>
    <row r="343" spans="2:15" x14ac:dyDescent="0.3">
      <c r="B343" s="7">
        <v>341</v>
      </c>
      <c r="C343" s="3" t="s">
        <v>347</v>
      </c>
      <c r="D343" s="2" t="s">
        <v>1035</v>
      </c>
      <c r="E343" s="3" t="s">
        <v>1007</v>
      </c>
      <c r="F343" s="3">
        <v>67</v>
      </c>
      <c r="G343" s="3">
        <v>127</v>
      </c>
      <c r="H343" s="8">
        <v>15000</v>
      </c>
      <c r="I343" s="48">
        <f>Table13[[#This Row],[Physical_Stock_Qty]]-Table13[[#This Row],[System_Stock_Qty]]</f>
        <v>60</v>
      </c>
      <c r="J343" s="53" t="str" cm="1">
        <f t="array" ref="J343">_xlfn.IFS(I343=0,"Matched",I343&gt;0,"Excess",I343&lt;0,"Shortage")</f>
        <v>Excess</v>
      </c>
      <c r="K343" s="50">
        <f>ABS(Table13[[#This Row],[Stock Difference]])</f>
        <v>60</v>
      </c>
      <c r="L343" s="17">
        <f t="shared" si="15"/>
        <v>900000</v>
      </c>
      <c r="M343" s="17">
        <f t="shared" si="16"/>
        <v>1005000</v>
      </c>
      <c r="N343" s="17" t="str" cm="1">
        <f t="array" ref="N343">_xlfn.IFS(K343=0,"Matched", K343&gt;100,"High", K343&gt;=50,"Medium", K343&lt;50,"Low")</f>
        <v>Medium</v>
      </c>
      <c r="O343" s="17" t="str">
        <f t="shared" si="17"/>
        <v>Yes</v>
      </c>
    </row>
    <row r="344" spans="2:15" x14ac:dyDescent="0.3">
      <c r="B344" s="7">
        <v>342</v>
      </c>
      <c r="C344" s="3" t="s">
        <v>348</v>
      </c>
      <c r="D344" s="2" t="s">
        <v>1078</v>
      </c>
      <c r="E344" s="3" t="s">
        <v>1011</v>
      </c>
      <c r="F344" s="3">
        <v>122</v>
      </c>
      <c r="G344" s="3">
        <v>157</v>
      </c>
      <c r="H344" s="8">
        <v>200</v>
      </c>
      <c r="I344" s="48">
        <f>Table13[[#This Row],[Physical_Stock_Qty]]-Table13[[#This Row],[System_Stock_Qty]]</f>
        <v>35</v>
      </c>
      <c r="J344" s="53" t="str" cm="1">
        <f t="array" ref="J344">_xlfn.IFS(I344=0,"Matched",I344&gt;0,"Excess",I344&lt;0,"Shortage")</f>
        <v>Excess</v>
      </c>
      <c r="K344" s="50">
        <f>ABS(Table13[[#This Row],[Stock Difference]])</f>
        <v>35</v>
      </c>
      <c r="L344" s="17">
        <f t="shared" si="15"/>
        <v>7000</v>
      </c>
      <c r="M344" s="17">
        <f t="shared" si="16"/>
        <v>24400</v>
      </c>
      <c r="N344" s="17" t="str" cm="1">
        <f t="array" ref="N344">_xlfn.IFS(K344=0,"Matched", K344&gt;100,"High", K344&gt;=50,"Medium", K344&lt;50,"Low")</f>
        <v>Low</v>
      </c>
      <c r="O344" s="17" t="str">
        <f t="shared" si="17"/>
        <v>No</v>
      </c>
    </row>
    <row r="345" spans="2:15" hidden="1" x14ac:dyDescent="0.3">
      <c r="B345" s="7">
        <v>343</v>
      </c>
      <c r="C345" s="3" t="s">
        <v>349</v>
      </c>
      <c r="D345" s="2" t="s">
        <v>1021</v>
      </c>
      <c r="E345" s="3" t="s">
        <v>1008</v>
      </c>
      <c r="F345" s="3">
        <v>119</v>
      </c>
      <c r="G345" s="3">
        <v>119</v>
      </c>
      <c r="H345" s="8">
        <v>20000</v>
      </c>
      <c r="I345" s="48">
        <f>Table13[[#This Row],[Physical_Stock_Qty]]-Table13[[#This Row],[System_Stock_Qty]]</f>
        <v>0</v>
      </c>
      <c r="J345" s="53" t="str" cm="1">
        <f t="array" ref="J345">_xlfn.IFS(I345=0,"Matched",I345&gt;0,"Excess",I345&lt;0,"Shortage")</f>
        <v>Matched</v>
      </c>
      <c r="K345" s="50">
        <f>ABS(Table13[[#This Row],[Stock Difference]])</f>
        <v>0</v>
      </c>
      <c r="L345" s="17">
        <f t="shared" si="15"/>
        <v>0</v>
      </c>
      <c r="M345" s="17">
        <f t="shared" si="16"/>
        <v>2380000</v>
      </c>
      <c r="N345" s="17" t="str" cm="1">
        <f t="array" ref="N345">_xlfn.IFS(K345=0,"Matched", K345&gt;100,"High", K345&gt;=50,"Medium", K345&lt;50,"Low")</f>
        <v>Matched</v>
      </c>
      <c r="O345" s="17" t="str">
        <f t="shared" si="17"/>
        <v>No Match</v>
      </c>
    </row>
    <row r="346" spans="2:15" hidden="1" x14ac:dyDescent="0.3">
      <c r="B346" s="7">
        <v>344</v>
      </c>
      <c r="C346" s="3" t="s">
        <v>350</v>
      </c>
      <c r="D346" s="2" t="s">
        <v>1024</v>
      </c>
      <c r="E346" s="3" t="s">
        <v>1008</v>
      </c>
      <c r="F346" s="3">
        <v>190</v>
      </c>
      <c r="G346" s="3">
        <v>190</v>
      </c>
      <c r="H346" s="8">
        <v>150000</v>
      </c>
      <c r="I346" s="48">
        <f>Table13[[#This Row],[Physical_Stock_Qty]]-Table13[[#This Row],[System_Stock_Qty]]</f>
        <v>0</v>
      </c>
      <c r="J346" s="53" t="str" cm="1">
        <f t="array" ref="J346">_xlfn.IFS(I346=0,"Matched",I346&gt;0,"Excess",I346&lt;0,"Shortage")</f>
        <v>Matched</v>
      </c>
      <c r="K346" s="50">
        <f>ABS(Table13[[#This Row],[Stock Difference]])</f>
        <v>0</v>
      </c>
      <c r="L346" s="17">
        <f t="shared" si="15"/>
        <v>0</v>
      </c>
      <c r="M346" s="17">
        <f t="shared" si="16"/>
        <v>28500000</v>
      </c>
      <c r="N346" s="17" t="str" cm="1">
        <f t="array" ref="N346">_xlfn.IFS(K346=0,"Matched", K346&gt;100,"High", K346&gt;=50,"Medium", K346&lt;50,"Low")</f>
        <v>Matched</v>
      </c>
      <c r="O346" s="17" t="str">
        <f t="shared" si="17"/>
        <v>No Match</v>
      </c>
    </row>
    <row r="347" spans="2:15" hidden="1" x14ac:dyDescent="0.3">
      <c r="B347" s="7">
        <v>345</v>
      </c>
      <c r="C347" s="3" t="s">
        <v>351</v>
      </c>
      <c r="D347" s="2" t="s">
        <v>1084</v>
      </c>
      <c r="E347" s="3" t="s">
        <v>1011</v>
      </c>
      <c r="F347" s="3">
        <v>130</v>
      </c>
      <c r="G347" s="3">
        <v>130</v>
      </c>
      <c r="H347" s="8">
        <v>2000</v>
      </c>
      <c r="I347" s="48">
        <f>Table13[[#This Row],[Physical_Stock_Qty]]-Table13[[#This Row],[System_Stock_Qty]]</f>
        <v>0</v>
      </c>
      <c r="J347" s="53" t="str" cm="1">
        <f t="array" ref="J347">_xlfn.IFS(I347=0,"Matched",I347&gt;0,"Excess",I347&lt;0,"Shortage")</f>
        <v>Matched</v>
      </c>
      <c r="K347" s="50">
        <f>ABS(Table13[[#This Row],[Stock Difference]])</f>
        <v>0</v>
      </c>
      <c r="L347" s="17">
        <f t="shared" si="15"/>
        <v>0</v>
      </c>
      <c r="M347" s="17">
        <f t="shared" si="16"/>
        <v>260000</v>
      </c>
      <c r="N347" s="17" t="str" cm="1">
        <f t="array" ref="N347">_xlfn.IFS(K347=0,"Matched", K347&gt;100,"High", K347&gt;=50,"Medium", K347&lt;50,"Low")</f>
        <v>Matched</v>
      </c>
      <c r="O347" s="17" t="str">
        <f t="shared" si="17"/>
        <v>No Match</v>
      </c>
    </row>
    <row r="348" spans="2:15" hidden="1" x14ac:dyDescent="0.3">
      <c r="B348" s="7">
        <v>346</v>
      </c>
      <c r="C348" s="3" t="s">
        <v>352</v>
      </c>
      <c r="D348" s="2" t="s">
        <v>1060</v>
      </c>
      <c r="E348" s="3" t="s">
        <v>1012</v>
      </c>
      <c r="F348" s="3">
        <v>48</v>
      </c>
      <c r="G348" s="3">
        <v>48</v>
      </c>
      <c r="H348" s="8">
        <v>1500</v>
      </c>
      <c r="I348" s="48">
        <f>Table13[[#This Row],[Physical_Stock_Qty]]-Table13[[#This Row],[System_Stock_Qty]]</f>
        <v>0</v>
      </c>
      <c r="J348" s="53" t="str" cm="1">
        <f t="array" ref="J348">_xlfn.IFS(I348=0,"Matched",I348&gt;0,"Excess",I348&lt;0,"Shortage")</f>
        <v>Matched</v>
      </c>
      <c r="K348" s="50">
        <f>ABS(Table13[[#This Row],[Stock Difference]])</f>
        <v>0</v>
      </c>
      <c r="L348" s="17">
        <f t="shared" si="15"/>
        <v>0</v>
      </c>
      <c r="M348" s="17">
        <f t="shared" si="16"/>
        <v>72000</v>
      </c>
      <c r="N348" s="17" t="str" cm="1">
        <f t="array" ref="N348">_xlfn.IFS(K348=0,"Matched", K348&gt;100,"High", K348&gt;=50,"Medium", K348&lt;50,"Low")</f>
        <v>Matched</v>
      </c>
      <c r="O348" s="17" t="str">
        <f t="shared" si="17"/>
        <v>No Match</v>
      </c>
    </row>
    <row r="349" spans="2:15" hidden="1" x14ac:dyDescent="0.3">
      <c r="B349" s="7">
        <v>347</v>
      </c>
      <c r="C349" s="3" t="s">
        <v>353</v>
      </c>
      <c r="D349" s="2" t="s">
        <v>1058</v>
      </c>
      <c r="E349" s="3" t="s">
        <v>1012</v>
      </c>
      <c r="F349" s="3">
        <v>199</v>
      </c>
      <c r="G349" s="3">
        <v>199</v>
      </c>
      <c r="H349" s="8">
        <v>500</v>
      </c>
      <c r="I349" s="48">
        <f>Table13[[#This Row],[Physical_Stock_Qty]]-Table13[[#This Row],[System_Stock_Qty]]</f>
        <v>0</v>
      </c>
      <c r="J349" s="53" t="str" cm="1">
        <f t="array" ref="J349">_xlfn.IFS(I349=0,"Matched",I349&gt;0,"Excess",I349&lt;0,"Shortage")</f>
        <v>Matched</v>
      </c>
      <c r="K349" s="50">
        <f>ABS(Table13[[#This Row],[Stock Difference]])</f>
        <v>0</v>
      </c>
      <c r="L349" s="17">
        <f t="shared" si="15"/>
        <v>0</v>
      </c>
      <c r="M349" s="17">
        <f t="shared" si="16"/>
        <v>99500</v>
      </c>
      <c r="N349" s="17" t="str" cm="1">
        <f t="array" ref="N349">_xlfn.IFS(K349=0,"Matched", K349&gt;100,"High", K349&gt;=50,"Medium", K349&lt;50,"Low")</f>
        <v>Matched</v>
      </c>
      <c r="O349" s="17" t="str">
        <f t="shared" si="17"/>
        <v>No Match</v>
      </c>
    </row>
    <row r="350" spans="2:15" hidden="1" x14ac:dyDescent="0.3">
      <c r="B350" s="7">
        <v>348</v>
      </c>
      <c r="C350" s="3" t="s">
        <v>354</v>
      </c>
      <c r="D350" s="2" t="s">
        <v>1072</v>
      </c>
      <c r="E350" s="3" t="s">
        <v>1009</v>
      </c>
      <c r="F350" s="3">
        <v>146</v>
      </c>
      <c r="G350" s="3">
        <v>146</v>
      </c>
      <c r="H350" s="8">
        <v>50</v>
      </c>
      <c r="I350" s="48">
        <f>Table13[[#This Row],[Physical_Stock_Qty]]-Table13[[#This Row],[System_Stock_Qty]]</f>
        <v>0</v>
      </c>
      <c r="J350" s="53" t="str" cm="1">
        <f t="array" ref="J350">_xlfn.IFS(I350=0,"Matched",I350&gt;0,"Excess",I350&lt;0,"Shortage")</f>
        <v>Matched</v>
      </c>
      <c r="K350" s="50">
        <f>ABS(Table13[[#This Row],[Stock Difference]])</f>
        <v>0</v>
      </c>
      <c r="L350" s="17">
        <f t="shared" si="15"/>
        <v>0</v>
      </c>
      <c r="M350" s="17">
        <f t="shared" si="16"/>
        <v>7300</v>
      </c>
      <c r="N350" s="17" t="str" cm="1">
        <f t="array" ref="N350">_xlfn.IFS(K350=0,"Matched", K350&gt;100,"High", K350&gt;=50,"Medium", K350&lt;50,"Low")</f>
        <v>Matched</v>
      </c>
      <c r="O350" s="17" t="str">
        <f t="shared" si="17"/>
        <v>No Match</v>
      </c>
    </row>
    <row r="351" spans="2:15" hidden="1" x14ac:dyDescent="0.3">
      <c r="B351" s="7">
        <v>349</v>
      </c>
      <c r="C351" s="3" t="s">
        <v>355</v>
      </c>
      <c r="D351" s="2" t="s">
        <v>1082</v>
      </c>
      <c r="E351" s="3" t="s">
        <v>1011</v>
      </c>
      <c r="F351" s="3">
        <v>179</v>
      </c>
      <c r="G351" s="3">
        <v>179</v>
      </c>
      <c r="H351" s="8">
        <v>2000</v>
      </c>
      <c r="I351" s="48">
        <f>Table13[[#This Row],[Physical_Stock_Qty]]-Table13[[#This Row],[System_Stock_Qty]]</f>
        <v>0</v>
      </c>
      <c r="J351" s="53" t="str" cm="1">
        <f t="array" ref="J351">_xlfn.IFS(I351=0,"Matched",I351&gt;0,"Excess",I351&lt;0,"Shortage")</f>
        <v>Matched</v>
      </c>
      <c r="K351" s="50">
        <f>ABS(Table13[[#This Row],[Stock Difference]])</f>
        <v>0</v>
      </c>
      <c r="L351" s="17">
        <f t="shared" si="15"/>
        <v>0</v>
      </c>
      <c r="M351" s="17">
        <f t="shared" si="16"/>
        <v>358000</v>
      </c>
      <c r="N351" s="17" t="str" cm="1">
        <f t="array" ref="N351">_xlfn.IFS(K351=0,"Matched", K351&gt;100,"High", K351&gt;=50,"Medium", K351&lt;50,"Low")</f>
        <v>Matched</v>
      </c>
      <c r="O351" s="17" t="str">
        <f t="shared" si="17"/>
        <v>No Match</v>
      </c>
    </row>
    <row r="352" spans="2:15" hidden="1" x14ac:dyDescent="0.3">
      <c r="B352" s="7">
        <v>350</v>
      </c>
      <c r="C352" s="3" t="s">
        <v>356</v>
      </c>
      <c r="D352" s="2" t="s">
        <v>1057</v>
      </c>
      <c r="E352" s="3" t="s">
        <v>1012</v>
      </c>
      <c r="F352" s="3">
        <v>89</v>
      </c>
      <c r="G352" s="3">
        <v>89</v>
      </c>
      <c r="H352" s="8">
        <v>500</v>
      </c>
      <c r="I352" s="48">
        <f>Table13[[#This Row],[Physical_Stock_Qty]]-Table13[[#This Row],[System_Stock_Qty]]</f>
        <v>0</v>
      </c>
      <c r="J352" s="53" t="str" cm="1">
        <f t="array" ref="J352">_xlfn.IFS(I352=0,"Matched",I352&gt;0,"Excess",I352&lt;0,"Shortage")</f>
        <v>Matched</v>
      </c>
      <c r="K352" s="50">
        <f>ABS(Table13[[#This Row],[Stock Difference]])</f>
        <v>0</v>
      </c>
      <c r="L352" s="17">
        <f t="shared" si="15"/>
        <v>0</v>
      </c>
      <c r="M352" s="17">
        <f t="shared" si="16"/>
        <v>44500</v>
      </c>
      <c r="N352" s="17" t="str" cm="1">
        <f t="array" ref="N352">_xlfn.IFS(K352=0,"Matched", K352&gt;100,"High", K352&gt;=50,"Medium", K352&lt;50,"Low")</f>
        <v>Matched</v>
      </c>
      <c r="O352" s="17" t="str">
        <f t="shared" si="17"/>
        <v>No Match</v>
      </c>
    </row>
    <row r="353" spans="2:15" hidden="1" x14ac:dyDescent="0.3">
      <c r="B353" s="7">
        <v>351</v>
      </c>
      <c r="C353" s="3" t="s">
        <v>357</v>
      </c>
      <c r="D353" s="2" t="s">
        <v>1030</v>
      </c>
      <c r="E353" s="3" t="s">
        <v>1008</v>
      </c>
      <c r="F353" s="3">
        <v>120</v>
      </c>
      <c r="G353" s="3">
        <v>120</v>
      </c>
      <c r="H353" s="8">
        <v>70000</v>
      </c>
      <c r="I353" s="48">
        <f>Table13[[#This Row],[Physical_Stock_Qty]]-Table13[[#This Row],[System_Stock_Qty]]</f>
        <v>0</v>
      </c>
      <c r="J353" s="53" t="str" cm="1">
        <f t="array" ref="J353">_xlfn.IFS(I353=0,"Matched",I353&gt;0,"Excess",I353&lt;0,"Shortage")</f>
        <v>Matched</v>
      </c>
      <c r="K353" s="50">
        <f>ABS(Table13[[#This Row],[Stock Difference]])</f>
        <v>0</v>
      </c>
      <c r="L353" s="17">
        <f t="shared" si="15"/>
        <v>0</v>
      </c>
      <c r="M353" s="17">
        <f t="shared" si="16"/>
        <v>8400000</v>
      </c>
      <c r="N353" s="17" t="str" cm="1">
        <f t="array" ref="N353">_xlfn.IFS(K353=0,"Matched", K353&gt;100,"High", K353&gt;=50,"Medium", K353&lt;50,"Low")</f>
        <v>Matched</v>
      </c>
      <c r="O353" s="17" t="str">
        <f t="shared" si="17"/>
        <v>No Match</v>
      </c>
    </row>
    <row r="354" spans="2:15" hidden="1" x14ac:dyDescent="0.3">
      <c r="B354" s="7">
        <v>352</v>
      </c>
      <c r="C354" s="3" t="s">
        <v>358</v>
      </c>
      <c r="D354" s="2" t="s">
        <v>1053</v>
      </c>
      <c r="E354" s="3" t="s">
        <v>1010</v>
      </c>
      <c r="F354" s="3">
        <v>101</v>
      </c>
      <c r="G354" s="3">
        <v>101</v>
      </c>
      <c r="H354" s="8">
        <v>10</v>
      </c>
      <c r="I354" s="48">
        <f>Table13[[#This Row],[Physical_Stock_Qty]]-Table13[[#This Row],[System_Stock_Qty]]</f>
        <v>0</v>
      </c>
      <c r="J354" s="53" t="str" cm="1">
        <f t="array" ref="J354">_xlfn.IFS(I354=0,"Matched",I354&gt;0,"Excess",I354&lt;0,"Shortage")</f>
        <v>Matched</v>
      </c>
      <c r="K354" s="50">
        <f>ABS(Table13[[#This Row],[Stock Difference]])</f>
        <v>0</v>
      </c>
      <c r="L354" s="17">
        <f t="shared" si="15"/>
        <v>0</v>
      </c>
      <c r="M354" s="17">
        <f t="shared" si="16"/>
        <v>1010</v>
      </c>
      <c r="N354" s="17" t="str" cm="1">
        <f t="array" ref="N354">_xlfn.IFS(K354=0,"Matched", K354&gt;100,"High", K354&gt;=50,"Medium", K354&lt;50,"Low")</f>
        <v>Matched</v>
      </c>
      <c r="O354" s="17" t="str">
        <f t="shared" si="17"/>
        <v>No Match</v>
      </c>
    </row>
    <row r="355" spans="2:15" hidden="1" x14ac:dyDescent="0.3">
      <c r="B355" s="7">
        <v>353</v>
      </c>
      <c r="C355" s="3" t="s">
        <v>359</v>
      </c>
      <c r="D355" s="2" t="s">
        <v>1045</v>
      </c>
      <c r="E355" s="3" t="s">
        <v>1010</v>
      </c>
      <c r="F355" s="3">
        <v>87</v>
      </c>
      <c r="G355" s="3">
        <v>87</v>
      </c>
      <c r="H355" s="8">
        <v>100</v>
      </c>
      <c r="I355" s="48">
        <f>Table13[[#This Row],[Physical_Stock_Qty]]-Table13[[#This Row],[System_Stock_Qty]]</f>
        <v>0</v>
      </c>
      <c r="J355" s="53" t="str" cm="1">
        <f t="array" ref="J355">_xlfn.IFS(I355=0,"Matched",I355&gt;0,"Excess",I355&lt;0,"Shortage")</f>
        <v>Matched</v>
      </c>
      <c r="K355" s="50">
        <f>ABS(Table13[[#This Row],[Stock Difference]])</f>
        <v>0</v>
      </c>
      <c r="L355" s="17">
        <f t="shared" si="15"/>
        <v>0</v>
      </c>
      <c r="M355" s="17">
        <f t="shared" si="16"/>
        <v>8700</v>
      </c>
      <c r="N355" s="17" t="str" cm="1">
        <f t="array" ref="N355">_xlfn.IFS(K355=0,"Matched", K355&gt;100,"High", K355&gt;=50,"Medium", K355&lt;50,"Low")</f>
        <v>Matched</v>
      </c>
      <c r="O355" s="17" t="str">
        <f t="shared" si="17"/>
        <v>No Match</v>
      </c>
    </row>
    <row r="356" spans="2:15" hidden="1" x14ac:dyDescent="0.3">
      <c r="B356" s="7">
        <v>354</v>
      </c>
      <c r="C356" s="3" t="s">
        <v>360</v>
      </c>
      <c r="D356" s="2" t="s">
        <v>1051</v>
      </c>
      <c r="E356" s="3" t="s">
        <v>1010</v>
      </c>
      <c r="F356" s="3">
        <v>111</v>
      </c>
      <c r="G356" s="3">
        <v>111</v>
      </c>
      <c r="H356" s="8">
        <v>50</v>
      </c>
      <c r="I356" s="48">
        <f>Table13[[#This Row],[Physical_Stock_Qty]]-Table13[[#This Row],[System_Stock_Qty]]</f>
        <v>0</v>
      </c>
      <c r="J356" s="53" t="str" cm="1">
        <f t="array" ref="J356">_xlfn.IFS(I356=0,"Matched",I356&gt;0,"Excess",I356&lt;0,"Shortage")</f>
        <v>Matched</v>
      </c>
      <c r="K356" s="50">
        <f>ABS(Table13[[#This Row],[Stock Difference]])</f>
        <v>0</v>
      </c>
      <c r="L356" s="17">
        <f t="shared" si="15"/>
        <v>0</v>
      </c>
      <c r="M356" s="17">
        <f t="shared" si="16"/>
        <v>5550</v>
      </c>
      <c r="N356" s="17" t="str" cm="1">
        <f t="array" ref="N356">_xlfn.IFS(K356=0,"Matched", K356&gt;100,"High", K356&gt;=50,"Medium", K356&lt;50,"Low")</f>
        <v>Matched</v>
      </c>
      <c r="O356" s="17" t="str">
        <f t="shared" si="17"/>
        <v>No Match</v>
      </c>
    </row>
    <row r="357" spans="2:15" x14ac:dyDescent="0.3">
      <c r="B357" s="7">
        <v>355</v>
      </c>
      <c r="C357" s="3" t="s">
        <v>361</v>
      </c>
      <c r="D357" s="2" t="s">
        <v>1043</v>
      </c>
      <c r="E357" s="3" t="s">
        <v>1010</v>
      </c>
      <c r="F357" s="3">
        <v>36</v>
      </c>
      <c r="G357" s="3">
        <v>113</v>
      </c>
      <c r="H357" s="8">
        <v>50</v>
      </c>
      <c r="I357" s="48">
        <f>Table13[[#This Row],[Physical_Stock_Qty]]-Table13[[#This Row],[System_Stock_Qty]]</f>
        <v>77</v>
      </c>
      <c r="J357" s="53" t="str" cm="1">
        <f t="array" ref="J357">_xlfn.IFS(I357=0,"Matched",I357&gt;0,"Excess",I357&lt;0,"Shortage")</f>
        <v>Excess</v>
      </c>
      <c r="K357" s="50">
        <f>ABS(Table13[[#This Row],[Stock Difference]])</f>
        <v>77</v>
      </c>
      <c r="L357" s="17">
        <f t="shared" si="15"/>
        <v>3850</v>
      </c>
      <c r="M357" s="17">
        <f t="shared" si="16"/>
        <v>1800</v>
      </c>
      <c r="N357" s="17" t="str" cm="1">
        <f t="array" ref="N357">_xlfn.IFS(K357=0,"Matched", K357&gt;100,"High", K357&gt;=50,"Medium", K357&lt;50,"Low")</f>
        <v>Medium</v>
      </c>
      <c r="O357" s="17" t="str">
        <f t="shared" si="17"/>
        <v>No</v>
      </c>
    </row>
    <row r="358" spans="2:15" x14ac:dyDescent="0.3">
      <c r="B358" s="7">
        <v>356</v>
      </c>
      <c r="C358" s="3" t="s">
        <v>362</v>
      </c>
      <c r="D358" s="2" t="s">
        <v>1059</v>
      </c>
      <c r="E358" s="3" t="s">
        <v>1012</v>
      </c>
      <c r="F358" s="3">
        <v>152</v>
      </c>
      <c r="G358" s="3">
        <v>134</v>
      </c>
      <c r="H358" s="8">
        <v>200</v>
      </c>
      <c r="I358" s="48">
        <f>Table13[[#This Row],[Physical_Stock_Qty]]-Table13[[#This Row],[System_Stock_Qty]]</f>
        <v>-18</v>
      </c>
      <c r="J358" s="53" t="str" cm="1">
        <f t="array" ref="J358">_xlfn.IFS(I358=0,"Matched",I358&gt;0,"Excess",I358&lt;0,"Shortage")</f>
        <v>Shortage</v>
      </c>
      <c r="K358" s="50">
        <f>ABS(Table13[[#This Row],[Stock Difference]])</f>
        <v>18</v>
      </c>
      <c r="L358" s="17">
        <f t="shared" si="15"/>
        <v>3600</v>
      </c>
      <c r="M358" s="17">
        <f t="shared" si="16"/>
        <v>30400</v>
      </c>
      <c r="N358" s="17" t="str" cm="1">
        <f t="array" ref="N358">_xlfn.IFS(K358=0,"Matched", K358&gt;100,"High", K358&gt;=50,"Medium", K358&lt;50,"Low")</f>
        <v>Low</v>
      </c>
      <c r="O358" s="17" t="str">
        <f t="shared" si="17"/>
        <v>No</v>
      </c>
    </row>
    <row r="359" spans="2:15" x14ac:dyDescent="0.3">
      <c r="B359" s="7">
        <v>357</v>
      </c>
      <c r="C359" s="3" t="s">
        <v>363</v>
      </c>
      <c r="D359" s="2" t="s">
        <v>1046</v>
      </c>
      <c r="E359" s="3" t="s">
        <v>1010</v>
      </c>
      <c r="F359" s="3">
        <v>68</v>
      </c>
      <c r="G359" s="3">
        <v>168</v>
      </c>
      <c r="H359" s="8">
        <v>100</v>
      </c>
      <c r="I359" s="48">
        <f>Table13[[#This Row],[Physical_Stock_Qty]]-Table13[[#This Row],[System_Stock_Qty]]</f>
        <v>100</v>
      </c>
      <c r="J359" s="53" t="str" cm="1">
        <f t="array" ref="J359">_xlfn.IFS(I359=0,"Matched",I359&gt;0,"Excess",I359&lt;0,"Shortage")</f>
        <v>Excess</v>
      </c>
      <c r="K359" s="50">
        <f>ABS(Table13[[#This Row],[Stock Difference]])</f>
        <v>100</v>
      </c>
      <c r="L359" s="17">
        <f t="shared" si="15"/>
        <v>10000</v>
      </c>
      <c r="M359" s="17">
        <f t="shared" si="16"/>
        <v>6800</v>
      </c>
      <c r="N359" s="17" t="str" cm="1">
        <f t="array" ref="N359">_xlfn.IFS(K359=0,"Matched", K359&gt;100,"High", K359&gt;=50,"Medium", K359&lt;50,"Low")</f>
        <v>Medium</v>
      </c>
      <c r="O359" s="17" t="str">
        <f t="shared" si="17"/>
        <v>No</v>
      </c>
    </row>
    <row r="360" spans="2:15" x14ac:dyDescent="0.3">
      <c r="B360" s="7">
        <v>358</v>
      </c>
      <c r="C360" s="3" t="s">
        <v>364</v>
      </c>
      <c r="D360" s="2" t="s">
        <v>1044</v>
      </c>
      <c r="E360" s="3" t="s">
        <v>1010</v>
      </c>
      <c r="F360" s="3">
        <v>127</v>
      </c>
      <c r="G360" s="3">
        <v>160</v>
      </c>
      <c r="H360" s="8">
        <v>100</v>
      </c>
      <c r="I360" s="48">
        <f>Table13[[#This Row],[Physical_Stock_Qty]]-Table13[[#This Row],[System_Stock_Qty]]</f>
        <v>33</v>
      </c>
      <c r="J360" s="53" t="str" cm="1">
        <f t="array" ref="J360">_xlfn.IFS(I360=0,"Matched",I360&gt;0,"Excess",I360&lt;0,"Shortage")</f>
        <v>Excess</v>
      </c>
      <c r="K360" s="50">
        <f>ABS(Table13[[#This Row],[Stock Difference]])</f>
        <v>33</v>
      </c>
      <c r="L360" s="17">
        <f t="shared" si="15"/>
        <v>3300</v>
      </c>
      <c r="M360" s="17">
        <f t="shared" si="16"/>
        <v>12700</v>
      </c>
      <c r="N360" s="17" t="str" cm="1">
        <f t="array" ref="N360">_xlfn.IFS(K360=0,"Matched", K360&gt;100,"High", K360&gt;=50,"Medium", K360&lt;50,"Low")</f>
        <v>Low</v>
      </c>
      <c r="O360" s="17" t="str">
        <f t="shared" si="17"/>
        <v>No</v>
      </c>
    </row>
    <row r="361" spans="2:15" hidden="1" x14ac:dyDescent="0.3">
      <c r="B361" s="7">
        <v>359</v>
      </c>
      <c r="C361" s="3" t="s">
        <v>365</v>
      </c>
      <c r="D361" s="2" t="s">
        <v>1047</v>
      </c>
      <c r="E361" s="3" t="s">
        <v>1010</v>
      </c>
      <c r="F361" s="3">
        <v>109</v>
      </c>
      <c r="G361" s="3">
        <v>109</v>
      </c>
      <c r="H361" s="8">
        <v>500</v>
      </c>
      <c r="I361" s="48">
        <f>Table13[[#This Row],[Physical_Stock_Qty]]-Table13[[#This Row],[System_Stock_Qty]]</f>
        <v>0</v>
      </c>
      <c r="J361" s="53" t="str" cm="1">
        <f t="array" ref="J361">_xlfn.IFS(I361=0,"Matched",I361&gt;0,"Excess",I361&lt;0,"Shortage")</f>
        <v>Matched</v>
      </c>
      <c r="K361" s="50">
        <f>ABS(Table13[[#This Row],[Stock Difference]])</f>
        <v>0</v>
      </c>
      <c r="L361" s="17">
        <f t="shared" si="15"/>
        <v>0</v>
      </c>
      <c r="M361" s="17">
        <f t="shared" si="16"/>
        <v>54500</v>
      </c>
      <c r="N361" s="17" t="str" cm="1">
        <f t="array" ref="N361">_xlfn.IFS(K361=0,"Matched", K361&gt;100,"High", K361&gt;=50,"Medium", K361&lt;50,"Low")</f>
        <v>Matched</v>
      </c>
      <c r="O361" s="17" t="str">
        <f t="shared" si="17"/>
        <v>No Match</v>
      </c>
    </row>
    <row r="362" spans="2:15" x14ac:dyDescent="0.3">
      <c r="B362" s="7">
        <v>360</v>
      </c>
      <c r="C362" s="3" t="s">
        <v>366</v>
      </c>
      <c r="D362" s="2" t="s">
        <v>1035</v>
      </c>
      <c r="E362" s="3" t="s">
        <v>1007</v>
      </c>
      <c r="F362" s="3">
        <v>157</v>
      </c>
      <c r="G362" s="3">
        <v>81</v>
      </c>
      <c r="H362" s="8">
        <v>15000</v>
      </c>
      <c r="I362" s="48">
        <f>Table13[[#This Row],[Physical_Stock_Qty]]-Table13[[#This Row],[System_Stock_Qty]]</f>
        <v>-76</v>
      </c>
      <c r="J362" s="53" t="str" cm="1">
        <f t="array" ref="J362">_xlfn.IFS(I362=0,"Matched",I362&gt;0,"Excess",I362&lt;0,"Shortage")</f>
        <v>Shortage</v>
      </c>
      <c r="K362" s="50">
        <f>ABS(Table13[[#This Row],[Stock Difference]])</f>
        <v>76</v>
      </c>
      <c r="L362" s="17">
        <f t="shared" si="15"/>
        <v>1140000</v>
      </c>
      <c r="M362" s="17">
        <f t="shared" si="16"/>
        <v>2355000</v>
      </c>
      <c r="N362" s="17" t="str" cm="1">
        <f t="array" ref="N362">_xlfn.IFS(K362=0,"Matched", K362&gt;100,"High", K362&gt;=50,"Medium", K362&lt;50,"Low")</f>
        <v>Medium</v>
      </c>
      <c r="O362" s="17" t="str">
        <f t="shared" si="17"/>
        <v>Yes</v>
      </c>
    </row>
    <row r="363" spans="2:15" x14ac:dyDescent="0.3">
      <c r="B363" s="7">
        <v>361</v>
      </c>
      <c r="C363" s="3" t="s">
        <v>367</v>
      </c>
      <c r="D363" s="2" t="s">
        <v>1074</v>
      </c>
      <c r="E363" s="3" t="s">
        <v>1009</v>
      </c>
      <c r="F363" s="3">
        <v>77</v>
      </c>
      <c r="G363" s="3">
        <v>100</v>
      </c>
      <c r="H363" s="8">
        <v>500</v>
      </c>
      <c r="I363" s="48">
        <f>Table13[[#This Row],[Physical_Stock_Qty]]-Table13[[#This Row],[System_Stock_Qty]]</f>
        <v>23</v>
      </c>
      <c r="J363" s="53" t="str" cm="1">
        <f t="array" ref="J363">_xlfn.IFS(I363=0,"Matched",I363&gt;0,"Excess",I363&lt;0,"Shortage")</f>
        <v>Excess</v>
      </c>
      <c r="K363" s="50">
        <f>ABS(Table13[[#This Row],[Stock Difference]])</f>
        <v>23</v>
      </c>
      <c r="L363" s="17">
        <f t="shared" si="15"/>
        <v>11500</v>
      </c>
      <c r="M363" s="17">
        <f t="shared" si="16"/>
        <v>38500</v>
      </c>
      <c r="N363" s="17" t="str" cm="1">
        <f t="array" ref="N363">_xlfn.IFS(K363=0,"Matched", K363&gt;100,"High", K363&gt;=50,"Medium", K363&lt;50,"Low")</f>
        <v>Low</v>
      </c>
      <c r="O363" s="17" t="str">
        <f t="shared" si="17"/>
        <v>No</v>
      </c>
    </row>
    <row r="364" spans="2:15" x14ac:dyDescent="0.3">
      <c r="B364" s="7">
        <v>362</v>
      </c>
      <c r="C364" s="3" t="s">
        <v>368</v>
      </c>
      <c r="D364" s="2" t="s">
        <v>1079</v>
      </c>
      <c r="E364" s="3" t="s">
        <v>1011</v>
      </c>
      <c r="F364" s="3">
        <v>112</v>
      </c>
      <c r="G364" s="3">
        <v>74</v>
      </c>
      <c r="H364" s="8">
        <v>5000</v>
      </c>
      <c r="I364" s="48">
        <f>Table13[[#This Row],[Physical_Stock_Qty]]-Table13[[#This Row],[System_Stock_Qty]]</f>
        <v>-38</v>
      </c>
      <c r="J364" s="53" t="str" cm="1">
        <f t="array" ref="J364">_xlfn.IFS(I364=0,"Matched",I364&gt;0,"Excess",I364&lt;0,"Shortage")</f>
        <v>Shortage</v>
      </c>
      <c r="K364" s="50">
        <f>ABS(Table13[[#This Row],[Stock Difference]])</f>
        <v>38</v>
      </c>
      <c r="L364" s="17">
        <f t="shared" si="15"/>
        <v>190000</v>
      </c>
      <c r="M364" s="17">
        <f t="shared" si="16"/>
        <v>560000</v>
      </c>
      <c r="N364" s="17" t="str" cm="1">
        <f t="array" ref="N364">_xlfn.IFS(K364=0,"Matched", K364&gt;100,"High", K364&gt;=50,"Medium", K364&lt;50,"Low")</f>
        <v>Low</v>
      </c>
      <c r="O364" s="17" t="str">
        <f t="shared" si="17"/>
        <v>No</v>
      </c>
    </row>
    <row r="365" spans="2:15" x14ac:dyDescent="0.3">
      <c r="B365" s="7">
        <v>363</v>
      </c>
      <c r="C365" s="3" t="s">
        <v>369</v>
      </c>
      <c r="D365" s="2" t="s">
        <v>1029</v>
      </c>
      <c r="E365" s="3" t="s">
        <v>1008</v>
      </c>
      <c r="F365" s="3">
        <v>130</v>
      </c>
      <c r="G365" s="3">
        <v>194</v>
      </c>
      <c r="H365" s="8">
        <v>3000</v>
      </c>
      <c r="I365" s="48">
        <f>Table13[[#This Row],[Physical_Stock_Qty]]-Table13[[#This Row],[System_Stock_Qty]]</f>
        <v>64</v>
      </c>
      <c r="J365" s="53" t="str" cm="1">
        <f t="array" ref="J365">_xlfn.IFS(I365=0,"Matched",I365&gt;0,"Excess",I365&lt;0,"Shortage")</f>
        <v>Excess</v>
      </c>
      <c r="K365" s="50">
        <f>ABS(Table13[[#This Row],[Stock Difference]])</f>
        <v>64</v>
      </c>
      <c r="L365" s="17">
        <f t="shared" si="15"/>
        <v>192000</v>
      </c>
      <c r="M365" s="17">
        <f t="shared" si="16"/>
        <v>390000</v>
      </c>
      <c r="N365" s="17" t="str" cm="1">
        <f t="array" ref="N365">_xlfn.IFS(K365=0,"Matched", K365&gt;100,"High", K365&gt;=50,"Medium", K365&lt;50,"Low")</f>
        <v>Medium</v>
      </c>
      <c r="O365" s="17" t="str">
        <f t="shared" si="17"/>
        <v>No</v>
      </c>
    </row>
    <row r="366" spans="2:15" x14ac:dyDescent="0.3">
      <c r="B366" s="7">
        <v>364</v>
      </c>
      <c r="C366" s="3" t="s">
        <v>370</v>
      </c>
      <c r="D366" s="2" t="s">
        <v>1040</v>
      </c>
      <c r="E366" s="3" t="s">
        <v>1007</v>
      </c>
      <c r="F366" s="3">
        <v>77</v>
      </c>
      <c r="G366" s="3">
        <v>194</v>
      </c>
      <c r="H366" s="8">
        <v>5000</v>
      </c>
      <c r="I366" s="48">
        <f>Table13[[#This Row],[Physical_Stock_Qty]]-Table13[[#This Row],[System_Stock_Qty]]</f>
        <v>117</v>
      </c>
      <c r="J366" s="53" t="str" cm="1">
        <f t="array" ref="J366">_xlfn.IFS(I366=0,"Matched",I366&gt;0,"Excess",I366&lt;0,"Shortage")</f>
        <v>Excess</v>
      </c>
      <c r="K366" s="50">
        <f>ABS(Table13[[#This Row],[Stock Difference]])</f>
        <v>117</v>
      </c>
      <c r="L366" s="17">
        <f t="shared" si="15"/>
        <v>585000</v>
      </c>
      <c r="M366" s="17">
        <f t="shared" si="16"/>
        <v>385000</v>
      </c>
      <c r="N366" s="17" t="str" cm="1">
        <f t="array" ref="N366">_xlfn.IFS(K366=0,"Matched", K366&gt;100,"High", K366&gt;=50,"Medium", K366&lt;50,"Low")</f>
        <v>High</v>
      </c>
      <c r="O366" s="17" t="str">
        <f t="shared" si="17"/>
        <v>Yes</v>
      </c>
    </row>
    <row r="367" spans="2:15" x14ac:dyDescent="0.3">
      <c r="B367" s="7">
        <v>365</v>
      </c>
      <c r="C367" s="3" t="s">
        <v>371</v>
      </c>
      <c r="D367" s="2" t="s">
        <v>1046</v>
      </c>
      <c r="E367" s="3" t="s">
        <v>1010</v>
      </c>
      <c r="F367" s="3">
        <v>157</v>
      </c>
      <c r="G367" s="3">
        <v>181</v>
      </c>
      <c r="H367" s="8">
        <v>100</v>
      </c>
      <c r="I367" s="48">
        <f>Table13[[#This Row],[Physical_Stock_Qty]]-Table13[[#This Row],[System_Stock_Qty]]</f>
        <v>24</v>
      </c>
      <c r="J367" s="53" t="str" cm="1">
        <f t="array" ref="J367">_xlfn.IFS(I367=0,"Matched",I367&gt;0,"Excess",I367&lt;0,"Shortage")</f>
        <v>Excess</v>
      </c>
      <c r="K367" s="50">
        <f>ABS(Table13[[#This Row],[Stock Difference]])</f>
        <v>24</v>
      </c>
      <c r="L367" s="17">
        <f t="shared" si="15"/>
        <v>2400</v>
      </c>
      <c r="M367" s="17">
        <f t="shared" si="16"/>
        <v>15700</v>
      </c>
      <c r="N367" s="17" t="str" cm="1">
        <f t="array" ref="N367">_xlfn.IFS(K367=0,"Matched", K367&gt;100,"High", K367&gt;=50,"Medium", K367&lt;50,"Low")</f>
        <v>Low</v>
      </c>
      <c r="O367" s="17" t="str">
        <f t="shared" si="17"/>
        <v>No</v>
      </c>
    </row>
    <row r="368" spans="2:15" x14ac:dyDescent="0.3">
      <c r="B368" s="7">
        <v>366</v>
      </c>
      <c r="C368" s="3" t="s">
        <v>372</v>
      </c>
      <c r="D368" s="2" t="s">
        <v>1073</v>
      </c>
      <c r="E368" s="3" t="s">
        <v>1009</v>
      </c>
      <c r="F368" s="3">
        <v>96</v>
      </c>
      <c r="G368" s="3">
        <v>82</v>
      </c>
      <c r="H368" s="8">
        <v>100</v>
      </c>
      <c r="I368" s="48">
        <f>Table13[[#This Row],[Physical_Stock_Qty]]-Table13[[#This Row],[System_Stock_Qty]]</f>
        <v>-14</v>
      </c>
      <c r="J368" s="53" t="str" cm="1">
        <f t="array" ref="J368">_xlfn.IFS(I368=0,"Matched",I368&gt;0,"Excess",I368&lt;0,"Shortage")</f>
        <v>Shortage</v>
      </c>
      <c r="K368" s="50">
        <f>ABS(Table13[[#This Row],[Stock Difference]])</f>
        <v>14</v>
      </c>
      <c r="L368" s="17">
        <f t="shared" si="15"/>
        <v>1400</v>
      </c>
      <c r="M368" s="17">
        <f t="shared" si="16"/>
        <v>9600</v>
      </c>
      <c r="N368" s="17" t="str" cm="1">
        <f t="array" ref="N368">_xlfn.IFS(K368=0,"Matched", K368&gt;100,"High", K368&gt;=50,"Medium", K368&lt;50,"Low")</f>
        <v>Low</v>
      </c>
      <c r="O368" s="17" t="str">
        <f t="shared" si="17"/>
        <v>No</v>
      </c>
    </row>
    <row r="369" spans="2:15" x14ac:dyDescent="0.3">
      <c r="B369" s="7">
        <v>367</v>
      </c>
      <c r="C369" s="3" t="s">
        <v>373</v>
      </c>
      <c r="D369" s="2" t="s">
        <v>1079</v>
      </c>
      <c r="E369" s="3" t="s">
        <v>1011</v>
      </c>
      <c r="F369" s="3">
        <v>97</v>
      </c>
      <c r="G369" s="3">
        <v>45</v>
      </c>
      <c r="H369" s="8">
        <v>5000</v>
      </c>
      <c r="I369" s="48">
        <f>Table13[[#This Row],[Physical_Stock_Qty]]-Table13[[#This Row],[System_Stock_Qty]]</f>
        <v>-52</v>
      </c>
      <c r="J369" s="53" t="str" cm="1">
        <f t="array" ref="J369">_xlfn.IFS(I369=0,"Matched",I369&gt;0,"Excess",I369&lt;0,"Shortage")</f>
        <v>Shortage</v>
      </c>
      <c r="K369" s="50">
        <f>ABS(Table13[[#This Row],[Stock Difference]])</f>
        <v>52</v>
      </c>
      <c r="L369" s="17">
        <f t="shared" si="15"/>
        <v>260000</v>
      </c>
      <c r="M369" s="17">
        <f t="shared" si="16"/>
        <v>485000</v>
      </c>
      <c r="N369" s="17" t="str" cm="1">
        <f t="array" ref="N369">_xlfn.IFS(K369=0,"Matched", K369&gt;100,"High", K369&gt;=50,"Medium", K369&lt;50,"Low")</f>
        <v>Medium</v>
      </c>
      <c r="O369" s="17" t="str">
        <f t="shared" si="17"/>
        <v>No</v>
      </c>
    </row>
    <row r="370" spans="2:15" x14ac:dyDescent="0.3">
      <c r="B370" s="7">
        <v>368</v>
      </c>
      <c r="C370" s="3" t="s">
        <v>374</v>
      </c>
      <c r="D370" s="2" t="s">
        <v>1045</v>
      </c>
      <c r="E370" s="3" t="s">
        <v>1010</v>
      </c>
      <c r="F370" s="3">
        <v>144</v>
      </c>
      <c r="G370" s="3">
        <v>194</v>
      </c>
      <c r="H370" s="8">
        <v>100</v>
      </c>
      <c r="I370" s="48">
        <f>Table13[[#This Row],[Physical_Stock_Qty]]-Table13[[#This Row],[System_Stock_Qty]]</f>
        <v>50</v>
      </c>
      <c r="J370" s="53" t="str" cm="1">
        <f t="array" ref="J370">_xlfn.IFS(I370=0,"Matched",I370&gt;0,"Excess",I370&lt;0,"Shortage")</f>
        <v>Excess</v>
      </c>
      <c r="K370" s="50">
        <f>ABS(Table13[[#This Row],[Stock Difference]])</f>
        <v>50</v>
      </c>
      <c r="L370" s="17">
        <f t="shared" si="15"/>
        <v>5000</v>
      </c>
      <c r="M370" s="17">
        <f t="shared" si="16"/>
        <v>14400</v>
      </c>
      <c r="N370" s="17" t="str" cm="1">
        <f t="array" ref="N370">_xlfn.IFS(K370=0,"Matched", K370&gt;100,"High", K370&gt;=50,"Medium", K370&lt;50,"Low")</f>
        <v>Medium</v>
      </c>
      <c r="O370" s="17" t="str">
        <f t="shared" si="17"/>
        <v>No</v>
      </c>
    </row>
    <row r="371" spans="2:15" hidden="1" x14ac:dyDescent="0.3">
      <c r="B371" s="7">
        <v>369</v>
      </c>
      <c r="C371" s="3" t="s">
        <v>375</v>
      </c>
      <c r="D371" s="2" t="s">
        <v>1049</v>
      </c>
      <c r="E371" s="3" t="s">
        <v>1010</v>
      </c>
      <c r="F371" s="3">
        <v>153</v>
      </c>
      <c r="G371" s="3">
        <v>153</v>
      </c>
      <c r="H371" s="8">
        <v>20</v>
      </c>
      <c r="I371" s="48">
        <f>Table13[[#This Row],[Physical_Stock_Qty]]-Table13[[#This Row],[System_Stock_Qty]]</f>
        <v>0</v>
      </c>
      <c r="J371" s="53" t="str" cm="1">
        <f t="array" ref="J371">_xlfn.IFS(I371=0,"Matched",I371&gt;0,"Excess",I371&lt;0,"Shortage")</f>
        <v>Matched</v>
      </c>
      <c r="K371" s="50">
        <f>ABS(Table13[[#This Row],[Stock Difference]])</f>
        <v>0</v>
      </c>
      <c r="L371" s="17">
        <f t="shared" si="15"/>
        <v>0</v>
      </c>
      <c r="M371" s="17">
        <f t="shared" si="16"/>
        <v>3060</v>
      </c>
      <c r="N371" s="17" t="str" cm="1">
        <f t="array" ref="N371">_xlfn.IFS(K371=0,"Matched", K371&gt;100,"High", K371&gt;=50,"Medium", K371&lt;50,"Low")</f>
        <v>Matched</v>
      </c>
      <c r="O371" s="17" t="str">
        <f t="shared" si="17"/>
        <v>No Match</v>
      </c>
    </row>
    <row r="372" spans="2:15" hidden="1" x14ac:dyDescent="0.3">
      <c r="B372" s="7">
        <v>370</v>
      </c>
      <c r="C372" s="3" t="s">
        <v>376</v>
      </c>
      <c r="D372" s="2" t="s">
        <v>1051</v>
      </c>
      <c r="E372" s="3" t="s">
        <v>1010</v>
      </c>
      <c r="F372" s="3">
        <v>176</v>
      </c>
      <c r="G372" s="3">
        <v>176</v>
      </c>
      <c r="H372" s="8">
        <v>50</v>
      </c>
      <c r="I372" s="48">
        <f>Table13[[#This Row],[Physical_Stock_Qty]]-Table13[[#This Row],[System_Stock_Qty]]</f>
        <v>0</v>
      </c>
      <c r="J372" s="53" t="str" cm="1">
        <f t="array" ref="J372">_xlfn.IFS(I372=0,"Matched",I372&gt;0,"Excess",I372&lt;0,"Shortage")</f>
        <v>Matched</v>
      </c>
      <c r="K372" s="50">
        <f>ABS(Table13[[#This Row],[Stock Difference]])</f>
        <v>0</v>
      </c>
      <c r="L372" s="17">
        <f t="shared" si="15"/>
        <v>0</v>
      </c>
      <c r="M372" s="17">
        <f t="shared" si="16"/>
        <v>8800</v>
      </c>
      <c r="N372" s="17" t="str" cm="1">
        <f t="array" ref="N372">_xlfn.IFS(K372=0,"Matched", K372&gt;100,"High", K372&gt;=50,"Medium", K372&lt;50,"Low")</f>
        <v>Matched</v>
      </c>
      <c r="O372" s="17" t="str">
        <f t="shared" si="17"/>
        <v>No Match</v>
      </c>
    </row>
    <row r="373" spans="2:15" hidden="1" x14ac:dyDescent="0.3">
      <c r="B373" s="7">
        <v>371</v>
      </c>
      <c r="C373" s="3" t="s">
        <v>377</v>
      </c>
      <c r="D373" s="2" t="s">
        <v>1070</v>
      </c>
      <c r="E373" s="3" t="s">
        <v>1009</v>
      </c>
      <c r="F373" s="3">
        <v>139</v>
      </c>
      <c r="G373" s="3">
        <v>139</v>
      </c>
      <c r="H373" s="8">
        <v>1500</v>
      </c>
      <c r="I373" s="48">
        <f>Table13[[#This Row],[Physical_Stock_Qty]]-Table13[[#This Row],[System_Stock_Qty]]</f>
        <v>0</v>
      </c>
      <c r="J373" s="53" t="str" cm="1">
        <f t="array" ref="J373">_xlfn.IFS(I373=0,"Matched",I373&gt;0,"Excess",I373&lt;0,"Shortage")</f>
        <v>Matched</v>
      </c>
      <c r="K373" s="50">
        <f>ABS(Table13[[#This Row],[Stock Difference]])</f>
        <v>0</v>
      </c>
      <c r="L373" s="17">
        <f t="shared" si="15"/>
        <v>0</v>
      </c>
      <c r="M373" s="17">
        <f t="shared" si="16"/>
        <v>208500</v>
      </c>
      <c r="N373" s="17" t="str" cm="1">
        <f t="array" ref="N373">_xlfn.IFS(K373=0,"Matched", K373&gt;100,"High", K373&gt;=50,"Medium", K373&lt;50,"Low")</f>
        <v>Matched</v>
      </c>
      <c r="O373" s="17" t="str">
        <f t="shared" si="17"/>
        <v>No Match</v>
      </c>
    </row>
    <row r="374" spans="2:15" hidden="1" x14ac:dyDescent="0.3">
      <c r="B374" s="7">
        <v>372</v>
      </c>
      <c r="C374" s="3" t="s">
        <v>378</v>
      </c>
      <c r="D374" s="2" t="s">
        <v>1038</v>
      </c>
      <c r="E374" s="3" t="s">
        <v>1007</v>
      </c>
      <c r="F374" s="3">
        <v>77</v>
      </c>
      <c r="G374" s="3">
        <v>77</v>
      </c>
      <c r="H374" s="8">
        <v>5000</v>
      </c>
      <c r="I374" s="48">
        <f>Table13[[#This Row],[Physical_Stock_Qty]]-Table13[[#This Row],[System_Stock_Qty]]</f>
        <v>0</v>
      </c>
      <c r="J374" s="53" t="str" cm="1">
        <f t="array" ref="J374">_xlfn.IFS(I374=0,"Matched",I374&gt;0,"Excess",I374&lt;0,"Shortage")</f>
        <v>Matched</v>
      </c>
      <c r="K374" s="50">
        <f>ABS(Table13[[#This Row],[Stock Difference]])</f>
        <v>0</v>
      </c>
      <c r="L374" s="17">
        <f t="shared" si="15"/>
        <v>0</v>
      </c>
      <c r="M374" s="17">
        <f t="shared" si="16"/>
        <v>385000</v>
      </c>
      <c r="N374" s="17" t="str" cm="1">
        <f t="array" ref="N374">_xlfn.IFS(K374=0,"Matched", K374&gt;100,"High", K374&gt;=50,"Medium", K374&lt;50,"Low")</f>
        <v>Matched</v>
      </c>
      <c r="O374" s="17" t="str">
        <f t="shared" si="17"/>
        <v>No Match</v>
      </c>
    </row>
    <row r="375" spans="2:15" hidden="1" x14ac:dyDescent="0.3">
      <c r="B375" s="7">
        <v>373</v>
      </c>
      <c r="C375" s="3" t="s">
        <v>379</v>
      </c>
      <c r="D375" s="2" t="s">
        <v>1056</v>
      </c>
      <c r="E375" s="3" t="s">
        <v>1012</v>
      </c>
      <c r="F375" s="3">
        <v>57</v>
      </c>
      <c r="G375" s="3">
        <v>57</v>
      </c>
      <c r="H375" s="8">
        <v>100</v>
      </c>
      <c r="I375" s="48">
        <f>Table13[[#This Row],[Physical_Stock_Qty]]-Table13[[#This Row],[System_Stock_Qty]]</f>
        <v>0</v>
      </c>
      <c r="J375" s="53" t="str" cm="1">
        <f t="array" ref="J375">_xlfn.IFS(I375=0,"Matched",I375&gt;0,"Excess",I375&lt;0,"Shortage")</f>
        <v>Matched</v>
      </c>
      <c r="K375" s="50">
        <f>ABS(Table13[[#This Row],[Stock Difference]])</f>
        <v>0</v>
      </c>
      <c r="L375" s="17">
        <f t="shared" si="15"/>
        <v>0</v>
      </c>
      <c r="M375" s="17">
        <f t="shared" si="16"/>
        <v>5700</v>
      </c>
      <c r="N375" s="17" t="str" cm="1">
        <f t="array" ref="N375">_xlfn.IFS(K375=0,"Matched", K375&gt;100,"High", K375&gt;=50,"Medium", K375&lt;50,"Low")</f>
        <v>Matched</v>
      </c>
      <c r="O375" s="17" t="str">
        <f t="shared" si="17"/>
        <v>No Match</v>
      </c>
    </row>
    <row r="376" spans="2:15" hidden="1" x14ac:dyDescent="0.3">
      <c r="B376" s="7">
        <v>374</v>
      </c>
      <c r="C376" s="3" t="s">
        <v>380</v>
      </c>
      <c r="D376" s="2" t="s">
        <v>1061</v>
      </c>
      <c r="E376" s="3" t="s">
        <v>1012</v>
      </c>
      <c r="F376" s="3">
        <v>160</v>
      </c>
      <c r="G376" s="3">
        <v>160</v>
      </c>
      <c r="H376" s="8">
        <v>500</v>
      </c>
      <c r="I376" s="48">
        <f>Table13[[#This Row],[Physical_Stock_Qty]]-Table13[[#This Row],[System_Stock_Qty]]</f>
        <v>0</v>
      </c>
      <c r="J376" s="53" t="str" cm="1">
        <f t="array" ref="J376">_xlfn.IFS(I376=0,"Matched",I376&gt;0,"Excess",I376&lt;0,"Shortage")</f>
        <v>Matched</v>
      </c>
      <c r="K376" s="50">
        <f>ABS(Table13[[#This Row],[Stock Difference]])</f>
        <v>0</v>
      </c>
      <c r="L376" s="17">
        <f t="shared" si="15"/>
        <v>0</v>
      </c>
      <c r="M376" s="17">
        <f t="shared" si="16"/>
        <v>80000</v>
      </c>
      <c r="N376" s="17" t="str" cm="1">
        <f t="array" ref="N376">_xlfn.IFS(K376=0,"Matched", K376&gt;100,"High", K376&gt;=50,"Medium", K376&lt;50,"Low")</f>
        <v>Matched</v>
      </c>
      <c r="O376" s="17" t="str">
        <f t="shared" si="17"/>
        <v>No Match</v>
      </c>
    </row>
    <row r="377" spans="2:15" hidden="1" x14ac:dyDescent="0.3">
      <c r="B377" s="7">
        <v>375</v>
      </c>
      <c r="C377" s="3" t="s">
        <v>381</v>
      </c>
      <c r="D377" s="2" t="s">
        <v>1059</v>
      </c>
      <c r="E377" s="3" t="s">
        <v>1012</v>
      </c>
      <c r="F377" s="3">
        <v>169</v>
      </c>
      <c r="G377" s="3">
        <v>169</v>
      </c>
      <c r="H377" s="8">
        <v>200</v>
      </c>
      <c r="I377" s="48">
        <f>Table13[[#This Row],[Physical_Stock_Qty]]-Table13[[#This Row],[System_Stock_Qty]]</f>
        <v>0</v>
      </c>
      <c r="J377" s="53" t="str" cm="1">
        <f t="array" ref="J377">_xlfn.IFS(I377=0,"Matched",I377&gt;0,"Excess",I377&lt;0,"Shortage")</f>
        <v>Matched</v>
      </c>
      <c r="K377" s="50">
        <f>ABS(Table13[[#This Row],[Stock Difference]])</f>
        <v>0</v>
      </c>
      <c r="L377" s="17">
        <f t="shared" si="15"/>
        <v>0</v>
      </c>
      <c r="M377" s="17">
        <f t="shared" si="16"/>
        <v>33800</v>
      </c>
      <c r="N377" s="17" t="str" cm="1">
        <f t="array" ref="N377">_xlfn.IFS(K377=0,"Matched", K377&gt;100,"High", K377&gt;=50,"Medium", K377&lt;50,"Low")</f>
        <v>Matched</v>
      </c>
      <c r="O377" s="17" t="str">
        <f t="shared" si="17"/>
        <v>No Match</v>
      </c>
    </row>
    <row r="378" spans="2:15" hidden="1" x14ac:dyDescent="0.3">
      <c r="B378" s="7">
        <v>376</v>
      </c>
      <c r="C378" s="3" t="s">
        <v>382</v>
      </c>
      <c r="D378" s="2" t="s">
        <v>1059</v>
      </c>
      <c r="E378" s="3" t="s">
        <v>1012</v>
      </c>
      <c r="F378" s="3">
        <v>114</v>
      </c>
      <c r="G378" s="3">
        <v>114</v>
      </c>
      <c r="H378" s="8">
        <v>200</v>
      </c>
      <c r="I378" s="48">
        <f>Table13[[#This Row],[Physical_Stock_Qty]]-Table13[[#This Row],[System_Stock_Qty]]</f>
        <v>0</v>
      </c>
      <c r="J378" s="53" t="str" cm="1">
        <f t="array" ref="J378">_xlfn.IFS(I378=0,"Matched",I378&gt;0,"Excess",I378&lt;0,"Shortage")</f>
        <v>Matched</v>
      </c>
      <c r="K378" s="50">
        <f>ABS(Table13[[#This Row],[Stock Difference]])</f>
        <v>0</v>
      </c>
      <c r="L378" s="17">
        <f t="shared" si="15"/>
        <v>0</v>
      </c>
      <c r="M378" s="17">
        <f t="shared" si="16"/>
        <v>22800</v>
      </c>
      <c r="N378" s="17" t="str" cm="1">
        <f t="array" ref="N378">_xlfn.IFS(K378=0,"Matched", K378&gt;100,"High", K378&gt;=50,"Medium", K378&lt;50,"Low")</f>
        <v>Matched</v>
      </c>
      <c r="O378" s="17" t="str">
        <f t="shared" si="17"/>
        <v>No Match</v>
      </c>
    </row>
    <row r="379" spans="2:15" hidden="1" x14ac:dyDescent="0.3">
      <c r="B379" s="7">
        <v>377</v>
      </c>
      <c r="C379" s="3" t="s">
        <v>383</v>
      </c>
      <c r="D379" s="2" t="s">
        <v>1080</v>
      </c>
      <c r="E379" s="3" t="s">
        <v>1011</v>
      </c>
      <c r="F379" s="3">
        <v>183</v>
      </c>
      <c r="G379" s="3">
        <v>183</v>
      </c>
      <c r="H379" s="8">
        <v>2500</v>
      </c>
      <c r="I379" s="48">
        <f>Table13[[#This Row],[Physical_Stock_Qty]]-Table13[[#This Row],[System_Stock_Qty]]</f>
        <v>0</v>
      </c>
      <c r="J379" s="53" t="str" cm="1">
        <f t="array" ref="J379">_xlfn.IFS(I379=0,"Matched",I379&gt;0,"Excess",I379&lt;0,"Shortage")</f>
        <v>Matched</v>
      </c>
      <c r="K379" s="50">
        <f>ABS(Table13[[#This Row],[Stock Difference]])</f>
        <v>0</v>
      </c>
      <c r="L379" s="17">
        <f t="shared" si="15"/>
        <v>0</v>
      </c>
      <c r="M379" s="17">
        <f t="shared" si="16"/>
        <v>457500</v>
      </c>
      <c r="N379" s="17" t="str" cm="1">
        <f t="array" ref="N379">_xlfn.IFS(K379=0,"Matched", K379&gt;100,"High", K379&gt;=50,"Medium", K379&lt;50,"Low")</f>
        <v>Matched</v>
      </c>
      <c r="O379" s="17" t="str">
        <f t="shared" si="17"/>
        <v>No Match</v>
      </c>
    </row>
    <row r="380" spans="2:15" x14ac:dyDescent="0.3">
      <c r="B380" s="7">
        <v>378</v>
      </c>
      <c r="C380" s="3" t="s">
        <v>384</v>
      </c>
      <c r="D380" s="2" t="s">
        <v>1063</v>
      </c>
      <c r="E380" s="3" t="s">
        <v>1009</v>
      </c>
      <c r="F380" s="3">
        <v>189</v>
      </c>
      <c r="G380" s="3">
        <v>187</v>
      </c>
      <c r="H380" s="8">
        <v>4500</v>
      </c>
      <c r="I380" s="48">
        <f>Table13[[#This Row],[Physical_Stock_Qty]]-Table13[[#This Row],[System_Stock_Qty]]</f>
        <v>-2</v>
      </c>
      <c r="J380" s="53" t="str" cm="1">
        <f t="array" ref="J380">_xlfn.IFS(I380=0,"Matched",I380&gt;0,"Excess",I380&lt;0,"Shortage")</f>
        <v>Shortage</v>
      </c>
      <c r="K380" s="50">
        <f>ABS(Table13[[#This Row],[Stock Difference]])</f>
        <v>2</v>
      </c>
      <c r="L380" s="17">
        <f t="shared" si="15"/>
        <v>9000</v>
      </c>
      <c r="M380" s="17">
        <f t="shared" si="16"/>
        <v>850500</v>
      </c>
      <c r="N380" s="17" t="str" cm="1">
        <f t="array" ref="N380">_xlfn.IFS(K380=0,"Matched", K380&gt;100,"High", K380&gt;=50,"Medium", K380&lt;50,"Low")</f>
        <v>Low</v>
      </c>
      <c r="O380" s="17" t="str">
        <f t="shared" si="17"/>
        <v>No</v>
      </c>
    </row>
    <row r="381" spans="2:15" x14ac:dyDescent="0.3">
      <c r="B381" s="7">
        <v>379</v>
      </c>
      <c r="C381" s="3" t="s">
        <v>385</v>
      </c>
      <c r="D381" s="2" t="s">
        <v>1079</v>
      </c>
      <c r="E381" s="3" t="s">
        <v>1011</v>
      </c>
      <c r="F381" s="3">
        <v>62</v>
      </c>
      <c r="G381" s="3">
        <v>139</v>
      </c>
      <c r="H381" s="8">
        <v>5000</v>
      </c>
      <c r="I381" s="48">
        <f>Table13[[#This Row],[Physical_Stock_Qty]]-Table13[[#This Row],[System_Stock_Qty]]</f>
        <v>77</v>
      </c>
      <c r="J381" s="53" t="str" cm="1">
        <f t="array" ref="J381">_xlfn.IFS(I381=0,"Matched",I381&gt;0,"Excess",I381&lt;0,"Shortage")</f>
        <v>Excess</v>
      </c>
      <c r="K381" s="50">
        <f>ABS(Table13[[#This Row],[Stock Difference]])</f>
        <v>77</v>
      </c>
      <c r="L381" s="17">
        <f t="shared" si="15"/>
        <v>385000</v>
      </c>
      <c r="M381" s="17">
        <f t="shared" si="16"/>
        <v>310000</v>
      </c>
      <c r="N381" s="17" t="str" cm="1">
        <f t="array" ref="N381">_xlfn.IFS(K381=0,"Matched", K381&gt;100,"High", K381&gt;=50,"Medium", K381&lt;50,"Low")</f>
        <v>Medium</v>
      </c>
      <c r="O381" s="17" t="str">
        <f t="shared" si="17"/>
        <v>No</v>
      </c>
    </row>
    <row r="382" spans="2:15" x14ac:dyDescent="0.3">
      <c r="B382" s="7">
        <v>380</v>
      </c>
      <c r="C382" s="3" t="s">
        <v>386</v>
      </c>
      <c r="D382" s="2" t="s">
        <v>1082</v>
      </c>
      <c r="E382" s="3" t="s">
        <v>1011</v>
      </c>
      <c r="F382" s="3">
        <v>71</v>
      </c>
      <c r="G382" s="3">
        <v>60</v>
      </c>
      <c r="H382" s="8">
        <v>2000</v>
      </c>
      <c r="I382" s="48">
        <f>Table13[[#This Row],[Physical_Stock_Qty]]-Table13[[#This Row],[System_Stock_Qty]]</f>
        <v>-11</v>
      </c>
      <c r="J382" s="53" t="str" cm="1">
        <f t="array" ref="J382">_xlfn.IFS(I382=0,"Matched",I382&gt;0,"Excess",I382&lt;0,"Shortage")</f>
        <v>Shortage</v>
      </c>
      <c r="K382" s="50">
        <f>ABS(Table13[[#This Row],[Stock Difference]])</f>
        <v>11</v>
      </c>
      <c r="L382" s="17">
        <f t="shared" si="15"/>
        <v>22000</v>
      </c>
      <c r="M382" s="17">
        <f t="shared" si="16"/>
        <v>142000</v>
      </c>
      <c r="N382" s="17" t="str" cm="1">
        <f t="array" ref="N382">_xlfn.IFS(K382=0,"Matched", K382&gt;100,"High", K382&gt;=50,"Medium", K382&lt;50,"Low")</f>
        <v>Low</v>
      </c>
      <c r="O382" s="17" t="str">
        <f t="shared" si="17"/>
        <v>No</v>
      </c>
    </row>
    <row r="383" spans="2:15" x14ac:dyDescent="0.3">
      <c r="B383" s="7">
        <v>381</v>
      </c>
      <c r="C383" s="3" t="s">
        <v>387</v>
      </c>
      <c r="D383" s="2" t="s">
        <v>1078</v>
      </c>
      <c r="E383" s="3" t="s">
        <v>1011</v>
      </c>
      <c r="F383" s="3">
        <v>148</v>
      </c>
      <c r="G383" s="3">
        <v>124</v>
      </c>
      <c r="H383" s="8">
        <v>200</v>
      </c>
      <c r="I383" s="48">
        <f>Table13[[#This Row],[Physical_Stock_Qty]]-Table13[[#This Row],[System_Stock_Qty]]</f>
        <v>-24</v>
      </c>
      <c r="J383" s="53" t="str" cm="1">
        <f t="array" ref="J383">_xlfn.IFS(I383=0,"Matched",I383&gt;0,"Excess",I383&lt;0,"Shortage")</f>
        <v>Shortage</v>
      </c>
      <c r="K383" s="50">
        <f>ABS(Table13[[#This Row],[Stock Difference]])</f>
        <v>24</v>
      </c>
      <c r="L383" s="17">
        <f t="shared" si="15"/>
        <v>4800</v>
      </c>
      <c r="M383" s="17">
        <f t="shared" si="16"/>
        <v>29600</v>
      </c>
      <c r="N383" s="17" t="str" cm="1">
        <f t="array" ref="N383">_xlfn.IFS(K383=0,"Matched", K383&gt;100,"High", K383&gt;=50,"Medium", K383&lt;50,"Low")</f>
        <v>Low</v>
      </c>
      <c r="O383" s="17" t="str">
        <f t="shared" si="17"/>
        <v>No</v>
      </c>
    </row>
    <row r="384" spans="2:15" x14ac:dyDescent="0.3">
      <c r="B384" s="7">
        <v>382</v>
      </c>
      <c r="C384" s="3" t="s">
        <v>388</v>
      </c>
      <c r="D384" s="2" t="s">
        <v>1029</v>
      </c>
      <c r="E384" s="3" t="s">
        <v>1008</v>
      </c>
      <c r="F384" s="3">
        <v>186</v>
      </c>
      <c r="G384" s="3">
        <v>118</v>
      </c>
      <c r="H384" s="8">
        <v>3000</v>
      </c>
      <c r="I384" s="48">
        <f>Table13[[#This Row],[Physical_Stock_Qty]]-Table13[[#This Row],[System_Stock_Qty]]</f>
        <v>-68</v>
      </c>
      <c r="J384" s="53" t="str" cm="1">
        <f t="array" ref="J384">_xlfn.IFS(I384=0,"Matched",I384&gt;0,"Excess",I384&lt;0,"Shortage")</f>
        <v>Shortage</v>
      </c>
      <c r="K384" s="50">
        <f>ABS(Table13[[#This Row],[Stock Difference]])</f>
        <v>68</v>
      </c>
      <c r="L384" s="17">
        <f t="shared" si="15"/>
        <v>204000</v>
      </c>
      <c r="M384" s="17">
        <f t="shared" si="16"/>
        <v>558000</v>
      </c>
      <c r="N384" s="17" t="str" cm="1">
        <f t="array" ref="N384">_xlfn.IFS(K384=0,"Matched", K384&gt;100,"High", K384&gt;=50,"Medium", K384&lt;50,"Low")</f>
        <v>Medium</v>
      </c>
      <c r="O384" s="17" t="str">
        <f t="shared" si="17"/>
        <v>No</v>
      </c>
    </row>
    <row r="385" spans="2:15" x14ac:dyDescent="0.3">
      <c r="B385" s="7">
        <v>383</v>
      </c>
      <c r="C385" s="3" t="s">
        <v>389</v>
      </c>
      <c r="D385" s="2" t="s">
        <v>1035</v>
      </c>
      <c r="E385" s="3" t="s">
        <v>1007</v>
      </c>
      <c r="F385" s="3">
        <v>94</v>
      </c>
      <c r="G385" s="3">
        <v>150</v>
      </c>
      <c r="H385" s="8">
        <v>15000</v>
      </c>
      <c r="I385" s="48">
        <f>Table13[[#This Row],[Physical_Stock_Qty]]-Table13[[#This Row],[System_Stock_Qty]]</f>
        <v>56</v>
      </c>
      <c r="J385" s="53" t="str" cm="1">
        <f t="array" ref="J385">_xlfn.IFS(I385=0,"Matched",I385&gt;0,"Excess",I385&lt;0,"Shortage")</f>
        <v>Excess</v>
      </c>
      <c r="K385" s="50">
        <f>ABS(Table13[[#This Row],[Stock Difference]])</f>
        <v>56</v>
      </c>
      <c r="L385" s="17">
        <f t="shared" si="15"/>
        <v>840000</v>
      </c>
      <c r="M385" s="17">
        <f t="shared" si="16"/>
        <v>1410000</v>
      </c>
      <c r="N385" s="17" t="str" cm="1">
        <f t="array" ref="N385">_xlfn.IFS(K385=0,"Matched", K385&gt;100,"High", K385&gt;=50,"Medium", K385&lt;50,"Low")</f>
        <v>Medium</v>
      </c>
      <c r="O385" s="17" t="str">
        <f t="shared" si="17"/>
        <v>Yes</v>
      </c>
    </row>
    <row r="386" spans="2:15" x14ac:dyDescent="0.3">
      <c r="B386" s="7">
        <v>384</v>
      </c>
      <c r="C386" s="3" t="s">
        <v>390</v>
      </c>
      <c r="D386" s="2" t="s">
        <v>1045</v>
      </c>
      <c r="E386" s="3" t="s">
        <v>1010</v>
      </c>
      <c r="F386" s="3">
        <v>158</v>
      </c>
      <c r="G386" s="3">
        <v>53</v>
      </c>
      <c r="H386" s="8">
        <v>100</v>
      </c>
      <c r="I386" s="48">
        <f>Table13[[#This Row],[Physical_Stock_Qty]]-Table13[[#This Row],[System_Stock_Qty]]</f>
        <v>-105</v>
      </c>
      <c r="J386" s="53" t="str" cm="1">
        <f t="array" ref="J386">_xlfn.IFS(I386=0,"Matched",I386&gt;0,"Excess",I386&lt;0,"Shortage")</f>
        <v>Shortage</v>
      </c>
      <c r="K386" s="50">
        <f>ABS(Table13[[#This Row],[Stock Difference]])</f>
        <v>105</v>
      </c>
      <c r="L386" s="17">
        <f t="shared" si="15"/>
        <v>10500</v>
      </c>
      <c r="M386" s="17">
        <f t="shared" si="16"/>
        <v>15800</v>
      </c>
      <c r="N386" s="17" t="str" cm="1">
        <f t="array" ref="N386">_xlfn.IFS(K386=0,"Matched", K386&gt;100,"High", K386&gt;=50,"Medium", K386&lt;50,"Low")</f>
        <v>High</v>
      </c>
      <c r="O386" s="17" t="str">
        <f t="shared" si="17"/>
        <v>No</v>
      </c>
    </row>
    <row r="387" spans="2:15" x14ac:dyDescent="0.3">
      <c r="B387" s="7">
        <v>385</v>
      </c>
      <c r="C387" s="3" t="s">
        <v>391</v>
      </c>
      <c r="D387" s="2" t="s">
        <v>1057</v>
      </c>
      <c r="E387" s="3" t="s">
        <v>1012</v>
      </c>
      <c r="F387" s="3">
        <v>160</v>
      </c>
      <c r="G387" s="3">
        <v>89</v>
      </c>
      <c r="H387" s="8">
        <v>500</v>
      </c>
      <c r="I387" s="48">
        <f>Table13[[#This Row],[Physical_Stock_Qty]]-Table13[[#This Row],[System_Stock_Qty]]</f>
        <v>-71</v>
      </c>
      <c r="J387" s="53" t="str" cm="1">
        <f t="array" ref="J387">_xlfn.IFS(I387=0,"Matched",I387&gt;0,"Excess",I387&lt;0,"Shortage")</f>
        <v>Shortage</v>
      </c>
      <c r="K387" s="50">
        <f>ABS(Table13[[#This Row],[Stock Difference]])</f>
        <v>71</v>
      </c>
      <c r="L387" s="17">
        <f t="shared" si="15"/>
        <v>35500</v>
      </c>
      <c r="M387" s="17">
        <f t="shared" si="16"/>
        <v>80000</v>
      </c>
      <c r="N387" s="17" t="str" cm="1">
        <f t="array" ref="N387">_xlfn.IFS(K387=0,"Matched", K387&gt;100,"High", K387&gt;=50,"Medium", K387&lt;50,"Low")</f>
        <v>Medium</v>
      </c>
      <c r="O387" s="17" t="str">
        <f t="shared" si="17"/>
        <v>No</v>
      </c>
    </row>
    <row r="388" spans="2:15" x14ac:dyDescent="0.3">
      <c r="B388" s="7">
        <v>386</v>
      </c>
      <c r="C388" s="3" t="s">
        <v>392</v>
      </c>
      <c r="D388" s="2" t="s">
        <v>1086</v>
      </c>
      <c r="E388" s="3" t="s">
        <v>1011</v>
      </c>
      <c r="F388" s="3">
        <v>43</v>
      </c>
      <c r="G388" s="3">
        <v>64</v>
      </c>
      <c r="H388" s="8">
        <v>4500</v>
      </c>
      <c r="I388" s="48">
        <f>Table13[[#This Row],[Physical_Stock_Qty]]-Table13[[#This Row],[System_Stock_Qty]]</f>
        <v>21</v>
      </c>
      <c r="J388" s="53" t="str" cm="1">
        <f t="array" ref="J388">_xlfn.IFS(I388=0,"Matched",I388&gt;0,"Excess",I388&lt;0,"Shortage")</f>
        <v>Excess</v>
      </c>
      <c r="K388" s="50">
        <f>ABS(Table13[[#This Row],[Stock Difference]])</f>
        <v>21</v>
      </c>
      <c r="L388" s="17">
        <f t="shared" ref="L388:L451" si="18">(K388*H388)</f>
        <v>94500</v>
      </c>
      <c r="M388" s="17">
        <f t="shared" ref="M388:M451" si="19">F388*H388</f>
        <v>193500</v>
      </c>
      <c r="N388" s="17" t="str" cm="1">
        <f t="array" ref="N388">_xlfn.IFS(K388=0,"Matched", K388&gt;100,"High", K388&gt;=50,"Medium", K388&lt;50,"Low")</f>
        <v>Low</v>
      </c>
      <c r="O388" s="17" t="str">
        <f t="shared" ref="O388:O451" si="20">IF(L388&gt;500000,"Yes",IF(L388=0,"No Match","No"))</f>
        <v>No</v>
      </c>
    </row>
    <row r="389" spans="2:15" x14ac:dyDescent="0.3">
      <c r="B389" s="7">
        <v>387</v>
      </c>
      <c r="C389" s="3" t="s">
        <v>393</v>
      </c>
      <c r="D389" s="2" t="s">
        <v>1055</v>
      </c>
      <c r="E389" s="3" t="s">
        <v>1010</v>
      </c>
      <c r="F389" s="3">
        <v>123</v>
      </c>
      <c r="G389" s="3">
        <v>54</v>
      </c>
      <c r="H389" s="8">
        <v>50</v>
      </c>
      <c r="I389" s="48">
        <f>Table13[[#This Row],[Physical_Stock_Qty]]-Table13[[#This Row],[System_Stock_Qty]]</f>
        <v>-69</v>
      </c>
      <c r="J389" s="53" t="str" cm="1">
        <f t="array" ref="J389">_xlfn.IFS(I389=0,"Matched",I389&gt;0,"Excess",I389&lt;0,"Shortage")</f>
        <v>Shortage</v>
      </c>
      <c r="K389" s="50">
        <f>ABS(Table13[[#This Row],[Stock Difference]])</f>
        <v>69</v>
      </c>
      <c r="L389" s="17">
        <f t="shared" si="18"/>
        <v>3450</v>
      </c>
      <c r="M389" s="17">
        <f t="shared" si="19"/>
        <v>6150</v>
      </c>
      <c r="N389" s="17" t="str" cm="1">
        <f t="array" ref="N389">_xlfn.IFS(K389=0,"Matched", K389&gt;100,"High", K389&gt;=50,"Medium", K389&lt;50,"Low")</f>
        <v>Medium</v>
      </c>
      <c r="O389" s="17" t="str">
        <f t="shared" si="20"/>
        <v>No</v>
      </c>
    </row>
    <row r="390" spans="2:15" x14ac:dyDescent="0.3">
      <c r="B390" s="7">
        <v>388</v>
      </c>
      <c r="C390" s="3" t="s">
        <v>394</v>
      </c>
      <c r="D390" s="2" t="s">
        <v>1044</v>
      </c>
      <c r="E390" s="3" t="s">
        <v>1010</v>
      </c>
      <c r="F390" s="3">
        <v>71</v>
      </c>
      <c r="G390" s="3">
        <v>170</v>
      </c>
      <c r="H390" s="8">
        <v>100</v>
      </c>
      <c r="I390" s="48">
        <f>Table13[[#This Row],[Physical_Stock_Qty]]-Table13[[#This Row],[System_Stock_Qty]]</f>
        <v>99</v>
      </c>
      <c r="J390" s="53" t="str" cm="1">
        <f t="array" ref="J390">_xlfn.IFS(I390=0,"Matched",I390&gt;0,"Excess",I390&lt;0,"Shortage")</f>
        <v>Excess</v>
      </c>
      <c r="K390" s="50">
        <f>ABS(Table13[[#This Row],[Stock Difference]])</f>
        <v>99</v>
      </c>
      <c r="L390" s="17">
        <f t="shared" si="18"/>
        <v>9900</v>
      </c>
      <c r="M390" s="17">
        <f t="shared" si="19"/>
        <v>7100</v>
      </c>
      <c r="N390" s="17" t="str" cm="1">
        <f t="array" ref="N390">_xlfn.IFS(K390=0,"Matched", K390&gt;100,"High", K390&gt;=50,"Medium", K390&lt;50,"Low")</f>
        <v>Medium</v>
      </c>
      <c r="O390" s="17" t="str">
        <f t="shared" si="20"/>
        <v>No</v>
      </c>
    </row>
    <row r="391" spans="2:15" hidden="1" x14ac:dyDescent="0.3">
      <c r="B391" s="7">
        <v>389</v>
      </c>
      <c r="C391" s="3" t="s">
        <v>395</v>
      </c>
      <c r="D391" s="2" t="s">
        <v>1042</v>
      </c>
      <c r="E391" s="3" t="s">
        <v>1007</v>
      </c>
      <c r="F391" s="3">
        <v>142</v>
      </c>
      <c r="G391" s="3">
        <v>142</v>
      </c>
      <c r="H391" s="8">
        <v>3000</v>
      </c>
      <c r="I391" s="48">
        <f>Table13[[#This Row],[Physical_Stock_Qty]]-Table13[[#This Row],[System_Stock_Qty]]</f>
        <v>0</v>
      </c>
      <c r="J391" s="53" t="str" cm="1">
        <f t="array" ref="J391">_xlfn.IFS(I391=0,"Matched",I391&gt;0,"Excess",I391&lt;0,"Shortage")</f>
        <v>Matched</v>
      </c>
      <c r="K391" s="50">
        <f>ABS(Table13[[#This Row],[Stock Difference]])</f>
        <v>0</v>
      </c>
      <c r="L391" s="17">
        <f t="shared" si="18"/>
        <v>0</v>
      </c>
      <c r="M391" s="17">
        <f t="shared" si="19"/>
        <v>426000</v>
      </c>
      <c r="N391" s="17" t="str" cm="1">
        <f t="array" ref="N391">_xlfn.IFS(K391=0,"Matched", K391&gt;100,"High", K391&gt;=50,"Medium", K391&lt;50,"Low")</f>
        <v>Matched</v>
      </c>
      <c r="O391" s="17" t="str">
        <f t="shared" si="20"/>
        <v>No Match</v>
      </c>
    </row>
    <row r="392" spans="2:15" hidden="1" x14ac:dyDescent="0.3">
      <c r="B392" s="7">
        <v>390</v>
      </c>
      <c r="C392" s="3" t="s">
        <v>396</v>
      </c>
      <c r="D392" s="2" t="s">
        <v>1081</v>
      </c>
      <c r="E392" s="3" t="s">
        <v>1011</v>
      </c>
      <c r="F392" s="3">
        <v>33</v>
      </c>
      <c r="G392" s="3">
        <v>33</v>
      </c>
      <c r="H392" s="8">
        <v>1000</v>
      </c>
      <c r="I392" s="48">
        <f>Table13[[#This Row],[Physical_Stock_Qty]]-Table13[[#This Row],[System_Stock_Qty]]</f>
        <v>0</v>
      </c>
      <c r="J392" s="53" t="str" cm="1">
        <f t="array" ref="J392">_xlfn.IFS(I392=0,"Matched",I392&gt;0,"Excess",I392&lt;0,"Shortage")</f>
        <v>Matched</v>
      </c>
      <c r="K392" s="50">
        <f>ABS(Table13[[#This Row],[Stock Difference]])</f>
        <v>0</v>
      </c>
      <c r="L392" s="17">
        <f t="shared" si="18"/>
        <v>0</v>
      </c>
      <c r="M392" s="17">
        <f t="shared" si="19"/>
        <v>33000</v>
      </c>
      <c r="N392" s="17" t="str" cm="1">
        <f t="array" ref="N392">_xlfn.IFS(K392=0,"Matched", K392&gt;100,"High", K392&gt;=50,"Medium", K392&lt;50,"Low")</f>
        <v>Matched</v>
      </c>
      <c r="O392" s="17" t="str">
        <f t="shared" si="20"/>
        <v>No Match</v>
      </c>
    </row>
    <row r="393" spans="2:15" hidden="1" x14ac:dyDescent="0.3">
      <c r="B393" s="7">
        <v>391</v>
      </c>
      <c r="C393" s="3" t="s">
        <v>397</v>
      </c>
      <c r="D393" s="2" t="s">
        <v>1033</v>
      </c>
      <c r="E393" s="3" t="s">
        <v>1008</v>
      </c>
      <c r="F393" s="3">
        <v>192</v>
      </c>
      <c r="G393" s="3">
        <v>192</v>
      </c>
      <c r="H393" s="8">
        <v>4000</v>
      </c>
      <c r="I393" s="48">
        <f>Table13[[#This Row],[Physical_Stock_Qty]]-Table13[[#This Row],[System_Stock_Qty]]</f>
        <v>0</v>
      </c>
      <c r="J393" s="53" t="str" cm="1">
        <f t="array" ref="J393">_xlfn.IFS(I393=0,"Matched",I393&gt;0,"Excess",I393&lt;0,"Shortage")</f>
        <v>Matched</v>
      </c>
      <c r="K393" s="50">
        <f>ABS(Table13[[#This Row],[Stock Difference]])</f>
        <v>0</v>
      </c>
      <c r="L393" s="17">
        <f t="shared" si="18"/>
        <v>0</v>
      </c>
      <c r="M393" s="17">
        <f t="shared" si="19"/>
        <v>768000</v>
      </c>
      <c r="N393" s="17" t="str" cm="1">
        <f t="array" ref="N393">_xlfn.IFS(K393=0,"Matched", K393&gt;100,"High", K393&gt;=50,"Medium", K393&lt;50,"Low")</f>
        <v>Matched</v>
      </c>
      <c r="O393" s="17" t="str">
        <f t="shared" si="20"/>
        <v>No Match</v>
      </c>
    </row>
    <row r="394" spans="2:15" hidden="1" x14ac:dyDescent="0.3">
      <c r="B394" s="7">
        <v>392</v>
      </c>
      <c r="C394" s="3" t="s">
        <v>398</v>
      </c>
      <c r="D394" s="2" t="s">
        <v>1060</v>
      </c>
      <c r="E394" s="3" t="s">
        <v>1012</v>
      </c>
      <c r="F394" s="3">
        <v>90</v>
      </c>
      <c r="G394" s="3">
        <v>90</v>
      </c>
      <c r="H394" s="8">
        <v>1500</v>
      </c>
      <c r="I394" s="48">
        <f>Table13[[#This Row],[Physical_Stock_Qty]]-Table13[[#This Row],[System_Stock_Qty]]</f>
        <v>0</v>
      </c>
      <c r="J394" s="53" t="str" cm="1">
        <f t="array" ref="J394">_xlfn.IFS(I394=0,"Matched",I394&gt;0,"Excess",I394&lt;0,"Shortage")</f>
        <v>Matched</v>
      </c>
      <c r="K394" s="50">
        <f>ABS(Table13[[#This Row],[Stock Difference]])</f>
        <v>0</v>
      </c>
      <c r="L394" s="17">
        <f t="shared" si="18"/>
        <v>0</v>
      </c>
      <c r="M394" s="17">
        <f t="shared" si="19"/>
        <v>135000</v>
      </c>
      <c r="N394" s="17" t="str" cm="1">
        <f t="array" ref="N394">_xlfn.IFS(K394=0,"Matched", K394&gt;100,"High", K394&gt;=50,"Medium", K394&lt;50,"Low")</f>
        <v>Matched</v>
      </c>
      <c r="O394" s="17" t="str">
        <f t="shared" si="20"/>
        <v>No Match</v>
      </c>
    </row>
    <row r="395" spans="2:15" hidden="1" x14ac:dyDescent="0.3">
      <c r="B395" s="7">
        <v>393</v>
      </c>
      <c r="C395" s="3" t="s">
        <v>399</v>
      </c>
      <c r="D395" s="2" t="s">
        <v>1048</v>
      </c>
      <c r="E395" s="3" t="s">
        <v>1010</v>
      </c>
      <c r="F395" s="3">
        <v>102</v>
      </c>
      <c r="G395" s="3">
        <v>102</v>
      </c>
      <c r="H395" s="8">
        <v>50</v>
      </c>
      <c r="I395" s="48">
        <f>Table13[[#This Row],[Physical_Stock_Qty]]-Table13[[#This Row],[System_Stock_Qty]]</f>
        <v>0</v>
      </c>
      <c r="J395" s="53" t="str" cm="1">
        <f t="array" ref="J395">_xlfn.IFS(I395=0,"Matched",I395&gt;0,"Excess",I395&lt;0,"Shortage")</f>
        <v>Matched</v>
      </c>
      <c r="K395" s="50">
        <f>ABS(Table13[[#This Row],[Stock Difference]])</f>
        <v>0</v>
      </c>
      <c r="L395" s="17">
        <f t="shared" si="18"/>
        <v>0</v>
      </c>
      <c r="M395" s="17">
        <f t="shared" si="19"/>
        <v>5100</v>
      </c>
      <c r="N395" s="17" t="str" cm="1">
        <f t="array" ref="N395">_xlfn.IFS(K395=0,"Matched", K395&gt;100,"High", K395&gt;=50,"Medium", K395&lt;50,"Low")</f>
        <v>Matched</v>
      </c>
      <c r="O395" s="17" t="str">
        <f t="shared" si="20"/>
        <v>No Match</v>
      </c>
    </row>
    <row r="396" spans="2:15" hidden="1" x14ac:dyDescent="0.3">
      <c r="B396" s="7">
        <v>394</v>
      </c>
      <c r="C396" s="3" t="s">
        <v>400</v>
      </c>
      <c r="D396" s="2" t="s">
        <v>1047</v>
      </c>
      <c r="E396" s="3" t="s">
        <v>1010</v>
      </c>
      <c r="F396" s="3">
        <v>141</v>
      </c>
      <c r="G396" s="3">
        <v>141</v>
      </c>
      <c r="H396" s="8">
        <v>500</v>
      </c>
      <c r="I396" s="48">
        <f>Table13[[#This Row],[Physical_Stock_Qty]]-Table13[[#This Row],[System_Stock_Qty]]</f>
        <v>0</v>
      </c>
      <c r="J396" s="53" t="str" cm="1">
        <f t="array" ref="J396">_xlfn.IFS(I396=0,"Matched",I396&gt;0,"Excess",I396&lt;0,"Shortage")</f>
        <v>Matched</v>
      </c>
      <c r="K396" s="50">
        <f>ABS(Table13[[#This Row],[Stock Difference]])</f>
        <v>0</v>
      </c>
      <c r="L396" s="17">
        <f t="shared" si="18"/>
        <v>0</v>
      </c>
      <c r="M396" s="17">
        <f t="shared" si="19"/>
        <v>70500</v>
      </c>
      <c r="N396" s="17" t="str" cm="1">
        <f t="array" ref="N396">_xlfn.IFS(K396=0,"Matched", K396&gt;100,"High", K396&gt;=50,"Medium", K396&lt;50,"Low")</f>
        <v>Matched</v>
      </c>
      <c r="O396" s="17" t="str">
        <f t="shared" si="20"/>
        <v>No Match</v>
      </c>
    </row>
    <row r="397" spans="2:15" hidden="1" x14ac:dyDescent="0.3">
      <c r="B397" s="7">
        <v>395</v>
      </c>
      <c r="C397" s="3" t="s">
        <v>401</v>
      </c>
      <c r="D397" s="2" t="s">
        <v>1077</v>
      </c>
      <c r="E397" s="3" t="s">
        <v>1011</v>
      </c>
      <c r="F397" s="3">
        <v>63</v>
      </c>
      <c r="G397" s="3">
        <v>63</v>
      </c>
      <c r="H397" s="8">
        <v>5000</v>
      </c>
      <c r="I397" s="48">
        <f>Table13[[#This Row],[Physical_Stock_Qty]]-Table13[[#This Row],[System_Stock_Qty]]</f>
        <v>0</v>
      </c>
      <c r="J397" s="53" t="str" cm="1">
        <f t="array" ref="J397">_xlfn.IFS(I397=0,"Matched",I397&gt;0,"Excess",I397&lt;0,"Shortage")</f>
        <v>Matched</v>
      </c>
      <c r="K397" s="50">
        <f>ABS(Table13[[#This Row],[Stock Difference]])</f>
        <v>0</v>
      </c>
      <c r="L397" s="17">
        <f t="shared" si="18"/>
        <v>0</v>
      </c>
      <c r="M397" s="17">
        <f t="shared" si="19"/>
        <v>315000</v>
      </c>
      <c r="N397" s="17" t="str" cm="1">
        <f t="array" ref="N397">_xlfn.IFS(K397=0,"Matched", K397&gt;100,"High", K397&gt;=50,"Medium", K397&lt;50,"Low")</f>
        <v>Matched</v>
      </c>
      <c r="O397" s="17" t="str">
        <f t="shared" si="20"/>
        <v>No Match</v>
      </c>
    </row>
    <row r="398" spans="2:15" hidden="1" x14ac:dyDescent="0.3">
      <c r="B398" s="7">
        <v>396</v>
      </c>
      <c r="C398" s="3" t="s">
        <v>402</v>
      </c>
      <c r="D398" s="2" t="s">
        <v>1084</v>
      </c>
      <c r="E398" s="3" t="s">
        <v>1011</v>
      </c>
      <c r="F398" s="3">
        <v>108</v>
      </c>
      <c r="G398" s="3">
        <v>108</v>
      </c>
      <c r="H398" s="8">
        <v>2000</v>
      </c>
      <c r="I398" s="48">
        <f>Table13[[#This Row],[Physical_Stock_Qty]]-Table13[[#This Row],[System_Stock_Qty]]</f>
        <v>0</v>
      </c>
      <c r="J398" s="53" t="str" cm="1">
        <f t="array" ref="J398">_xlfn.IFS(I398=0,"Matched",I398&gt;0,"Excess",I398&lt;0,"Shortage")</f>
        <v>Matched</v>
      </c>
      <c r="K398" s="50">
        <f>ABS(Table13[[#This Row],[Stock Difference]])</f>
        <v>0</v>
      </c>
      <c r="L398" s="17">
        <f t="shared" si="18"/>
        <v>0</v>
      </c>
      <c r="M398" s="17">
        <f t="shared" si="19"/>
        <v>216000</v>
      </c>
      <c r="N398" s="17" t="str" cm="1">
        <f t="array" ref="N398">_xlfn.IFS(K398=0,"Matched", K398&gt;100,"High", K398&gt;=50,"Medium", K398&lt;50,"Low")</f>
        <v>Matched</v>
      </c>
      <c r="O398" s="17" t="str">
        <f t="shared" si="20"/>
        <v>No Match</v>
      </c>
    </row>
    <row r="399" spans="2:15" hidden="1" x14ac:dyDescent="0.3">
      <c r="B399" s="7">
        <v>397</v>
      </c>
      <c r="C399" s="3" t="s">
        <v>403</v>
      </c>
      <c r="D399" s="2" t="s">
        <v>1071</v>
      </c>
      <c r="E399" s="3" t="s">
        <v>1009</v>
      </c>
      <c r="F399" s="3">
        <v>165</v>
      </c>
      <c r="G399" s="3">
        <v>165</v>
      </c>
      <c r="H399" s="8">
        <v>200</v>
      </c>
      <c r="I399" s="48">
        <f>Table13[[#This Row],[Physical_Stock_Qty]]-Table13[[#This Row],[System_Stock_Qty]]</f>
        <v>0</v>
      </c>
      <c r="J399" s="53" t="str" cm="1">
        <f t="array" ref="J399">_xlfn.IFS(I399=0,"Matched",I399&gt;0,"Excess",I399&lt;0,"Shortage")</f>
        <v>Matched</v>
      </c>
      <c r="K399" s="50">
        <f>ABS(Table13[[#This Row],[Stock Difference]])</f>
        <v>0</v>
      </c>
      <c r="L399" s="17">
        <f t="shared" si="18"/>
        <v>0</v>
      </c>
      <c r="M399" s="17">
        <f t="shared" si="19"/>
        <v>33000</v>
      </c>
      <c r="N399" s="17" t="str" cm="1">
        <f t="array" ref="N399">_xlfn.IFS(K399=0,"Matched", K399&gt;100,"High", K399&gt;=50,"Medium", K399&lt;50,"Low")</f>
        <v>Matched</v>
      </c>
      <c r="O399" s="17" t="str">
        <f t="shared" si="20"/>
        <v>No Match</v>
      </c>
    </row>
    <row r="400" spans="2:15" hidden="1" x14ac:dyDescent="0.3">
      <c r="B400" s="7">
        <v>398</v>
      </c>
      <c r="C400" s="3" t="s">
        <v>404</v>
      </c>
      <c r="D400" s="2" t="s">
        <v>1028</v>
      </c>
      <c r="E400" s="3" t="s">
        <v>1008</v>
      </c>
      <c r="F400" s="3">
        <v>50</v>
      </c>
      <c r="G400" s="3">
        <v>50</v>
      </c>
      <c r="H400" s="8">
        <v>15000</v>
      </c>
      <c r="I400" s="48">
        <f>Table13[[#This Row],[Physical_Stock_Qty]]-Table13[[#This Row],[System_Stock_Qty]]</f>
        <v>0</v>
      </c>
      <c r="J400" s="53" t="str" cm="1">
        <f t="array" ref="J400">_xlfn.IFS(I400=0,"Matched",I400&gt;0,"Excess",I400&lt;0,"Shortage")</f>
        <v>Matched</v>
      </c>
      <c r="K400" s="50">
        <f>ABS(Table13[[#This Row],[Stock Difference]])</f>
        <v>0</v>
      </c>
      <c r="L400" s="17">
        <f t="shared" si="18"/>
        <v>0</v>
      </c>
      <c r="M400" s="17">
        <f t="shared" si="19"/>
        <v>750000</v>
      </c>
      <c r="N400" s="17" t="str" cm="1">
        <f t="array" ref="N400">_xlfn.IFS(K400=0,"Matched", K400&gt;100,"High", K400&gt;=50,"Medium", K400&lt;50,"Low")</f>
        <v>Matched</v>
      </c>
      <c r="O400" s="17" t="str">
        <f t="shared" si="20"/>
        <v>No Match</v>
      </c>
    </row>
    <row r="401" spans="2:15" hidden="1" x14ac:dyDescent="0.3">
      <c r="B401" s="7">
        <v>399</v>
      </c>
      <c r="C401" s="3" t="s">
        <v>405</v>
      </c>
      <c r="D401" s="2" t="s">
        <v>1023</v>
      </c>
      <c r="E401" s="3" t="s">
        <v>1008</v>
      </c>
      <c r="F401" s="3">
        <v>42</v>
      </c>
      <c r="G401" s="3">
        <v>42</v>
      </c>
      <c r="H401" s="8">
        <v>20000</v>
      </c>
      <c r="I401" s="48">
        <f>Table13[[#This Row],[Physical_Stock_Qty]]-Table13[[#This Row],[System_Stock_Qty]]</f>
        <v>0</v>
      </c>
      <c r="J401" s="53" t="str" cm="1">
        <f t="array" ref="J401">_xlfn.IFS(I401=0,"Matched",I401&gt;0,"Excess",I401&lt;0,"Shortage")</f>
        <v>Matched</v>
      </c>
      <c r="K401" s="50">
        <f>ABS(Table13[[#This Row],[Stock Difference]])</f>
        <v>0</v>
      </c>
      <c r="L401" s="17">
        <f t="shared" si="18"/>
        <v>0</v>
      </c>
      <c r="M401" s="17">
        <f t="shared" si="19"/>
        <v>840000</v>
      </c>
      <c r="N401" s="17" t="str" cm="1">
        <f t="array" ref="N401">_xlfn.IFS(K401=0,"Matched", K401&gt;100,"High", K401&gt;=50,"Medium", K401&lt;50,"Low")</f>
        <v>Matched</v>
      </c>
      <c r="O401" s="17" t="str">
        <f t="shared" si="20"/>
        <v>No Match</v>
      </c>
    </row>
    <row r="402" spans="2:15" hidden="1" x14ac:dyDescent="0.3">
      <c r="B402" s="7">
        <v>400</v>
      </c>
      <c r="C402" s="3" t="s">
        <v>406</v>
      </c>
      <c r="D402" s="2" t="s">
        <v>1046</v>
      </c>
      <c r="E402" s="3" t="s">
        <v>1010</v>
      </c>
      <c r="F402" s="3">
        <v>77</v>
      </c>
      <c r="G402" s="3">
        <v>77</v>
      </c>
      <c r="H402" s="8">
        <v>100</v>
      </c>
      <c r="I402" s="48">
        <f>Table13[[#This Row],[Physical_Stock_Qty]]-Table13[[#This Row],[System_Stock_Qty]]</f>
        <v>0</v>
      </c>
      <c r="J402" s="53" t="str" cm="1">
        <f t="array" ref="J402">_xlfn.IFS(I402=0,"Matched",I402&gt;0,"Excess",I402&lt;0,"Shortage")</f>
        <v>Matched</v>
      </c>
      <c r="K402" s="50">
        <f>ABS(Table13[[#This Row],[Stock Difference]])</f>
        <v>0</v>
      </c>
      <c r="L402" s="17">
        <f t="shared" si="18"/>
        <v>0</v>
      </c>
      <c r="M402" s="17">
        <f t="shared" si="19"/>
        <v>7700</v>
      </c>
      <c r="N402" s="17" t="str" cm="1">
        <f t="array" ref="N402">_xlfn.IFS(K402=0,"Matched", K402&gt;100,"High", K402&gt;=50,"Medium", K402&lt;50,"Low")</f>
        <v>Matched</v>
      </c>
      <c r="O402" s="17" t="str">
        <f t="shared" si="20"/>
        <v>No Match</v>
      </c>
    </row>
    <row r="403" spans="2:15" hidden="1" x14ac:dyDescent="0.3">
      <c r="B403" s="7">
        <v>401</v>
      </c>
      <c r="C403" s="3" t="s">
        <v>407</v>
      </c>
      <c r="D403" s="2" t="s">
        <v>1039</v>
      </c>
      <c r="E403" s="3" t="s">
        <v>1007</v>
      </c>
      <c r="F403" s="3">
        <v>126</v>
      </c>
      <c r="G403" s="3">
        <v>126</v>
      </c>
      <c r="H403" s="8">
        <v>12000</v>
      </c>
      <c r="I403" s="48">
        <f>Table13[[#This Row],[Physical_Stock_Qty]]-Table13[[#This Row],[System_Stock_Qty]]</f>
        <v>0</v>
      </c>
      <c r="J403" s="53" t="str" cm="1">
        <f t="array" ref="J403">_xlfn.IFS(I403=0,"Matched",I403&gt;0,"Excess",I403&lt;0,"Shortage")</f>
        <v>Matched</v>
      </c>
      <c r="K403" s="50">
        <f>ABS(Table13[[#This Row],[Stock Difference]])</f>
        <v>0</v>
      </c>
      <c r="L403" s="17">
        <f t="shared" si="18"/>
        <v>0</v>
      </c>
      <c r="M403" s="17">
        <f t="shared" si="19"/>
        <v>1512000</v>
      </c>
      <c r="N403" s="17" t="str" cm="1">
        <f t="array" ref="N403">_xlfn.IFS(K403=0,"Matched", K403&gt;100,"High", K403&gt;=50,"Medium", K403&lt;50,"Low")</f>
        <v>Matched</v>
      </c>
      <c r="O403" s="17" t="str">
        <f t="shared" si="20"/>
        <v>No Match</v>
      </c>
    </row>
    <row r="404" spans="2:15" hidden="1" x14ac:dyDescent="0.3">
      <c r="B404" s="7">
        <v>402</v>
      </c>
      <c r="C404" s="3" t="s">
        <v>408</v>
      </c>
      <c r="D404" s="2" t="s">
        <v>1054</v>
      </c>
      <c r="E404" s="3" t="s">
        <v>1010</v>
      </c>
      <c r="F404" s="3">
        <v>110</v>
      </c>
      <c r="G404" s="3">
        <v>110</v>
      </c>
      <c r="H404" s="8">
        <v>30</v>
      </c>
      <c r="I404" s="48">
        <f>Table13[[#This Row],[Physical_Stock_Qty]]-Table13[[#This Row],[System_Stock_Qty]]</f>
        <v>0</v>
      </c>
      <c r="J404" s="53" t="str" cm="1">
        <f t="array" ref="J404">_xlfn.IFS(I404=0,"Matched",I404&gt;0,"Excess",I404&lt;0,"Shortage")</f>
        <v>Matched</v>
      </c>
      <c r="K404" s="50">
        <f>ABS(Table13[[#This Row],[Stock Difference]])</f>
        <v>0</v>
      </c>
      <c r="L404" s="17">
        <f t="shared" si="18"/>
        <v>0</v>
      </c>
      <c r="M404" s="17">
        <f t="shared" si="19"/>
        <v>3300</v>
      </c>
      <c r="N404" s="17" t="str" cm="1">
        <f t="array" ref="N404">_xlfn.IFS(K404=0,"Matched", K404&gt;100,"High", K404&gt;=50,"Medium", K404&lt;50,"Low")</f>
        <v>Matched</v>
      </c>
      <c r="O404" s="17" t="str">
        <f t="shared" si="20"/>
        <v>No Match</v>
      </c>
    </row>
    <row r="405" spans="2:15" hidden="1" x14ac:dyDescent="0.3">
      <c r="B405" s="7">
        <v>403</v>
      </c>
      <c r="C405" s="3" t="s">
        <v>409</v>
      </c>
      <c r="D405" s="2" t="s">
        <v>1071</v>
      </c>
      <c r="E405" s="3" t="s">
        <v>1009</v>
      </c>
      <c r="F405" s="3">
        <v>83</v>
      </c>
      <c r="G405" s="3">
        <v>83</v>
      </c>
      <c r="H405" s="8">
        <v>200</v>
      </c>
      <c r="I405" s="48">
        <f>Table13[[#This Row],[Physical_Stock_Qty]]-Table13[[#This Row],[System_Stock_Qty]]</f>
        <v>0</v>
      </c>
      <c r="J405" s="53" t="str" cm="1">
        <f t="array" ref="J405">_xlfn.IFS(I405=0,"Matched",I405&gt;0,"Excess",I405&lt;0,"Shortage")</f>
        <v>Matched</v>
      </c>
      <c r="K405" s="50">
        <f>ABS(Table13[[#This Row],[Stock Difference]])</f>
        <v>0</v>
      </c>
      <c r="L405" s="17">
        <f t="shared" si="18"/>
        <v>0</v>
      </c>
      <c r="M405" s="17">
        <f t="shared" si="19"/>
        <v>16600</v>
      </c>
      <c r="N405" s="17" t="str" cm="1">
        <f t="array" ref="N405">_xlfn.IFS(K405=0,"Matched", K405&gt;100,"High", K405&gt;=50,"Medium", K405&lt;50,"Low")</f>
        <v>Matched</v>
      </c>
      <c r="O405" s="17" t="str">
        <f t="shared" si="20"/>
        <v>No Match</v>
      </c>
    </row>
    <row r="406" spans="2:15" hidden="1" x14ac:dyDescent="0.3">
      <c r="B406" s="7">
        <v>404</v>
      </c>
      <c r="C406" s="3" t="s">
        <v>410</v>
      </c>
      <c r="D406" s="2" t="s">
        <v>1021</v>
      </c>
      <c r="E406" s="3" t="s">
        <v>1008</v>
      </c>
      <c r="F406" s="3">
        <v>184</v>
      </c>
      <c r="G406" s="3">
        <v>184</v>
      </c>
      <c r="H406" s="8">
        <v>20000</v>
      </c>
      <c r="I406" s="48">
        <f>Table13[[#This Row],[Physical_Stock_Qty]]-Table13[[#This Row],[System_Stock_Qty]]</f>
        <v>0</v>
      </c>
      <c r="J406" s="53" t="str" cm="1">
        <f t="array" ref="J406">_xlfn.IFS(I406=0,"Matched",I406&gt;0,"Excess",I406&lt;0,"Shortage")</f>
        <v>Matched</v>
      </c>
      <c r="K406" s="50">
        <f>ABS(Table13[[#This Row],[Stock Difference]])</f>
        <v>0</v>
      </c>
      <c r="L406" s="17">
        <f t="shared" si="18"/>
        <v>0</v>
      </c>
      <c r="M406" s="17">
        <f t="shared" si="19"/>
        <v>3680000</v>
      </c>
      <c r="N406" s="17" t="str" cm="1">
        <f t="array" ref="N406">_xlfn.IFS(K406=0,"Matched", K406&gt;100,"High", K406&gt;=50,"Medium", K406&lt;50,"Low")</f>
        <v>Matched</v>
      </c>
      <c r="O406" s="17" t="str">
        <f t="shared" si="20"/>
        <v>No Match</v>
      </c>
    </row>
    <row r="407" spans="2:15" hidden="1" x14ac:dyDescent="0.3">
      <c r="B407" s="7">
        <v>405</v>
      </c>
      <c r="C407" s="3" t="s">
        <v>411</v>
      </c>
      <c r="D407" s="2" t="s">
        <v>1077</v>
      </c>
      <c r="E407" s="3" t="s">
        <v>1011</v>
      </c>
      <c r="F407" s="3">
        <v>72</v>
      </c>
      <c r="G407" s="3">
        <v>72</v>
      </c>
      <c r="H407" s="8">
        <v>5000</v>
      </c>
      <c r="I407" s="48">
        <f>Table13[[#This Row],[Physical_Stock_Qty]]-Table13[[#This Row],[System_Stock_Qty]]</f>
        <v>0</v>
      </c>
      <c r="J407" s="53" t="str" cm="1">
        <f t="array" ref="J407">_xlfn.IFS(I407=0,"Matched",I407&gt;0,"Excess",I407&lt;0,"Shortage")</f>
        <v>Matched</v>
      </c>
      <c r="K407" s="50">
        <f>ABS(Table13[[#This Row],[Stock Difference]])</f>
        <v>0</v>
      </c>
      <c r="L407" s="17">
        <f t="shared" si="18"/>
        <v>0</v>
      </c>
      <c r="M407" s="17">
        <f t="shared" si="19"/>
        <v>360000</v>
      </c>
      <c r="N407" s="17" t="str" cm="1">
        <f t="array" ref="N407">_xlfn.IFS(K407=0,"Matched", K407&gt;100,"High", K407&gt;=50,"Medium", K407&lt;50,"Low")</f>
        <v>Matched</v>
      </c>
      <c r="O407" s="17" t="str">
        <f t="shared" si="20"/>
        <v>No Match</v>
      </c>
    </row>
    <row r="408" spans="2:15" hidden="1" x14ac:dyDescent="0.3">
      <c r="B408" s="7">
        <v>406</v>
      </c>
      <c r="C408" s="3" t="s">
        <v>412</v>
      </c>
      <c r="D408" s="2" t="s">
        <v>1076</v>
      </c>
      <c r="E408" s="3" t="s">
        <v>1009</v>
      </c>
      <c r="F408" s="3">
        <v>182</v>
      </c>
      <c r="G408" s="3">
        <v>182</v>
      </c>
      <c r="H408" s="8">
        <v>100</v>
      </c>
      <c r="I408" s="48">
        <f>Table13[[#This Row],[Physical_Stock_Qty]]-Table13[[#This Row],[System_Stock_Qty]]</f>
        <v>0</v>
      </c>
      <c r="J408" s="53" t="str" cm="1">
        <f t="array" ref="J408">_xlfn.IFS(I408=0,"Matched",I408&gt;0,"Excess",I408&lt;0,"Shortage")</f>
        <v>Matched</v>
      </c>
      <c r="K408" s="50">
        <f>ABS(Table13[[#This Row],[Stock Difference]])</f>
        <v>0</v>
      </c>
      <c r="L408" s="17">
        <f t="shared" si="18"/>
        <v>0</v>
      </c>
      <c r="M408" s="17">
        <f t="shared" si="19"/>
        <v>18200</v>
      </c>
      <c r="N408" s="17" t="str" cm="1">
        <f t="array" ref="N408">_xlfn.IFS(K408=0,"Matched", K408&gt;100,"High", K408&gt;=50,"Medium", K408&lt;50,"Low")</f>
        <v>Matched</v>
      </c>
      <c r="O408" s="17" t="str">
        <f t="shared" si="20"/>
        <v>No Match</v>
      </c>
    </row>
    <row r="409" spans="2:15" hidden="1" x14ac:dyDescent="0.3">
      <c r="B409" s="7">
        <v>407</v>
      </c>
      <c r="C409" s="3" t="s">
        <v>413</v>
      </c>
      <c r="D409" s="2" t="s">
        <v>1041</v>
      </c>
      <c r="E409" s="3" t="s">
        <v>1007</v>
      </c>
      <c r="F409" s="3">
        <v>144</v>
      </c>
      <c r="G409" s="3">
        <v>144</v>
      </c>
      <c r="H409" s="8">
        <v>2000</v>
      </c>
      <c r="I409" s="48">
        <f>Table13[[#This Row],[Physical_Stock_Qty]]-Table13[[#This Row],[System_Stock_Qty]]</f>
        <v>0</v>
      </c>
      <c r="J409" s="53" t="str" cm="1">
        <f t="array" ref="J409">_xlfn.IFS(I409=0,"Matched",I409&gt;0,"Excess",I409&lt;0,"Shortage")</f>
        <v>Matched</v>
      </c>
      <c r="K409" s="50">
        <f>ABS(Table13[[#This Row],[Stock Difference]])</f>
        <v>0</v>
      </c>
      <c r="L409" s="17">
        <f t="shared" si="18"/>
        <v>0</v>
      </c>
      <c r="M409" s="17">
        <f t="shared" si="19"/>
        <v>288000</v>
      </c>
      <c r="N409" s="17" t="str" cm="1">
        <f t="array" ref="N409">_xlfn.IFS(K409=0,"Matched", K409&gt;100,"High", K409&gt;=50,"Medium", K409&lt;50,"Low")</f>
        <v>Matched</v>
      </c>
      <c r="O409" s="17" t="str">
        <f t="shared" si="20"/>
        <v>No Match</v>
      </c>
    </row>
    <row r="410" spans="2:15" hidden="1" x14ac:dyDescent="0.3">
      <c r="B410" s="7">
        <v>408</v>
      </c>
      <c r="C410" s="3" t="s">
        <v>414</v>
      </c>
      <c r="D410" s="2" t="s">
        <v>1081</v>
      </c>
      <c r="E410" s="3" t="s">
        <v>1011</v>
      </c>
      <c r="F410" s="3">
        <v>134</v>
      </c>
      <c r="G410" s="3">
        <v>134</v>
      </c>
      <c r="H410" s="8">
        <v>1000</v>
      </c>
      <c r="I410" s="48">
        <f>Table13[[#This Row],[Physical_Stock_Qty]]-Table13[[#This Row],[System_Stock_Qty]]</f>
        <v>0</v>
      </c>
      <c r="J410" s="53" t="str" cm="1">
        <f t="array" ref="J410">_xlfn.IFS(I410=0,"Matched",I410&gt;0,"Excess",I410&lt;0,"Shortage")</f>
        <v>Matched</v>
      </c>
      <c r="K410" s="50">
        <f>ABS(Table13[[#This Row],[Stock Difference]])</f>
        <v>0</v>
      </c>
      <c r="L410" s="17">
        <f t="shared" si="18"/>
        <v>0</v>
      </c>
      <c r="M410" s="17">
        <f t="shared" si="19"/>
        <v>134000</v>
      </c>
      <c r="N410" s="17" t="str" cm="1">
        <f t="array" ref="N410">_xlfn.IFS(K410=0,"Matched", K410&gt;100,"High", K410&gt;=50,"Medium", K410&lt;50,"Low")</f>
        <v>Matched</v>
      </c>
      <c r="O410" s="17" t="str">
        <f t="shared" si="20"/>
        <v>No Match</v>
      </c>
    </row>
    <row r="411" spans="2:15" hidden="1" x14ac:dyDescent="0.3">
      <c r="B411" s="7">
        <v>409</v>
      </c>
      <c r="C411" s="3" t="s">
        <v>415</v>
      </c>
      <c r="D411" s="2" t="s">
        <v>1018</v>
      </c>
      <c r="E411" s="3" t="s">
        <v>1012</v>
      </c>
      <c r="F411" s="3">
        <v>104</v>
      </c>
      <c r="G411" s="3">
        <v>104</v>
      </c>
      <c r="H411" s="8">
        <v>3000</v>
      </c>
      <c r="I411" s="48">
        <f>Table13[[#This Row],[Physical_Stock_Qty]]-Table13[[#This Row],[System_Stock_Qty]]</f>
        <v>0</v>
      </c>
      <c r="J411" s="53" t="str" cm="1">
        <f t="array" ref="J411">_xlfn.IFS(I411=0,"Matched",I411&gt;0,"Excess",I411&lt;0,"Shortage")</f>
        <v>Matched</v>
      </c>
      <c r="K411" s="50">
        <f>ABS(Table13[[#This Row],[Stock Difference]])</f>
        <v>0</v>
      </c>
      <c r="L411" s="17">
        <f t="shared" si="18"/>
        <v>0</v>
      </c>
      <c r="M411" s="17">
        <f t="shared" si="19"/>
        <v>312000</v>
      </c>
      <c r="N411" s="17" t="str" cm="1">
        <f t="array" ref="N411">_xlfn.IFS(K411=0,"Matched", K411&gt;100,"High", K411&gt;=50,"Medium", K411&lt;50,"Low")</f>
        <v>Matched</v>
      </c>
      <c r="O411" s="17" t="str">
        <f t="shared" si="20"/>
        <v>No Match</v>
      </c>
    </row>
    <row r="412" spans="2:15" hidden="1" x14ac:dyDescent="0.3">
      <c r="B412" s="7">
        <v>410</v>
      </c>
      <c r="C412" s="3" t="s">
        <v>416</v>
      </c>
      <c r="D412" s="2" t="s">
        <v>1059</v>
      </c>
      <c r="E412" s="3" t="s">
        <v>1012</v>
      </c>
      <c r="F412" s="3">
        <v>143</v>
      </c>
      <c r="G412" s="3">
        <v>143</v>
      </c>
      <c r="H412" s="8">
        <v>200</v>
      </c>
      <c r="I412" s="48">
        <f>Table13[[#This Row],[Physical_Stock_Qty]]-Table13[[#This Row],[System_Stock_Qty]]</f>
        <v>0</v>
      </c>
      <c r="J412" s="53" t="str" cm="1">
        <f t="array" ref="J412">_xlfn.IFS(I412=0,"Matched",I412&gt;0,"Excess",I412&lt;0,"Shortage")</f>
        <v>Matched</v>
      </c>
      <c r="K412" s="50">
        <f>ABS(Table13[[#This Row],[Stock Difference]])</f>
        <v>0</v>
      </c>
      <c r="L412" s="17">
        <f t="shared" si="18"/>
        <v>0</v>
      </c>
      <c r="M412" s="17">
        <f t="shared" si="19"/>
        <v>28600</v>
      </c>
      <c r="N412" s="17" t="str" cm="1">
        <f t="array" ref="N412">_xlfn.IFS(K412=0,"Matched", K412&gt;100,"High", K412&gt;=50,"Medium", K412&lt;50,"Low")</f>
        <v>Matched</v>
      </c>
      <c r="O412" s="17" t="str">
        <f t="shared" si="20"/>
        <v>No Match</v>
      </c>
    </row>
    <row r="413" spans="2:15" hidden="1" x14ac:dyDescent="0.3">
      <c r="B413" s="7">
        <v>411</v>
      </c>
      <c r="C413" s="3" t="s">
        <v>417</v>
      </c>
      <c r="D413" s="2" t="s">
        <v>1067</v>
      </c>
      <c r="E413" s="3" t="s">
        <v>1009</v>
      </c>
      <c r="F413" s="3">
        <v>139</v>
      </c>
      <c r="G413" s="3">
        <v>139</v>
      </c>
      <c r="H413" s="8">
        <v>100</v>
      </c>
      <c r="I413" s="48">
        <f>Table13[[#This Row],[Physical_Stock_Qty]]-Table13[[#This Row],[System_Stock_Qty]]</f>
        <v>0</v>
      </c>
      <c r="J413" s="53" t="str" cm="1">
        <f t="array" ref="J413">_xlfn.IFS(I413=0,"Matched",I413&gt;0,"Excess",I413&lt;0,"Shortage")</f>
        <v>Matched</v>
      </c>
      <c r="K413" s="50">
        <f>ABS(Table13[[#This Row],[Stock Difference]])</f>
        <v>0</v>
      </c>
      <c r="L413" s="17">
        <f t="shared" si="18"/>
        <v>0</v>
      </c>
      <c r="M413" s="17">
        <f t="shared" si="19"/>
        <v>13900</v>
      </c>
      <c r="N413" s="17" t="str" cm="1">
        <f t="array" ref="N413">_xlfn.IFS(K413=0,"Matched", K413&gt;100,"High", K413&gt;=50,"Medium", K413&lt;50,"Low")</f>
        <v>Matched</v>
      </c>
      <c r="O413" s="17" t="str">
        <f t="shared" si="20"/>
        <v>No Match</v>
      </c>
    </row>
    <row r="414" spans="2:15" hidden="1" x14ac:dyDescent="0.3">
      <c r="B414" s="7">
        <v>412</v>
      </c>
      <c r="C414" s="3" t="s">
        <v>418</v>
      </c>
      <c r="D414" s="2" t="s">
        <v>1035</v>
      </c>
      <c r="E414" s="3" t="s">
        <v>1007</v>
      </c>
      <c r="F414" s="3">
        <v>60</v>
      </c>
      <c r="G414" s="3">
        <v>60</v>
      </c>
      <c r="H414" s="8">
        <v>15000</v>
      </c>
      <c r="I414" s="48">
        <f>Table13[[#This Row],[Physical_Stock_Qty]]-Table13[[#This Row],[System_Stock_Qty]]</f>
        <v>0</v>
      </c>
      <c r="J414" s="53" t="str" cm="1">
        <f t="array" ref="J414">_xlfn.IFS(I414=0,"Matched",I414&gt;0,"Excess",I414&lt;0,"Shortage")</f>
        <v>Matched</v>
      </c>
      <c r="K414" s="50">
        <f>ABS(Table13[[#This Row],[Stock Difference]])</f>
        <v>0</v>
      </c>
      <c r="L414" s="17">
        <f t="shared" si="18"/>
        <v>0</v>
      </c>
      <c r="M414" s="17">
        <f t="shared" si="19"/>
        <v>900000</v>
      </c>
      <c r="N414" s="17" t="str" cm="1">
        <f t="array" ref="N414">_xlfn.IFS(K414=0,"Matched", K414&gt;100,"High", K414&gt;=50,"Medium", K414&lt;50,"Low")</f>
        <v>Matched</v>
      </c>
      <c r="O414" s="17" t="str">
        <f t="shared" si="20"/>
        <v>No Match</v>
      </c>
    </row>
    <row r="415" spans="2:15" hidden="1" x14ac:dyDescent="0.3">
      <c r="B415" s="7">
        <v>413</v>
      </c>
      <c r="C415" s="3" t="s">
        <v>419</v>
      </c>
      <c r="D415" s="2" t="s">
        <v>1084</v>
      </c>
      <c r="E415" s="3" t="s">
        <v>1011</v>
      </c>
      <c r="F415" s="3">
        <v>59</v>
      </c>
      <c r="G415" s="3">
        <v>59</v>
      </c>
      <c r="H415" s="8">
        <v>2000</v>
      </c>
      <c r="I415" s="48">
        <f>Table13[[#This Row],[Physical_Stock_Qty]]-Table13[[#This Row],[System_Stock_Qty]]</f>
        <v>0</v>
      </c>
      <c r="J415" s="53" t="str" cm="1">
        <f t="array" ref="J415">_xlfn.IFS(I415=0,"Matched",I415&gt;0,"Excess",I415&lt;0,"Shortage")</f>
        <v>Matched</v>
      </c>
      <c r="K415" s="50">
        <f>ABS(Table13[[#This Row],[Stock Difference]])</f>
        <v>0</v>
      </c>
      <c r="L415" s="17">
        <f t="shared" si="18"/>
        <v>0</v>
      </c>
      <c r="M415" s="17">
        <f t="shared" si="19"/>
        <v>118000</v>
      </c>
      <c r="N415" s="17" t="str" cm="1">
        <f t="array" ref="N415">_xlfn.IFS(K415=0,"Matched", K415&gt;100,"High", K415&gt;=50,"Medium", K415&lt;50,"Low")</f>
        <v>Matched</v>
      </c>
      <c r="O415" s="17" t="str">
        <f t="shared" si="20"/>
        <v>No Match</v>
      </c>
    </row>
    <row r="416" spans="2:15" hidden="1" x14ac:dyDescent="0.3">
      <c r="B416" s="7">
        <v>414</v>
      </c>
      <c r="C416" s="3" t="s">
        <v>420</v>
      </c>
      <c r="D416" s="2" t="s">
        <v>1059</v>
      </c>
      <c r="E416" s="3" t="s">
        <v>1012</v>
      </c>
      <c r="F416" s="3">
        <v>195</v>
      </c>
      <c r="G416" s="3">
        <v>195</v>
      </c>
      <c r="H416" s="8">
        <v>200</v>
      </c>
      <c r="I416" s="48">
        <f>Table13[[#This Row],[Physical_Stock_Qty]]-Table13[[#This Row],[System_Stock_Qty]]</f>
        <v>0</v>
      </c>
      <c r="J416" s="53" t="str" cm="1">
        <f t="array" ref="J416">_xlfn.IFS(I416=0,"Matched",I416&gt;0,"Excess",I416&lt;0,"Shortage")</f>
        <v>Matched</v>
      </c>
      <c r="K416" s="50">
        <f>ABS(Table13[[#This Row],[Stock Difference]])</f>
        <v>0</v>
      </c>
      <c r="L416" s="17">
        <f t="shared" si="18"/>
        <v>0</v>
      </c>
      <c r="M416" s="17">
        <f t="shared" si="19"/>
        <v>39000</v>
      </c>
      <c r="N416" s="17" t="str" cm="1">
        <f t="array" ref="N416">_xlfn.IFS(K416=0,"Matched", K416&gt;100,"High", K416&gt;=50,"Medium", K416&lt;50,"Low")</f>
        <v>Matched</v>
      </c>
      <c r="O416" s="17" t="str">
        <f t="shared" si="20"/>
        <v>No Match</v>
      </c>
    </row>
    <row r="417" spans="2:15" hidden="1" x14ac:dyDescent="0.3">
      <c r="B417" s="7">
        <v>415</v>
      </c>
      <c r="C417" s="3" t="s">
        <v>421</v>
      </c>
      <c r="D417" s="2" t="s">
        <v>1067</v>
      </c>
      <c r="E417" s="3" t="s">
        <v>1009</v>
      </c>
      <c r="F417" s="3">
        <v>78</v>
      </c>
      <c r="G417" s="3">
        <v>78</v>
      </c>
      <c r="H417" s="8">
        <v>100</v>
      </c>
      <c r="I417" s="48">
        <f>Table13[[#This Row],[Physical_Stock_Qty]]-Table13[[#This Row],[System_Stock_Qty]]</f>
        <v>0</v>
      </c>
      <c r="J417" s="53" t="str" cm="1">
        <f t="array" ref="J417">_xlfn.IFS(I417=0,"Matched",I417&gt;0,"Excess",I417&lt;0,"Shortage")</f>
        <v>Matched</v>
      </c>
      <c r="K417" s="50">
        <f>ABS(Table13[[#This Row],[Stock Difference]])</f>
        <v>0</v>
      </c>
      <c r="L417" s="17">
        <f t="shared" si="18"/>
        <v>0</v>
      </c>
      <c r="M417" s="17">
        <f t="shared" si="19"/>
        <v>7800</v>
      </c>
      <c r="N417" s="17" t="str" cm="1">
        <f t="array" ref="N417">_xlfn.IFS(K417=0,"Matched", K417&gt;100,"High", K417&gt;=50,"Medium", K417&lt;50,"Low")</f>
        <v>Matched</v>
      </c>
      <c r="O417" s="17" t="str">
        <f t="shared" si="20"/>
        <v>No Match</v>
      </c>
    </row>
    <row r="418" spans="2:15" hidden="1" x14ac:dyDescent="0.3">
      <c r="B418" s="7">
        <v>416</v>
      </c>
      <c r="C418" s="3" t="s">
        <v>422</v>
      </c>
      <c r="D418" s="2" t="s">
        <v>1038</v>
      </c>
      <c r="E418" s="3" t="s">
        <v>1007</v>
      </c>
      <c r="F418" s="3">
        <v>151</v>
      </c>
      <c r="G418" s="3">
        <v>151</v>
      </c>
      <c r="H418" s="8">
        <v>5000</v>
      </c>
      <c r="I418" s="48">
        <f>Table13[[#This Row],[Physical_Stock_Qty]]-Table13[[#This Row],[System_Stock_Qty]]</f>
        <v>0</v>
      </c>
      <c r="J418" s="53" t="str" cm="1">
        <f t="array" ref="J418">_xlfn.IFS(I418=0,"Matched",I418&gt;0,"Excess",I418&lt;0,"Shortage")</f>
        <v>Matched</v>
      </c>
      <c r="K418" s="50">
        <f>ABS(Table13[[#This Row],[Stock Difference]])</f>
        <v>0</v>
      </c>
      <c r="L418" s="17">
        <f t="shared" si="18"/>
        <v>0</v>
      </c>
      <c r="M418" s="17">
        <f t="shared" si="19"/>
        <v>755000</v>
      </c>
      <c r="N418" s="17" t="str" cm="1">
        <f t="array" ref="N418">_xlfn.IFS(K418=0,"Matched", K418&gt;100,"High", K418&gt;=50,"Medium", K418&lt;50,"Low")</f>
        <v>Matched</v>
      </c>
      <c r="O418" s="17" t="str">
        <f t="shared" si="20"/>
        <v>No Match</v>
      </c>
    </row>
    <row r="419" spans="2:15" hidden="1" x14ac:dyDescent="0.3">
      <c r="B419" s="7">
        <v>417</v>
      </c>
      <c r="C419" s="3" t="s">
        <v>423</v>
      </c>
      <c r="D419" s="2" t="s">
        <v>1042</v>
      </c>
      <c r="E419" s="3" t="s">
        <v>1007</v>
      </c>
      <c r="F419" s="3">
        <v>81</v>
      </c>
      <c r="G419" s="3">
        <v>81</v>
      </c>
      <c r="H419" s="8">
        <v>3000</v>
      </c>
      <c r="I419" s="48">
        <f>Table13[[#This Row],[Physical_Stock_Qty]]-Table13[[#This Row],[System_Stock_Qty]]</f>
        <v>0</v>
      </c>
      <c r="J419" s="53" t="str" cm="1">
        <f t="array" ref="J419">_xlfn.IFS(I419=0,"Matched",I419&gt;0,"Excess",I419&lt;0,"Shortage")</f>
        <v>Matched</v>
      </c>
      <c r="K419" s="50">
        <f>ABS(Table13[[#This Row],[Stock Difference]])</f>
        <v>0</v>
      </c>
      <c r="L419" s="17">
        <f t="shared" si="18"/>
        <v>0</v>
      </c>
      <c r="M419" s="17">
        <f t="shared" si="19"/>
        <v>243000</v>
      </c>
      <c r="N419" s="17" t="str" cm="1">
        <f t="array" ref="N419">_xlfn.IFS(K419=0,"Matched", K419&gt;100,"High", K419&gt;=50,"Medium", K419&lt;50,"Low")</f>
        <v>Matched</v>
      </c>
      <c r="O419" s="17" t="str">
        <f t="shared" si="20"/>
        <v>No Match</v>
      </c>
    </row>
    <row r="420" spans="2:15" hidden="1" x14ac:dyDescent="0.3">
      <c r="B420" s="7">
        <v>418</v>
      </c>
      <c r="C420" s="3" t="s">
        <v>424</v>
      </c>
      <c r="D420" s="2" t="s">
        <v>1070</v>
      </c>
      <c r="E420" s="3" t="s">
        <v>1009</v>
      </c>
      <c r="F420" s="3">
        <v>162</v>
      </c>
      <c r="G420" s="3">
        <v>162</v>
      </c>
      <c r="H420" s="8">
        <v>1500</v>
      </c>
      <c r="I420" s="48">
        <f>Table13[[#This Row],[Physical_Stock_Qty]]-Table13[[#This Row],[System_Stock_Qty]]</f>
        <v>0</v>
      </c>
      <c r="J420" s="53" t="str" cm="1">
        <f t="array" ref="J420">_xlfn.IFS(I420=0,"Matched",I420&gt;0,"Excess",I420&lt;0,"Shortage")</f>
        <v>Matched</v>
      </c>
      <c r="K420" s="50">
        <f>ABS(Table13[[#This Row],[Stock Difference]])</f>
        <v>0</v>
      </c>
      <c r="L420" s="17">
        <f t="shared" si="18"/>
        <v>0</v>
      </c>
      <c r="M420" s="17">
        <f t="shared" si="19"/>
        <v>243000</v>
      </c>
      <c r="N420" s="17" t="str" cm="1">
        <f t="array" ref="N420">_xlfn.IFS(K420=0,"Matched", K420&gt;100,"High", K420&gt;=50,"Medium", K420&lt;50,"Low")</f>
        <v>Matched</v>
      </c>
      <c r="O420" s="17" t="str">
        <f t="shared" si="20"/>
        <v>No Match</v>
      </c>
    </row>
    <row r="421" spans="2:15" hidden="1" x14ac:dyDescent="0.3">
      <c r="B421" s="7">
        <v>419</v>
      </c>
      <c r="C421" s="3" t="s">
        <v>425</v>
      </c>
      <c r="D421" s="2" t="s">
        <v>1045</v>
      </c>
      <c r="E421" s="3" t="s">
        <v>1010</v>
      </c>
      <c r="F421" s="3">
        <v>168</v>
      </c>
      <c r="G421" s="3">
        <v>168</v>
      </c>
      <c r="H421" s="8">
        <v>100</v>
      </c>
      <c r="I421" s="48">
        <f>Table13[[#This Row],[Physical_Stock_Qty]]-Table13[[#This Row],[System_Stock_Qty]]</f>
        <v>0</v>
      </c>
      <c r="J421" s="53" t="str" cm="1">
        <f t="array" ref="J421">_xlfn.IFS(I421=0,"Matched",I421&gt;0,"Excess",I421&lt;0,"Shortage")</f>
        <v>Matched</v>
      </c>
      <c r="K421" s="50">
        <f>ABS(Table13[[#This Row],[Stock Difference]])</f>
        <v>0</v>
      </c>
      <c r="L421" s="17">
        <f t="shared" si="18"/>
        <v>0</v>
      </c>
      <c r="M421" s="17">
        <f t="shared" si="19"/>
        <v>16800</v>
      </c>
      <c r="N421" s="17" t="str" cm="1">
        <f t="array" ref="N421">_xlfn.IFS(K421=0,"Matched", K421&gt;100,"High", K421&gt;=50,"Medium", K421&lt;50,"Low")</f>
        <v>Matched</v>
      </c>
      <c r="O421" s="17" t="str">
        <f t="shared" si="20"/>
        <v>No Match</v>
      </c>
    </row>
    <row r="422" spans="2:15" hidden="1" x14ac:dyDescent="0.3">
      <c r="B422" s="7">
        <v>420</v>
      </c>
      <c r="C422" s="3" t="s">
        <v>426</v>
      </c>
      <c r="D422" s="2" t="s">
        <v>1048</v>
      </c>
      <c r="E422" s="3" t="s">
        <v>1010</v>
      </c>
      <c r="F422" s="3">
        <v>41</v>
      </c>
      <c r="G422" s="3">
        <v>41</v>
      </c>
      <c r="H422" s="8">
        <v>50</v>
      </c>
      <c r="I422" s="48">
        <f>Table13[[#This Row],[Physical_Stock_Qty]]-Table13[[#This Row],[System_Stock_Qty]]</f>
        <v>0</v>
      </c>
      <c r="J422" s="53" t="str" cm="1">
        <f t="array" ref="J422">_xlfn.IFS(I422=0,"Matched",I422&gt;0,"Excess",I422&lt;0,"Shortage")</f>
        <v>Matched</v>
      </c>
      <c r="K422" s="50">
        <f>ABS(Table13[[#This Row],[Stock Difference]])</f>
        <v>0</v>
      </c>
      <c r="L422" s="17">
        <f t="shared" si="18"/>
        <v>0</v>
      </c>
      <c r="M422" s="17">
        <f t="shared" si="19"/>
        <v>2050</v>
      </c>
      <c r="N422" s="17" t="str" cm="1">
        <f t="array" ref="N422">_xlfn.IFS(K422=0,"Matched", K422&gt;100,"High", K422&gt;=50,"Medium", K422&lt;50,"Low")</f>
        <v>Matched</v>
      </c>
      <c r="O422" s="17" t="str">
        <f t="shared" si="20"/>
        <v>No Match</v>
      </c>
    </row>
    <row r="423" spans="2:15" hidden="1" x14ac:dyDescent="0.3">
      <c r="B423" s="7">
        <v>421</v>
      </c>
      <c r="C423" s="3" t="s">
        <v>427</v>
      </c>
      <c r="D423" s="2" t="s">
        <v>1083</v>
      </c>
      <c r="E423" s="3" t="s">
        <v>1011</v>
      </c>
      <c r="F423" s="3">
        <v>144</v>
      </c>
      <c r="G423" s="3">
        <v>144</v>
      </c>
      <c r="H423" s="8">
        <v>3000</v>
      </c>
      <c r="I423" s="48">
        <f>Table13[[#This Row],[Physical_Stock_Qty]]-Table13[[#This Row],[System_Stock_Qty]]</f>
        <v>0</v>
      </c>
      <c r="J423" s="53" t="str" cm="1">
        <f t="array" ref="J423">_xlfn.IFS(I423=0,"Matched",I423&gt;0,"Excess",I423&lt;0,"Shortage")</f>
        <v>Matched</v>
      </c>
      <c r="K423" s="50">
        <f>ABS(Table13[[#This Row],[Stock Difference]])</f>
        <v>0</v>
      </c>
      <c r="L423" s="17">
        <f t="shared" si="18"/>
        <v>0</v>
      </c>
      <c r="M423" s="17">
        <f t="shared" si="19"/>
        <v>432000</v>
      </c>
      <c r="N423" s="17" t="str" cm="1">
        <f t="array" ref="N423">_xlfn.IFS(K423=0,"Matched", K423&gt;100,"High", K423&gt;=50,"Medium", K423&lt;50,"Low")</f>
        <v>Matched</v>
      </c>
      <c r="O423" s="17" t="str">
        <f t="shared" si="20"/>
        <v>No Match</v>
      </c>
    </row>
    <row r="424" spans="2:15" hidden="1" x14ac:dyDescent="0.3">
      <c r="B424" s="7">
        <v>422</v>
      </c>
      <c r="C424" s="3" t="s">
        <v>428</v>
      </c>
      <c r="D424" s="2" t="s">
        <v>1055</v>
      </c>
      <c r="E424" s="3" t="s">
        <v>1010</v>
      </c>
      <c r="F424" s="3">
        <v>157</v>
      </c>
      <c r="G424" s="3">
        <v>157</v>
      </c>
      <c r="H424" s="8">
        <v>50</v>
      </c>
      <c r="I424" s="48">
        <f>Table13[[#This Row],[Physical_Stock_Qty]]-Table13[[#This Row],[System_Stock_Qty]]</f>
        <v>0</v>
      </c>
      <c r="J424" s="53" t="str" cm="1">
        <f t="array" ref="J424">_xlfn.IFS(I424=0,"Matched",I424&gt;0,"Excess",I424&lt;0,"Shortage")</f>
        <v>Matched</v>
      </c>
      <c r="K424" s="50">
        <f>ABS(Table13[[#This Row],[Stock Difference]])</f>
        <v>0</v>
      </c>
      <c r="L424" s="17">
        <f t="shared" si="18"/>
        <v>0</v>
      </c>
      <c r="M424" s="17">
        <f t="shared" si="19"/>
        <v>7850</v>
      </c>
      <c r="N424" s="17" t="str" cm="1">
        <f t="array" ref="N424">_xlfn.IFS(K424=0,"Matched", K424&gt;100,"High", K424&gt;=50,"Medium", K424&lt;50,"Low")</f>
        <v>Matched</v>
      </c>
      <c r="O424" s="17" t="str">
        <f t="shared" si="20"/>
        <v>No Match</v>
      </c>
    </row>
    <row r="425" spans="2:15" hidden="1" x14ac:dyDescent="0.3">
      <c r="B425" s="7">
        <v>423</v>
      </c>
      <c r="C425" s="3" t="s">
        <v>429</v>
      </c>
      <c r="D425" s="2" t="s">
        <v>1018</v>
      </c>
      <c r="E425" s="3" t="s">
        <v>1012</v>
      </c>
      <c r="F425" s="3">
        <v>144</v>
      </c>
      <c r="G425" s="3">
        <v>144</v>
      </c>
      <c r="H425" s="8">
        <v>3000</v>
      </c>
      <c r="I425" s="48">
        <f>Table13[[#This Row],[Physical_Stock_Qty]]-Table13[[#This Row],[System_Stock_Qty]]</f>
        <v>0</v>
      </c>
      <c r="J425" s="53" t="str" cm="1">
        <f t="array" ref="J425">_xlfn.IFS(I425=0,"Matched",I425&gt;0,"Excess",I425&lt;0,"Shortage")</f>
        <v>Matched</v>
      </c>
      <c r="K425" s="50">
        <f>ABS(Table13[[#This Row],[Stock Difference]])</f>
        <v>0</v>
      </c>
      <c r="L425" s="17">
        <f t="shared" si="18"/>
        <v>0</v>
      </c>
      <c r="M425" s="17">
        <f t="shared" si="19"/>
        <v>432000</v>
      </c>
      <c r="N425" s="17" t="str" cm="1">
        <f t="array" ref="N425">_xlfn.IFS(K425=0,"Matched", K425&gt;100,"High", K425&gt;=50,"Medium", K425&lt;50,"Low")</f>
        <v>Matched</v>
      </c>
      <c r="O425" s="17" t="str">
        <f t="shared" si="20"/>
        <v>No Match</v>
      </c>
    </row>
    <row r="426" spans="2:15" hidden="1" x14ac:dyDescent="0.3">
      <c r="B426" s="7">
        <v>424</v>
      </c>
      <c r="C426" s="3" t="s">
        <v>430</v>
      </c>
      <c r="D426" s="2" t="s">
        <v>1077</v>
      </c>
      <c r="E426" s="3" t="s">
        <v>1011</v>
      </c>
      <c r="F426" s="3">
        <v>42</v>
      </c>
      <c r="G426" s="3">
        <v>42</v>
      </c>
      <c r="H426" s="8">
        <v>5000</v>
      </c>
      <c r="I426" s="48">
        <f>Table13[[#This Row],[Physical_Stock_Qty]]-Table13[[#This Row],[System_Stock_Qty]]</f>
        <v>0</v>
      </c>
      <c r="J426" s="53" t="str" cm="1">
        <f t="array" ref="J426">_xlfn.IFS(I426=0,"Matched",I426&gt;0,"Excess",I426&lt;0,"Shortage")</f>
        <v>Matched</v>
      </c>
      <c r="K426" s="50">
        <f>ABS(Table13[[#This Row],[Stock Difference]])</f>
        <v>0</v>
      </c>
      <c r="L426" s="17">
        <f t="shared" si="18"/>
        <v>0</v>
      </c>
      <c r="M426" s="17">
        <f t="shared" si="19"/>
        <v>210000</v>
      </c>
      <c r="N426" s="17" t="str" cm="1">
        <f t="array" ref="N426">_xlfn.IFS(K426=0,"Matched", K426&gt;100,"High", K426&gt;=50,"Medium", K426&lt;50,"Low")</f>
        <v>Matched</v>
      </c>
      <c r="O426" s="17" t="str">
        <f t="shared" si="20"/>
        <v>No Match</v>
      </c>
    </row>
    <row r="427" spans="2:15" hidden="1" x14ac:dyDescent="0.3">
      <c r="B427" s="7">
        <v>425</v>
      </c>
      <c r="C427" s="3" t="s">
        <v>431</v>
      </c>
      <c r="D427" s="2" t="s">
        <v>1084</v>
      </c>
      <c r="E427" s="3" t="s">
        <v>1011</v>
      </c>
      <c r="F427" s="3">
        <v>152</v>
      </c>
      <c r="G427" s="3">
        <v>152</v>
      </c>
      <c r="H427" s="8">
        <v>2000</v>
      </c>
      <c r="I427" s="48">
        <f>Table13[[#This Row],[Physical_Stock_Qty]]-Table13[[#This Row],[System_Stock_Qty]]</f>
        <v>0</v>
      </c>
      <c r="J427" s="53" t="str" cm="1">
        <f t="array" ref="J427">_xlfn.IFS(I427=0,"Matched",I427&gt;0,"Excess",I427&lt;0,"Shortage")</f>
        <v>Matched</v>
      </c>
      <c r="K427" s="50">
        <f>ABS(Table13[[#This Row],[Stock Difference]])</f>
        <v>0</v>
      </c>
      <c r="L427" s="17">
        <f t="shared" si="18"/>
        <v>0</v>
      </c>
      <c r="M427" s="17">
        <f t="shared" si="19"/>
        <v>304000</v>
      </c>
      <c r="N427" s="17" t="str" cm="1">
        <f t="array" ref="N427">_xlfn.IFS(K427=0,"Matched", K427&gt;100,"High", K427&gt;=50,"Medium", K427&lt;50,"Low")</f>
        <v>Matched</v>
      </c>
      <c r="O427" s="17" t="str">
        <f t="shared" si="20"/>
        <v>No Match</v>
      </c>
    </row>
    <row r="428" spans="2:15" hidden="1" x14ac:dyDescent="0.3">
      <c r="B428" s="7">
        <v>426</v>
      </c>
      <c r="C428" s="3" t="s">
        <v>432</v>
      </c>
      <c r="D428" s="2" t="s">
        <v>1029</v>
      </c>
      <c r="E428" s="3" t="s">
        <v>1008</v>
      </c>
      <c r="F428" s="3">
        <v>38</v>
      </c>
      <c r="G428" s="3">
        <v>38</v>
      </c>
      <c r="H428" s="8">
        <v>3000</v>
      </c>
      <c r="I428" s="48">
        <f>Table13[[#This Row],[Physical_Stock_Qty]]-Table13[[#This Row],[System_Stock_Qty]]</f>
        <v>0</v>
      </c>
      <c r="J428" s="53" t="str" cm="1">
        <f t="array" ref="J428">_xlfn.IFS(I428=0,"Matched",I428&gt;0,"Excess",I428&lt;0,"Shortage")</f>
        <v>Matched</v>
      </c>
      <c r="K428" s="50">
        <f>ABS(Table13[[#This Row],[Stock Difference]])</f>
        <v>0</v>
      </c>
      <c r="L428" s="17">
        <f t="shared" si="18"/>
        <v>0</v>
      </c>
      <c r="M428" s="17">
        <f t="shared" si="19"/>
        <v>114000</v>
      </c>
      <c r="N428" s="17" t="str" cm="1">
        <f t="array" ref="N428">_xlfn.IFS(K428=0,"Matched", K428&gt;100,"High", K428&gt;=50,"Medium", K428&lt;50,"Low")</f>
        <v>Matched</v>
      </c>
      <c r="O428" s="17" t="str">
        <f t="shared" si="20"/>
        <v>No Match</v>
      </c>
    </row>
    <row r="429" spans="2:15" hidden="1" x14ac:dyDescent="0.3">
      <c r="B429" s="7">
        <v>427</v>
      </c>
      <c r="C429" s="3" t="s">
        <v>433</v>
      </c>
      <c r="D429" s="2" t="s">
        <v>1044</v>
      </c>
      <c r="E429" s="3" t="s">
        <v>1010</v>
      </c>
      <c r="F429" s="3">
        <v>150</v>
      </c>
      <c r="G429" s="3">
        <v>150</v>
      </c>
      <c r="H429" s="8">
        <v>100</v>
      </c>
      <c r="I429" s="48">
        <f>Table13[[#This Row],[Physical_Stock_Qty]]-Table13[[#This Row],[System_Stock_Qty]]</f>
        <v>0</v>
      </c>
      <c r="J429" s="53" t="str" cm="1">
        <f t="array" ref="J429">_xlfn.IFS(I429=0,"Matched",I429&gt;0,"Excess",I429&lt;0,"Shortage")</f>
        <v>Matched</v>
      </c>
      <c r="K429" s="50">
        <f>ABS(Table13[[#This Row],[Stock Difference]])</f>
        <v>0</v>
      </c>
      <c r="L429" s="17">
        <f t="shared" si="18"/>
        <v>0</v>
      </c>
      <c r="M429" s="17">
        <f t="shared" si="19"/>
        <v>15000</v>
      </c>
      <c r="N429" s="17" t="str" cm="1">
        <f t="array" ref="N429">_xlfn.IFS(K429=0,"Matched", K429&gt;100,"High", K429&gt;=50,"Medium", K429&lt;50,"Low")</f>
        <v>Matched</v>
      </c>
      <c r="O429" s="17" t="str">
        <f t="shared" si="20"/>
        <v>No Match</v>
      </c>
    </row>
    <row r="430" spans="2:15" hidden="1" x14ac:dyDescent="0.3">
      <c r="B430" s="7">
        <v>428</v>
      </c>
      <c r="C430" s="3" t="s">
        <v>434</v>
      </c>
      <c r="D430" s="2" t="s">
        <v>1032</v>
      </c>
      <c r="E430" s="3" t="s">
        <v>1008</v>
      </c>
      <c r="F430" s="3">
        <v>170</v>
      </c>
      <c r="G430" s="3">
        <v>170</v>
      </c>
      <c r="H430" s="8">
        <v>2000</v>
      </c>
      <c r="I430" s="48">
        <f>Table13[[#This Row],[Physical_Stock_Qty]]-Table13[[#This Row],[System_Stock_Qty]]</f>
        <v>0</v>
      </c>
      <c r="J430" s="53" t="str" cm="1">
        <f t="array" ref="J430">_xlfn.IFS(I430=0,"Matched",I430&gt;0,"Excess",I430&lt;0,"Shortage")</f>
        <v>Matched</v>
      </c>
      <c r="K430" s="50">
        <f>ABS(Table13[[#This Row],[Stock Difference]])</f>
        <v>0</v>
      </c>
      <c r="L430" s="17">
        <f t="shared" si="18"/>
        <v>0</v>
      </c>
      <c r="M430" s="17">
        <f t="shared" si="19"/>
        <v>340000</v>
      </c>
      <c r="N430" s="17" t="str" cm="1">
        <f t="array" ref="N430">_xlfn.IFS(K430=0,"Matched", K430&gt;100,"High", K430&gt;=50,"Medium", K430&lt;50,"Low")</f>
        <v>Matched</v>
      </c>
      <c r="O430" s="17" t="str">
        <f t="shared" si="20"/>
        <v>No Match</v>
      </c>
    </row>
    <row r="431" spans="2:15" hidden="1" x14ac:dyDescent="0.3">
      <c r="B431" s="7">
        <v>429</v>
      </c>
      <c r="C431" s="3" t="s">
        <v>435</v>
      </c>
      <c r="D431" s="2" t="s">
        <v>1081</v>
      </c>
      <c r="E431" s="3" t="s">
        <v>1011</v>
      </c>
      <c r="F431" s="3">
        <v>144</v>
      </c>
      <c r="G431" s="3">
        <v>144</v>
      </c>
      <c r="H431" s="8">
        <v>1000</v>
      </c>
      <c r="I431" s="48">
        <f>Table13[[#This Row],[Physical_Stock_Qty]]-Table13[[#This Row],[System_Stock_Qty]]</f>
        <v>0</v>
      </c>
      <c r="J431" s="53" t="str" cm="1">
        <f t="array" ref="J431">_xlfn.IFS(I431=0,"Matched",I431&gt;0,"Excess",I431&lt;0,"Shortage")</f>
        <v>Matched</v>
      </c>
      <c r="K431" s="50">
        <f>ABS(Table13[[#This Row],[Stock Difference]])</f>
        <v>0</v>
      </c>
      <c r="L431" s="17">
        <f t="shared" si="18"/>
        <v>0</v>
      </c>
      <c r="M431" s="17">
        <f t="shared" si="19"/>
        <v>144000</v>
      </c>
      <c r="N431" s="17" t="str" cm="1">
        <f t="array" ref="N431">_xlfn.IFS(K431=0,"Matched", K431&gt;100,"High", K431&gt;=50,"Medium", K431&lt;50,"Low")</f>
        <v>Matched</v>
      </c>
      <c r="O431" s="17" t="str">
        <f t="shared" si="20"/>
        <v>No Match</v>
      </c>
    </row>
    <row r="432" spans="2:15" hidden="1" x14ac:dyDescent="0.3">
      <c r="B432" s="7">
        <v>430</v>
      </c>
      <c r="C432" s="3" t="s">
        <v>436</v>
      </c>
      <c r="D432" s="2" t="s">
        <v>1041</v>
      </c>
      <c r="E432" s="3" t="s">
        <v>1007</v>
      </c>
      <c r="F432" s="3">
        <v>66</v>
      </c>
      <c r="G432" s="3">
        <v>66</v>
      </c>
      <c r="H432" s="8">
        <v>2000</v>
      </c>
      <c r="I432" s="48">
        <f>Table13[[#This Row],[Physical_Stock_Qty]]-Table13[[#This Row],[System_Stock_Qty]]</f>
        <v>0</v>
      </c>
      <c r="J432" s="53" t="str" cm="1">
        <f t="array" ref="J432">_xlfn.IFS(I432=0,"Matched",I432&gt;0,"Excess",I432&lt;0,"Shortage")</f>
        <v>Matched</v>
      </c>
      <c r="K432" s="50">
        <f>ABS(Table13[[#This Row],[Stock Difference]])</f>
        <v>0</v>
      </c>
      <c r="L432" s="17">
        <f t="shared" si="18"/>
        <v>0</v>
      </c>
      <c r="M432" s="17">
        <f t="shared" si="19"/>
        <v>132000</v>
      </c>
      <c r="N432" s="17" t="str" cm="1">
        <f t="array" ref="N432">_xlfn.IFS(K432=0,"Matched", K432&gt;100,"High", K432&gt;=50,"Medium", K432&lt;50,"Low")</f>
        <v>Matched</v>
      </c>
      <c r="O432" s="17" t="str">
        <f t="shared" si="20"/>
        <v>No Match</v>
      </c>
    </row>
    <row r="433" spans="2:15" hidden="1" x14ac:dyDescent="0.3">
      <c r="B433" s="7">
        <v>431</v>
      </c>
      <c r="C433" s="3" t="s">
        <v>437</v>
      </c>
      <c r="D433" s="2" t="s">
        <v>1024</v>
      </c>
      <c r="E433" s="3" t="s">
        <v>1008</v>
      </c>
      <c r="F433" s="3">
        <v>152</v>
      </c>
      <c r="G433" s="3">
        <v>152</v>
      </c>
      <c r="H433" s="8">
        <v>150000</v>
      </c>
      <c r="I433" s="48">
        <f>Table13[[#This Row],[Physical_Stock_Qty]]-Table13[[#This Row],[System_Stock_Qty]]</f>
        <v>0</v>
      </c>
      <c r="J433" s="53" t="str" cm="1">
        <f t="array" ref="J433">_xlfn.IFS(I433=0,"Matched",I433&gt;0,"Excess",I433&lt;0,"Shortage")</f>
        <v>Matched</v>
      </c>
      <c r="K433" s="50">
        <f>ABS(Table13[[#This Row],[Stock Difference]])</f>
        <v>0</v>
      </c>
      <c r="L433" s="17">
        <f t="shared" si="18"/>
        <v>0</v>
      </c>
      <c r="M433" s="17">
        <f t="shared" si="19"/>
        <v>22800000</v>
      </c>
      <c r="N433" s="17" t="str" cm="1">
        <f t="array" ref="N433">_xlfn.IFS(K433=0,"Matched", K433&gt;100,"High", K433&gt;=50,"Medium", K433&lt;50,"Low")</f>
        <v>Matched</v>
      </c>
      <c r="O433" s="17" t="str">
        <f t="shared" si="20"/>
        <v>No Match</v>
      </c>
    </row>
    <row r="434" spans="2:15" hidden="1" x14ac:dyDescent="0.3">
      <c r="B434" s="7">
        <v>432</v>
      </c>
      <c r="C434" s="3" t="s">
        <v>438</v>
      </c>
      <c r="D434" s="2" t="s">
        <v>1038</v>
      </c>
      <c r="E434" s="3" t="s">
        <v>1007</v>
      </c>
      <c r="F434" s="3">
        <v>63</v>
      </c>
      <c r="G434" s="3">
        <v>63</v>
      </c>
      <c r="H434" s="8">
        <v>5000</v>
      </c>
      <c r="I434" s="48">
        <f>Table13[[#This Row],[Physical_Stock_Qty]]-Table13[[#This Row],[System_Stock_Qty]]</f>
        <v>0</v>
      </c>
      <c r="J434" s="53" t="str" cm="1">
        <f t="array" ref="J434">_xlfn.IFS(I434=0,"Matched",I434&gt;0,"Excess",I434&lt;0,"Shortage")</f>
        <v>Matched</v>
      </c>
      <c r="K434" s="50">
        <f>ABS(Table13[[#This Row],[Stock Difference]])</f>
        <v>0</v>
      </c>
      <c r="L434" s="17">
        <f t="shared" si="18"/>
        <v>0</v>
      </c>
      <c r="M434" s="17">
        <f t="shared" si="19"/>
        <v>315000</v>
      </c>
      <c r="N434" s="17" t="str" cm="1">
        <f t="array" ref="N434">_xlfn.IFS(K434=0,"Matched", K434&gt;100,"High", K434&gt;=50,"Medium", K434&lt;50,"Low")</f>
        <v>Matched</v>
      </c>
      <c r="O434" s="17" t="str">
        <f t="shared" si="20"/>
        <v>No Match</v>
      </c>
    </row>
    <row r="435" spans="2:15" x14ac:dyDescent="0.3">
      <c r="B435" s="7">
        <v>433</v>
      </c>
      <c r="C435" s="3" t="s">
        <v>439</v>
      </c>
      <c r="D435" s="2" t="s">
        <v>1065</v>
      </c>
      <c r="E435" s="3" t="s">
        <v>1009</v>
      </c>
      <c r="F435" s="3">
        <v>76</v>
      </c>
      <c r="G435" s="3">
        <v>42</v>
      </c>
      <c r="H435" s="8">
        <v>200</v>
      </c>
      <c r="I435" s="48">
        <f>Table13[[#This Row],[Physical_Stock_Qty]]-Table13[[#This Row],[System_Stock_Qty]]</f>
        <v>-34</v>
      </c>
      <c r="J435" s="53" t="str" cm="1">
        <f t="array" ref="J435">_xlfn.IFS(I435=0,"Matched",I435&gt;0,"Excess",I435&lt;0,"Shortage")</f>
        <v>Shortage</v>
      </c>
      <c r="K435" s="50">
        <f>ABS(Table13[[#This Row],[Stock Difference]])</f>
        <v>34</v>
      </c>
      <c r="L435" s="17">
        <f t="shared" si="18"/>
        <v>6800</v>
      </c>
      <c r="M435" s="17">
        <f t="shared" si="19"/>
        <v>15200</v>
      </c>
      <c r="N435" s="17" t="str" cm="1">
        <f t="array" ref="N435">_xlfn.IFS(K435=0,"Matched", K435&gt;100,"High", K435&gt;=50,"Medium", K435&lt;50,"Low")</f>
        <v>Low</v>
      </c>
      <c r="O435" s="17" t="str">
        <f t="shared" si="20"/>
        <v>No</v>
      </c>
    </row>
    <row r="436" spans="2:15" x14ac:dyDescent="0.3">
      <c r="B436" s="7">
        <v>434</v>
      </c>
      <c r="C436" s="3" t="s">
        <v>440</v>
      </c>
      <c r="D436" s="2" t="s">
        <v>1035</v>
      </c>
      <c r="E436" s="3" t="s">
        <v>1007</v>
      </c>
      <c r="F436" s="3">
        <v>92</v>
      </c>
      <c r="G436" s="3">
        <v>149</v>
      </c>
      <c r="H436" s="8">
        <v>15000</v>
      </c>
      <c r="I436" s="48">
        <f>Table13[[#This Row],[Physical_Stock_Qty]]-Table13[[#This Row],[System_Stock_Qty]]</f>
        <v>57</v>
      </c>
      <c r="J436" s="53" t="str" cm="1">
        <f t="array" ref="J436">_xlfn.IFS(I436=0,"Matched",I436&gt;0,"Excess",I436&lt;0,"Shortage")</f>
        <v>Excess</v>
      </c>
      <c r="K436" s="50">
        <f>ABS(Table13[[#This Row],[Stock Difference]])</f>
        <v>57</v>
      </c>
      <c r="L436" s="17">
        <f t="shared" si="18"/>
        <v>855000</v>
      </c>
      <c r="M436" s="17">
        <f t="shared" si="19"/>
        <v>1380000</v>
      </c>
      <c r="N436" s="17" t="str" cm="1">
        <f t="array" ref="N436">_xlfn.IFS(K436=0,"Matched", K436&gt;100,"High", K436&gt;=50,"Medium", K436&lt;50,"Low")</f>
        <v>Medium</v>
      </c>
      <c r="O436" s="17" t="str">
        <f t="shared" si="20"/>
        <v>Yes</v>
      </c>
    </row>
    <row r="437" spans="2:15" x14ac:dyDescent="0.3">
      <c r="B437" s="7">
        <v>435</v>
      </c>
      <c r="C437" s="3" t="s">
        <v>441</v>
      </c>
      <c r="D437" s="2" t="s">
        <v>1084</v>
      </c>
      <c r="E437" s="3" t="s">
        <v>1011</v>
      </c>
      <c r="F437" s="3">
        <v>126</v>
      </c>
      <c r="G437" s="3">
        <v>86</v>
      </c>
      <c r="H437" s="8">
        <v>2000</v>
      </c>
      <c r="I437" s="48">
        <f>Table13[[#This Row],[Physical_Stock_Qty]]-Table13[[#This Row],[System_Stock_Qty]]</f>
        <v>-40</v>
      </c>
      <c r="J437" s="53" t="str" cm="1">
        <f t="array" ref="J437">_xlfn.IFS(I437=0,"Matched",I437&gt;0,"Excess",I437&lt;0,"Shortage")</f>
        <v>Shortage</v>
      </c>
      <c r="K437" s="50">
        <f>ABS(Table13[[#This Row],[Stock Difference]])</f>
        <v>40</v>
      </c>
      <c r="L437" s="17">
        <f t="shared" si="18"/>
        <v>80000</v>
      </c>
      <c r="M437" s="17">
        <f t="shared" si="19"/>
        <v>252000</v>
      </c>
      <c r="N437" s="17" t="str" cm="1">
        <f t="array" ref="N437">_xlfn.IFS(K437=0,"Matched", K437&gt;100,"High", K437&gt;=50,"Medium", K437&lt;50,"Low")</f>
        <v>Low</v>
      </c>
      <c r="O437" s="17" t="str">
        <f t="shared" si="20"/>
        <v>No</v>
      </c>
    </row>
    <row r="438" spans="2:15" x14ac:dyDescent="0.3">
      <c r="B438" s="7">
        <v>436</v>
      </c>
      <c r="C438" s="3" t="s">
        <v>442</v>
      </c>
      <c r="D438" s="2" t="s">
        <v>1039</v>
      </c>
      <c r="E438" s="3" t="s">
        <v>1007</v>
      </c>
      <c r="F438" s="3">
        <v>89</v>
      </c>
      <c r="G438" s="3">
        <v>171</v>
      </c>
      <c r="H438" s="8">
        <v>12000</v>
      </c>
      <c r="I438" s="48">
        <f>Table13[[#This Row],[Physical_Stock_Qty]]-Table13[[#This Row],[System_Stock_Qty]]</f>
        <v>82</v>
      </c>
      <c r="J438" s="53" t="str" cm="1">
        <f t="array" ref="J438">_xlfn.IFS(I438=0,"Matched",I438&gt;0,"Excess",I438&lt;0,"Shortage")</f>
        <v>Excess</v>
      </c>
      <c r="K438" s="50">
        <f>ABS(Table13[[#This Row],[Stock Difference]])</f>
        <v>82</v>
      </c>
      <c r="L438" s="17">
        <f t="shared" si="18"/>
        <v>984000</v>
      </c>
      <c r="M438" s="17">
        <f t="shared" si="19"/>
        <v>1068000</v>
      </c>
      <c r="N438" s="17" t="str" cm="1">
        <f t="array" ref="N438">_xlfn.IFS(K438=0,"Matched", K438&gt;100,"High", K438&gt;=50,"Medium", K438&lt;50,"Low")</f>
        <v>Medium</v>
      </c>
      <c r="O438" s="17" t="str">
        <f t="shared" si="20"/>
        <v>Yes</v>
      </c>
    </row>
    <row r="439" spans="2:15" x14ac:dyDescent="0.3">
      <c r="B439" s="7">
        <v>437</v>
      </c>
      <c r="C439" s="3" t="s">
        <v>443</v>
      </c>
      <c r="D439" s="2" t="s">
        <v>1030</v>
      </c>
      <c r="E439" s="3" t="s">
        <v>1008</v>
      </c>
      <c r="F439" s="3">
        <v>37</v>
      </c>
      <c r="G439" s="3">
        <v>118</v>
      </c>
      <c r="H439" s="8">
        <v>70000</v>
      </c>
      <c r="I439" s="48">
        <f>Table13[[#This Row],[Physical_Stock_Qty]]-Table13[[#This Row],[System_Stock_Qty]]</f>
        <v>81</v>
      </c>
      <c r="J439" s="53" t="str" cm="1">
        <f t="array" ref="J439">_xlfn.IFS(I439=0,"Matched",I439&gt;0,"Excess",I439&lt;0,"Shortage")</f>
        <v>Excess</v>
      </c>
      <c r="K439" s="50">
        <f>ABS(Table13[[#This Row],[Stock Difference]])</f>
        <v>81</v>
      </c>
      <c r="L439" s="17">
        <f t="shared" si="18"/>
        <v>5670000</v>
      </c>
      <c r="M439" s="17">
        <f t="shared" si="19"/>
        <v>2590000</v>
      </c>
      <c r="N439" s="17" t="str" cm="1">
        <f t="array" ref="N439">_xlfn.IFS(K439=0,"Matched", K439&gt;100,"High", K439&gt;=50,"Medium", K439&lt;50,"Low")</f>
        <v>Medium</v>
      </c>
      <c r="O439" s="17" t="str">
        <f t="shared" si="20"/>
        <v>Yes</v>
      </c>
    </row>
    <row r="440" spans="2:15" hidden="1" x14ac:dyDescent="0.3">
      <c r="B440" s="7">
        <v>438</v>
      </c>
      <c r="C440" s="3" t="s">
        <v>444</v>
      </c>
      <c r="D440" s="2" t="s">
        <v>1048</v>
      </c>
      <c r="E440" s="3" t="s">
        <v>1010</v>
      </c>
      <c r="F440" s="3">
        <v>115</v>
      </c>
      <c r="G440" s="3">
        <v>115</v>
      </c>
      <c r="H440" s="8">
        <v>50</v>
      </c>
      <c r="I440" s="48">
        <f>Table13[[#This Row],[Physical_Stock_Qty]]-Table13[[#This Row],[System_Stock_Qty]]</f>
        <v>0</v>
      </c>
      <c r="J440" s="53" t="str" cm="1">
        <f t="array" ref="J440">_xlfn.IFS(I440=0,"Matched",I440&gt;0,"Excess",I440&lt;0,"Shortage")</f>
        <v>Matched</v>
      </c>
      <c r="K440" s="50">
        <f>ABS(Table13[[#This Row],[Stock Difference]])</f>
        <v>0</v>
      </c>
      <c r="L440" s="17">
        <f t="shared" si="18"/>
        <v>0</v>
      </c>
      <c r="M440" s="17">
        <f t="shared" si="19"/>
        <v>5750</v>
      </c>
      <c r="N440" s="17" t="str" cm="1">
        <f t="array" ref="N440">_xlfn.IFS(K440=0,"Matched", K440&gt;100,"High", K440&gt;=50,"Medium", K440&lt;50,"Low")</f>
        <v>Matched</v>
      </c>
      <c r="O440" s="17" t="str">
        <f t="shared" si="20"/>
        <v>No Match</v>
      </c>
    </row>
    <row r="441" spans="2:15" hidden="1" x14ac:dyDescent="0.3">
      <c r="B441" s="7">
        <v>439</v>
      </c>
      <c r="C441" s="3" t="s">
        <v>445</v>
      </c>
      <c r="D441" s="2" t="s">
        <v>1038</v>
      </c>
      <c r="E441" s="3" t="s">
        <v>1007</v>
      </c>
      <c r="F441" s="3">
        <v>113</v>
      </c>
      <c r="G441" s="3">
        <v>113</v>
      </c>
      <c r="H441" s="8">
        <v>5000</v>
      </c>
      <c r="I441" s="48">
        <f>Table13[[#This Row],[Physical_Stock_Qty]]-Table13[[#This Row],[System_Stock_Qty]]</f>
        <v>0</v>
      </c>
      <c r="J441" s="53" t="str" cm="1">
        <f t="array" ref="J441">_xlfn.IFS(I441=0,"Matched",I441&gt;0,"Excess",I441&lt;0,"Shortage")</f>
        <v>Matched</v>
      </c>
      <c r="K441" s="50">
        <f>ABS(Table13[[#This Row],[Stock Difference]])</f>
        <v>0</v>
      </c>
      <c r="L441" s="17">
        <f t="shared" si="18"/>
        <v>0</v>
      </c>
      <c r="M441" s="17">
        <f t="shared" si="19"/>
        <v>565000</v>
      </c>
      <c r="N441" s="17" t="str" cm="1">
        <f t="array" ref="N441">_xlfn.IFS(K441=0,"Matched", K441&gt;100,"High", K441&gt;=50,"Medium", K441&lt;50,"Low")</f>
        <v>Matched</v>
      </c>
      <c r="O441" s="17" t="str">
        <f t="shared" si="20"/>
        <v>No Match</v>
      </c>
    </row>
    <row r="442" spans="2:15" hidden="1" x14ac:dyDescent="0.3">
      <c r="B442" s="7">
        <v>440</v>
      </c>
      <c r="C442" s="3" t="s">
        <v>446</v>
      </c>
      <c r="D442" s="2" t="s">
        <v>1017</v>
      </c>
      <c r="E442" s="3" t="s">
        <v>1012</v>
      </c>
      <c r="F442" s="3">
        <v>151</v>
      </c>
      <c r="G442" s="3">
        <v>151</v>
      </c>
      <c r="H442" s="8">
        <v>200</v>
      </c>
      <c r="I442" s="48">
        <f>Table13[[#This Row],[Physical_Stock_Qty]]-Table13[[#This Row],[System_Stock_Qty]]</f>
        <v>0</v>
      </c>
      <c r="J442" s="53" t="str" cm="1">
        <f t="array" ref="J442">_xlfn.IFS(I442=0,"Matched",I442&gt;0,"Excess",I442&lt;0,"Shortage")</f>
        <v>Matched</v>
      </c>
      <c r="K442" s="50">
        <f>ABS(Table13[[#This Row],[Stock Difference]])</f>
        <v>0</v>
      </c>
      <c r="L442" s="17">
        <f t="shared" si="18"/>
        <v>0</v>
      </c>
      <c r="M442" s="17">
        <f t="shared" si="19"/>
        <v>30200</v>
      </c>
      <c r="N442" s="17" t="str" cm="1">
        <f t="array" ref="N442">_xlfn.IFS(K442=0,"Matched", K442&gt;100,"High", K442&gt;=50,"Medium", K442&lt;50,"Low")</f>
        <v>Matched</v>
      </c>
      <c r="O442" s="17" t="str">
        <f t="shared" si="20"/>
        <v>No Match</v>
      </c>
    </row>
    <row r="443" spans="2:15" hidden="1" x14ac:dyDescent="0.3">
      <c r="B443" s="7">
        <v>441</v>
      </c>
      <c r="C443" s="3" t="s">
        <v>447</v>
      </c>
      <c r="D443" s="2" t="s">
        <v>1034</v>
      </c>
      <c r="E443" s="3" t="s">
        <v>1008</v>
      </c>
      <c r="F443" s="3">
        <v>55</v>
      </c>
      <c r="G443" s="3">
        <v>55</v>
      </c>
      <c r="H443" s="8">
        <v>50000</v>
      </c>
      <c r="I443" s="48">
        <f>Table13[[#This Row],[Physical_Stock_Qty]]-Table13[[#This Row],[System_Stock_Qty]]</f>
        <v>0</v>
      </c>
      <c r="J443" s="53" t="str" cm="1">
        <f t="array" ref="J443">_xlfn.IFS(I443=0,"Matched",I443&gt;0,"Excess",I443&lt;0,"Shortage")</f>
        <v>Matched</v>
      </c>
      <c r="K443" s="50">
        <f>ABS(Table13[[#This Row],[Stock Difference]])</f>
        <v>0</v>
      </c>
      <c r="L443" s="17">
        <f t="shared" si="18"/>
        <v>0</v>
      </c>
      <c r="M443" s="17">
        <f t="shared" si="19"/>
        <v>2750000</v>
      </c>
      <c r="N443" s="17" t="str" cm="1">
        <f t="array" ref="N443">_xlfn.IFS(K443=0,"Matched", K443&gt;100,"High", K443&gt;=50,"Medium", K443&lt;50,"Low")</f>
        <v>Matched</v>
      </c>
      <c r="O443" s="17" t="str">
        <f t="shared" si="20"/>
        <v>No Match</v>
      </c>
    </row>
    <row r="444" spans="2:15" hidden="1" x14ac:dyDescent="0.3">
      <c r="B444" s="7">
        <v>442</v>
      </c>
      <c r="C444" s="3" t="s">
        <v>448</v>
      </c>
      <c r="D444" s="2" t="s">
        <v>1055</v>
      </c>
      <c r="E444" s="3" t="s">
        <v>1010</v>
      </c>
      <c r="F444" s="3">
        <v>73</v>
      </c>
      <c r="G444" s="3">
        <v>73</v>
      </c>
      <c r="H444" s="8">
        <v>50</v>
      </c>
      <c r="I444" s="48">
        <f>Table13[[#This Row],[Physical_Stock_Qty]]-Table13[[#This Row],[System_Stock_Qty]]</f>
        <v>0</v>
      </c>
      <c r="J444" s="53" t="str" cm="1">
        <f t="array" ref="J444">_xlfn.IFS(I444=0,"Matched",I444&gt;0,"Excess",I444&lt;0,"Shortage")</f>
        <v>Matched</v>
      </c>
      <c r="K444" s="50">
        <f>ABS(Table13[[#This Row],[Stock Difference]])</f>
        <v>0</v>
      </c>
      <c r="L444" s="17">
        <f t="shared" si="18"/>
        <v>0</v>
      </c>
      <c r="M444" s="17">
        <f t="shared" si="19"/>
        <v>3650</v>
      </c>
      <c r="N444" s="17" t="str" cm="1">
        <f t="array" ref="N444">_xlfn.IFS(K444=0,"Matched", K444&gt;100,"High", K444&gt;=50,"Medium", K444&lt;50,"Low")</f>
        <v>Matched</v>
      </c>
      <c r="O444" s="17" t="str">
        <f t="shared" si="20"/>
        <v>No Match</v>
      </c>
    </row>
    <row r="445" spans="2:15" hidden="1" x14ac:dyDescent="0.3">
      <c r="B445" s="7">
        <v>443</v>
      </c>
      <c r="C445" s="3" t="s">
        <v>449</v>
      </c>
      <c r="D445" s="2" t="s">
        <v>1036</v>
      </c>
      <c r="E445" s="3" t="s">
        <v>1007</v>
      </c>
      <c r="F445" s="3">
        <v>49</v>
      </c>
      <c r="G445" s="3">
        <v>49</v>
      </c>
      <c r="H445" s="8">
        <v>8000</v>
      </c>
      <c r="I445" s="48">
        <f>Table13[[#This Row],[Physical_Stock_Qty]]-Table13[[#This Row],[System_Stock_Qty]]</f>
        <v>0</v>
      </c>
      <c r="J445" s="53" t="str" cm="1">
        <f t="array" ref="J445">_xlfn.IFS(I445=0,"Matched",I445&gt;0,"Excess",I445&lt;0,"Shortage")</f>
        <v>Matched</v>
      </c>
      <c r="K445" s="50">
        <f>ABS(Table13[[#This Row],[Stock Difference]])</f>
        <v>0</v>
      </c>
      <c r="L445" s="17">
        <f t="shared" si="18"/>
        <v>0</v>
      </c>
      <c r="M445" s="17">
        <f t="shared" si="19"/>
        <v>392000</v>
      </c>
      <c r="N445" s="17" t="str" cm="1">
        <f t="array" ref="N445">_xlfn.IFS(K445=0,"Matched", K445&gt;100,"High", K445&gt;=50,"Medium", K445&lt;50,"Low")</f>
        <v>Matched</v>
      </c>
      <c r="O445" s="17" t="str">
        <f t="shared" si="20"/>
        <v>No Match</v>
      </c>
    </row>
    <row r="446" spans="2:15" hidden="1" x14ac:dyDescent="0.3">
      <c r="B446" s="7">
        <v>444</v>
      </c>
      <c r="C446" s="3" t="s">
        <v>450</v>
      </c>
      <c r="D446" s="2" t="s">
        <v>1025</v>
      </c>
      <c r="E446" s="3" t="s">
        <v>1008</v>
      </c>
      <c r="F446" s="3">
        <v>64</v>
      </c>
      <c r="G446" s="3">
        <v>64</v>
      </c>
      <c r="H446" s="8">
        <v>30000</v>
      </c>
      <c r="I446" s="48">
        <f>Table13[[#This Row],[Physical_Stock_Qty]]-Table13[[#This Row],[System_Stock_Qty]]</f>
        <v>0</v>
      </c>
      <c r="J446" s="53" t="str" cm="1">
        <f t="array" ref="J446">_xlfn.IFS(I446=0,"Matched",I446&gt;0,"Excess",I446&lt;0,"Shortage")</f>
        <v>Matched</v>
      </c>
      <c r="K446" s="50">
        <f>ABS(Table13[[#This Row],[Stock Difference]])</f>
        <v>0</v>
      </c>
      <c r="L446" s="17">
        <f t="shared" si="18"/>
        <v>0</v>
      </c>
      <c r="M446" s="17">
        <f t="shared" si="19"/>
        <v>1920000</v>
      </c>
      <c r="N446" s="17" t="str" cm="1">
        <f t="array" ref="N446">_xlfn.IFS(K446=0,"Matched", K446&gt;100,"High", K446&gt;=50,"Medium", K446&lt;50,"Low")</f>
        <v>Matched</v>
      </c>
      <c r="O446" s="17" t="str">
        <f t="shared" si="20"/>
        <v>No Match</v>
      </c>
    </row>
    <row r="447" spans="2:15" hidden="1" x14ac:dyDescent="0.3">
      <c r="B447" s="7">
        <v>445</v>
      </c>
      <c r="C447" s="3" t="s">
        <v>451</v>
      </c>
      <c r="D447" s="2" t="s">
        <v>1036</v>
      </c>
      <c r="E447" s="3" t="s">
        <v>1007</v>
      </c>
      <c r="F447" s="3">
        <v>141</v>
      </c>
      <c r="G447" s="3">
        <v>141</v>
      </c>
      <c r="H447" s="8">
        <v>8000</v>
      </c>
      <c r="I447" s="48">
        <f>Table13[[#This Row],[Physical_Stock_Qty]]-Table13[[#This Row],[System_Stock_Qty]]</f>
        <v>0</v>
      </c>
      <c r="J447" s="53" t="str" cm="1">
        <f t="array" ref="J447">_xlfn.IFS(I447=0,"Matched",I447&gt;0,"Excess",I447&lt;0,"Shortage")</f>
        <v>Matched</v>
      </c>
      <c r="K447" s="50">
        <f>ABS(Table13[[#This Row],[Stock Difference]])</f>
        <v>0</v>
      </c>
      <c r="L447" s="17">
        <f t="shared" si="18"/>
        <v>0</v>
      </c>
      <c r="M447" s="17">
        <f t="shared" si="19"/>
        <v>1128000</v>
      </c>
      <c r="N447" s="17" t="str" cm="1">
        <f t="array" ref="N447">_xlfn.IFS(K447=0,"Matched", K447&gt;100,"High", K447&gt;=50,"Medium", K447&lt;50,"Low")</f>
        <v>Matched</v>
      </c>
      <c r="O447" s="17" t="str">
        <f t="shared" si="20"/>
        <v>No Match</v>
      </c>
    </row>
    <row r="448" spans="2:15" hidden="1" x14ac:dyDescent="0.3">
      <c r="B448" s="7">
        <v>446</v>
      </c>
      <c r="C448" s="3" t="s">
        <v>452</v>
      </c>
      <c r="D448" s="2" t="s">
        <v>1060</v>
      </c>
      <c r="E448" s="3" t="s">
        <v>1012</v>
      </c>
      <c r="F448" s="3">
        <v>139</v>
      </c>
      <c r="G448" s="3">
        <v>139</v>
      </c>
      <c r="H448" s="8">
        <v>1500</v>
      </c>
      <c r="I448" s="48">
        <f>Table13[[#This Row],[Physical_Stock_Qty]]-Table13[[#This Row],[System_Stock_Qty]]</f>
        <v>0</v>
      </c>
      <c r="J448" s="53" t="str" cm="1">
        <f t="array" ref="J448">_xlfn.IFS(I448=0,"Matched",I448&gt;0,"Excess",I448&lt;0,"Shortage")</f>
        <v>Matched</v>
      </c>
      <c r="K448" s="50">
        <f>ABS(Table13[[#This Row],[Stock Difference]])</f>
        <v>0</v>
      </c>
      <c r="L448" s="17">
        <f t="shared" si="18"/>
        <v>0</v>
      </c>
      <c r="M448" s="17">
        <f t="shared" si="19"/>
        <v>208500</v>
      </c>
      <c r="N448" s="17" t="str" cm="1">
        <f t="array" ref="N448">_xlfn.IFS(K448=0,"Matched", K448&gt;100,"High", K448&gt;=50,"Medium", K448&lt;50,"Low")</f>
        <v>Matched</v>
      </c>
      <c r="O448" s="17" t="str">
        <f t="shared" si="20"/>
        <v>No Match</v>
      </c>
    </row>
    <row r="449" spans="2:15" hidden="1" x14ac:dyDescent="0.3">
      <c r="B449" s="7">
        <v>447</v>
      </c>
      <c r="C449" s="3" t="s">
        <v>453</v>
      </c>
      <c r="D449" s="2" t="s">
        <v>1066</v>
      </c>
      <c r="E449" s="3" t="s">
        <v>1009</v>
      </c>
      <c r="F449" s="3">
        <v>199</v>
      </c>
      <c r="G449" s="3">
        <v>199</v>
      </c>
      <c r="H449" s="8">
        <v>800</v>
      </c>
      <c r="I449" s="48">
        <f>Table13[[#This Row],[Physical_Stock_Qty]]-Table13[[#This Row],[System_Stock_Qty]]</f>
        <v>0</v>
      </c>
      <c r="J449" s="53" t="str" cm="1">
        <f t="array" ref="J449">_xlfn.IFS(I449=0,"Matched",I449&gt;0,"Excess",I449&lt;0,"Shortage")</f>
        <v>Matched</v>
      </c>
      <c r="K449" s="50">
        <f>ABS(Table13[[#This Row],[Stock Difference]])</f>
        <v>0</v>
      </c>
      <c r="L449" s="17">
        <f t="shared" si="18"/>
        <v>0</v>
      </c>
      <c r="M449" s="17">
        <f t="shared" si="19"/>
        <v>159200</v>
      </c>
      <c r="N449" s="17" t="str" cm="1">
        <f t="array" ref="N449">_xlfn.IFS(K449=0,"Matched", K449&gt;100,"High", K449&gt;=50,"Medium", K449&lt;50,"Low")</f>
        <v>Matched</v>
      </c>
      <c r="O449" s="17" t="str">
        <f t="shared" si="20"/>
        <v>No Match</v>
      </c>
    </row>
    <row r="450" spans="2:15" hidden="1" x14ac:dyDescent="0.3">
      <c r="B450" s="7">
        <v>448</v>
      </c>
      <c r="C450" s="3" t="s">
        <v>454</v>
      </c>
      <c r="D450" s="2" t="s">
        <v>1087</v>
      </c>
      <c r="E450" s="3" t="s">
        <v>1011</v>
      </c>
      <c r="F450" s="3">
        <v>74</v>
      </c>
      <c r="G450" s="3">
        <v>74</v>
      </c>
      <c r="H450" s="8">
        <v>5000</v>
      </c>
      <c r="I450" s="48">
        <f>Table13[[#This Row],[Physical_Stock_Qty]]-Table13[[#This Row],[System_Stock_Qty]]</f>
        <v>0</v>
      </c>
      <c r="J450" s="53" t="str" cm="1">
        <f t="array" ref="J450">_xlfn.IFS(I450=0,"Matched",I450&gt;0,"Excess",I450&lt;0,"Shortage")</f>
        <v>Matched</v>
      </c>
      <c r="K450" s="50">
        <f>ABS(Table13[[#This Row],[Stock Difference]])</f>
        <v>0</v>
      </c>
      <c r="L450" s="17">
        <f t="shared" si="18"/>
        <v>0</v>
      </c>
      <c r="M450" s="17">
        <f t="shared" si="19"/>
        <v>370000</v>
      </c>
      <c r="N450" s="17" t="str" cm="1">
        <f t="array" ref="N450">_xlfn.IFS(K450=0,"Matched", K450&gt;100,"High", K450&gt;=50,"Medium", K450&lt;50,"Low")</f>
        <v>Matched</v>
      </c>
      <c r="O450" s="17" t="str">
        <f t="shared" si="20"/>
        <v>No Match</v>
      </c>
    </row>
    <row r="451" spans="2:15" hidden="1" x14ac:dyDescent="0.3">
      <c r="B451" s="7">
        <v>449</v>
      </c>
      <c r="C451" s="3" t="s">
        <v>455</v>
      </c>
      <c r="D451" s="2" t="s">
        <v>1050</v>
      </c>
      <c r="E451" s="3" t="s">
        <v>1010</v>
      </c>
      <c r="F451" s="3">
        <v>54</v>
      </c>
      <c r="G451" s="3">
        <v>54</v>
      </c>
      <c r="H451" s="8">
        <v>30</v>
      </c>
      <c r="I451" s="48">
        <f>Table13[[#This Row],[Physical_Stock_Qty]]-Table13[[#This Row],[System_Stock_Qty]]</f>
        <v>0</v>
      </c>
      <c r="J451" s="53" t="str" cm="1">
        <f t="array" ref="J451">_xlfn.IFS(I451=0,"Matched",I451&gt;0,"Excess",I451&lt;0,"Shortage")</f>
        <v>Matched</v>
      </c>
      <c r="K451" s="50">
        <f>ABS(Table13[[#This Row],[Stock Difference]])</f>
        <v>0</v>
      </c>
      <c r="L451" s="17">
        <f t="shared" si="18"/>
        <v>0</v>
      </c>
      <c r="M451" s="17">
        <f t="shared" si="19"/>
        <v>1620</v>
      </c>
      <c r="N451" s="17" t="str" cm="1">
        <f t="array" ref="N451">_xlfn.IFS(K451=0,"Matched", K451&gt;100,"High", K451&gt;=50,"Medium", K451&lt;50,"Low")</f>
        <v>Matched</v>
      </c>
      <c r="O451" s="17" t="str">
        <f t="shared" si="20"/>
        <v>No Match</v>
      </c>
    </row>
    <row r="452" spans="2:15" hidden="1" x14ac:dyDescent="0.3">
      <c r="B452" s="7">
        <v>450</v>
      </c>
      <c r="C452" s="3" t="s">
        <v>456</v>
      </c>
      <c r="D452" s="2" t="s">
        <v>1052</v>
      </c>
      <c r="E452" s="3" t="s">
        <v>1010</v>
      </c>
      <c r="F452" s="3">
        <v>145</v>
      </c>
      <c r="G452" s="3">
        <v>145</v>
      </c>
      <c r="H452" s="8">
        <v>100</v>
      </c>
      <c r="I452" s="48">
        <f>Table13[[#This Row],[Physical_Stock_Qty]]-Table13[[#This Row],[System_Stock_Qty]]</f>
        <v>0</v>
      </c>
      <c r="J452" s="53" t="str" cm="1">
        <f t="array" ref="J452">_xlfn.IFS(I452=0,"Matched",I452&gt;0,"Excess",I452&lt;0,"Shortage")</f>
        <v>Matched</v>
      </c>
      <c r="K452" s="50">
        <f>ABS(Table13[[#This Row],[Stock Difference]])</f>
        <v>0</v>
      </c>
      <c r="L452" s="17">
        <f t="shared" ref="L452:L515" si="21">(K452*H452)</f>
        <v>0</v>
      </c>
      <c r="M452" s="17">
        <f t="shared" ref="M452:M515" si="22">F452*H452</f>
        <v>14500</v>
      </c>
      <c r="N452" s="17" t="str" cm="1">
        <f t="array" ref="N452">_xlfn.IFS(K452=0,"Matched", K452&gt;100,"High", K452&gt;=50,"Medium", K452&lt;50,"Low")</f>
        <v>Matched</v>
      </c>
      <c r="O452" s="17" t="str">
        <f t="shared" ref="O452:O515" si="23">IF(L452&gt;500000,"Yes",IF(L452=0,"No Match","No"))</f>
        <v>No Match</v>
      </c>
    </row>
    <row r="453" spans="2:15" hidden="1" x14ac:dyDescent="0.3">
      <c r="B453" s="7">
        <v>451</v>
      </c>
      <c r="C453" s="3" t="s">
        <v>457</v>
      </c>
      <c r="D453" s="2" t="s">
        <v>1047</v>
      </c>
      <c r="E453" s="3" t="s">
        <v>1010</v>
      </c>
      <c r="F453" s="3">
        <v>47</v>
      </c>
      <c r="G453" s="3">
        <v>47</v>
      </c>
      <c r="H453" s="8">
        <v>500</v>
      </c>
      <c r="I453" s="48">
        <f>Table13[[#This Row],[Physical_Stock_Qty]]-Table13[[#This Row],[System_Stock_Qty]]</f>
        <v>0</v>
      </c>
      <c r="J453" s="53" t="str" cm="1">
        <f t="array" ref="J453">_xlfn.IFS(I453=0,"Matched",I453&gt;0,"Excess",I453&lt;0,"Shortage")</f>
        <v>Matched</v>
      </c>
      <c r="K453" s="50">
        <f>ABS(Table13[[#This Row],[Stock Difference]])</f>
        <v>0</v>
      </c>
      <c r="L453" s="17">
        <f t="shared" si="21"/>
        <v>0</v>
      </c>
      <c r="M453" s="17">
        <f t="shared" si="22"/>
        <v>23500</v>
      </c>
      <c r="N453" s="17" t="str" cm="1">
        <f t="array" ref="N453">_xlfn.IFS(K453=0,"Matched", K453&gt;100,"High", K453&gt;=50,"Medium", K453&lt;50,"Low")</f>
        <v>Matched</v>
      </c>
      <c r="O453" s="17" t="str">
        <f t="shared" si="23"/>
        <v>No Match</v>
      </c>
    </row>
    <row r="454" spans="2:15" hidden="1" x14ac:dyDescent="0.3">
      <c r="B454" s="7">
        <v>452</v>
      </c>
      <c r="C454" s="3" t="s">
        <v>458</v>
      </c>
      <c r="D454" s="2" t="s">
        <v>1064</v>
      </c>
      <c r="E454" s="3" t="s">
        <v>1009</v>
      </c>
      <c r="F454" s="3">
        <v>80</v>
      </c>
      <c r="G454" s="3">
        <v>80</v>
      </c>
      <c r="H454" s="8">
        <v>15000</v>
      </c>
      <c r="I454" s="48">
        <f>Table13[[#This Row],[Physical_Stock_Qty]]-Table13[[#This Row],[System_Stock_Qty]]</f>
        <v>0</v>
      </c>
      <c r="J454" s="53" t="str" cm="1">
        <f t="array" ref="J454">_xlfn.IFS(I454=0,"Matched",I454&gt;0,"Excess",I454&lt;0,"Shortage")</f>
        <v>Matched</v>
      </c>
      <c r="K454" s="50">
        <f>ABS(Table13[[#This Row],[Stock Difference]])</f>
        <v>0</v>
      </c>
      <c r="L454" s="17">
        <f t="shared" si="21"/>
        <v>0</v>
      </c>
      <c r="M454" s="17">
        <f t="shared" si="22"/>
        <v>1200000</v>
      </c>
      <c r="N454" s="17" t="str" cm="1">
        <f t="array" ref="N454">_xlfn.IFS(K454=0,"Matched", K454&gt;100,"High", K454&gt;=50,"Medium", K454&lt;50,"Low")</f>
        <v>Matched</v>
      </c>
      <c r="O454" s="17" t="str">
        <f t="shared" si="23"/>
        <v>No Match</v>
      </c>
    </row>
    <row r="455" spans="2:15" hidden="1" x14ac:dyDescent="0.3">
      <c r="B455" s="7">
        <v>453</v>
      </c>
      <c r="C455" s="3" t="s">
        <v>459</v>
      </c>
      <c r="D455" s="2" t="s">
        <v>1079</v>
      </c>
      <c r="E455" s="3" t="s">
        <v>1011</v>
      </c>
      <c r="F455" s="3">
        <v>65</v>
      </c>
      <c r="G455" s="3">
        <v>65</v>
      </c>
      <c r="H455" s="8">
        <v>5000</v>
      </c>
      <c r="I455" s="48">
        <f>Table13[[#This Row],[Physical_Stock_Qty]]-Table13[[#This Row],[System_Stock_Qty]]</f>
        <v>0</v>
      </c>
      <c r="J455" s="53" t="str" cm="1">
        <f t="array" ref="J455">_xlfn.IFS(I455=0,"Matched",I455&gt;0,"Excess",I455&lt;0,"Shortage")</f>
        <v>Matched</v>
      </c>
      <c r="K455" s="50">
        <f>ABS(Table13[[#This Row],[Stock Difference]])</f>
        <v>0</v>
      </c>
      <c r="L455" s="17">
        <f t="shared" si="21"/>
        <v>0</v>
      </c>
      <c r="M455" s="17">
        <f t="shared" si="22"/>
        <v>325000</v>
      </c>
      <c r="N455" s="17" t="str" cm="1">
        <f t="array" ref="N455">_xlfn.IFS(K455=0,"Matched", K455&gt;100,"High", K455&gt;=50,"Medium", K455&lt;50,"Low")</f>
        <v>Matched</v>
      </c>
      <c r="O455" s="17" t="str">
        <f t="shared" si="23"/>
        <v>No Match</v>
      </c>
    </row>
    <row r="456" spans="2:15" hidden="1" x14ac:dyDescent="0.3">
      <c r="B456" s="7">
        <v>454</v>
      </c>
      <c r="C456" s="3" t="s">
        <v>460</v>
      </c>
      <c r="D456" s="2" t="s">
        <v>1051</v>
      </c>
      <c r="E456" s="3" t="s">
        <v>1010</v>
      </c>
      <c r="F456" s="3">
        <v>39</v>
      </c>
      <c r="G456" s="3">
        <v>39</v>
      </c>
      <c r="H456" s="8">
        <v>50</v>
      </c>
      <c r="I456" s="48">
        <f>Table13[[#This Row],[Physical_Stock_Qty]]-Table13[[#This Row],[System_Stock_Qty]]</f>
        <v>0</v>
      </c>
      <c r="J456" s="53" t="str" cm="1">
        <f t="array" ref="J456">_xlfn.IFS(I456=0,"Matched",I456&gt;0,"Excess",I456&lt;0,"Shortage")</f>
        <v>Matched</v>
      </c>
      <c r="K456" s="50">
        <f>ABS(Table13[[#This Row],[Stock Difference]])</f>
        <v>0</v>
      </c>
      <c r="L456" s="17">
        <f t="shared" si="21"/>
        <v>0</v>
      </c>
      <c r="M456" s="17">
        <f t="shared" si="22"/>
        <v>1950</v>
      </c>
      <c r="N456" s="17" t="str" cm="1">
        <f t="array" ref="N456">_xlfn.IFS(K456=0,"Matched", K456&gt;100,"High", K456&gt;=50,"Medium", K456&lt;50,"Low")</f>
        <v>Matched</v>
      </c>
      <c r="O456" s="17" t="str">
        <f t="shared" si="23"/>
        <v>No Match</v>
      </c>
    </row>
    <row r="457" spans="2:15" hidden="1" x14ac:dyDescent="0.3">
      <c r="B457" s="7">
        <v>455</v>
      </c>
      <c r="C457" s="3" t="s">
        <v>461</v>
      </c>
      <c r="D457" s="2" t="s">
        <v>1039</v>
      </c>
      <c r="E457" s="3" t="s">
        <v>1007</v>
      </c>
      <c r="F457" s="3">
        <v>169</v>
      </c>
      <c r="G457" s="3">
        <v>169</v>
      </c>
      <c r="H457" s="8">
        <v>12000</v>
      </c>
      <c r="I457" s="48">
        <f>Table13[[#This Row],[Physical_Stock_Qty]]-Table13[[#This Row],[System_Stock_Qty]]</f>
        <v>0</v>
      </c>
      <c r="J457" s="53" t="str" cm="1">
        <f t="array" ref="J457">_xlfn.IFS(I457=0,"Matched",I457&gt;0,"Excess",I457&lt;0,"Shortage")</f>
        <v>Matched</v>
      </c>
      <c r="K457" s="50">
        <f>ABS(Table13[[#This Row],[Stock Difference]])</f>
        <v>0</v>
      </c>
      <c r="L457" s="17">
        <f t="shared" si="21"/>
        <v>0</v>
      </c>
      <c r="M457" s="17">
        <f t="shared" si="22"/>
        <v>2028000</v>
      </c>
      <c r="N457" s="17" t="str" cm="1">
        <f t="array" ref="N457">_xlfn.IFS(K457=0,"Matched", K457&gt;100,"High", K457&gt;=50,"Medium", K457&lt;50,"Low")</f>
        <v>Matched</v>
      </c>
      <c r="O457" s="17" t="str">
        <f t="shared" si="23"/>
        <v>No Match</v>
      </c>
    </row>
    <row r="458" spans="2:15" hidden="1" x14ac:dyDescent="0.3">
      <c r="B458" s="7">
        <v>456</v>
      </c>
      <c r="C458" s="3" t="s">
        <v>462</v>
      </c>
      <c r="D458" s="2" t="s">
        <v>1054</v>
      </c>
      <c r="E458" s="3" t="s">
        <v>1010</v>
      </c>
      <c r="F458" s="3">
        <v>165</v>
      </c>
      <c r="G458" s="3">
        <v>165</v>
      </c>
      <c r="H458" s="8">
        <v>30</v>
      </c>
      <c r="I458" s="48">
        <f>Table13[[#This Row],[Physical_Stock_Qty]]-Table13[[#This Row],[System_Stock_Qty]]</f>
        <v>0</v>
      </c>
      <c r="J458" s="53" t="str" cm="1">
        <f t="array" ref="J458">_xlfn.IFS(I458=0,"Matched",I458&gt;0,"Excess",I458&lt;0,"Shortage")</f>
        <v>Matched</v>
      </c>
      <c r="K458" s="50">
        <f>ABS(Table13[[#This Row],[Stock Difference]])</f>
        <v>0</v>
      </c>
      <c r="L458" s="17">
        <f t="shared" si="21"/>
        <v>0</v>
      </c>
      <c r="M458" s="17">
        <f t="shared" si="22"/>
        <v>4950</v>
      </c>
      <c r="N458" s="17" t="str" cm="1">
        <f t="array" ref="N458">_xlfn.IFS(K458=0,"Matched", K458&gt;100,"High", K458&gt;=50,"Medium", K458&lt;50,"Low")</f>
        <v>Matched</v>
      </c>
      <c r="O458" s="17" t="str">
        <f t="shared" si="23"/>
        <v>No Match</v>
      </c>
    </row>
    <row r="459" spans="2:15" hidden="1" x14ac:dyDescent="0.3">
      <c r="B459" s="7">
        <v>457</v>
      </c>
      <c r="C459" s="3" t="s">
        <v>463</v>
      </c>
      <c r="D459" s="2" t="s">
        <v>1057</v>
      </c>
      <c r="E459" s="3" t="s">
        <v>1012</v>
      </c>
      <c r="F459" s="3">
        <v>90</v>
      </c>
      <c r="G459" s="3">
        <v>90</v>
      </c>
      <c r="H459" s="8">
        <v>500</v>
      </c>
      <c r="I459" s="48">
        <f>Table13[[#This Row],[Physical_Stock_Qty]]-Table13[[#This Row],[System_Stock_Qty]]</f>
        <v>0</v>
      </c>
      <c r="J459" s="53" t="str" cm="1">
        <f t="array" ref="J459">_xlfn.IFS(I459=0,"Matched",I459&gt;0,"Excess",I459&lt;0,"Shortage")</f>
        <v>Matched</v>
      </c>
      <c r="K459" s="50">
        <f>ABS(Table13[[#This Row],[Stock Difference]])</f>
        <v>0</v>
      </c>
      <c r="L459" s="17">
        <f t="shared" si="21"/>
        <v>0</v>
      </c>
      <c r="M459" s="17">
        <f t="shared" si="22"/>
        <v>45000</v>
      </c>
      <c r="N459" s="17" t="str" cm="1">
        <f t="array" ref="N459">_xlfn.IFS(K459=0,"Matched", K459&gt;100,"High", K459&gt;=50,"Medium", K459&lt;50,"Low")</f>
        <v>Matched</v>
      </c>
      <c r="O459" s="17" t="str">
        <f t="shared" si="23"/>
        <v>No Match</v>
      </c>
    </row>
    <row r="460" spans="2:15" hidden="1" x14ac:dyDescent="0.3">
      <c r="B460" s="7">
        <v>458</v>
      </c>
      <c r="C460" s="3" t="s">
        <v>464</v>
      </c>
      <c r="D460" s="2" t="s">
        <v>1053</v>
      </c>
      <c r="E460" s="3" t="s">
        <v>1010</v>
      </c>
      <c r="F460" s="3">
        <v>187</v>
      </c>
      <c r="G460" s="3">
        <v>187</v>
      </c>
      <c r="H460" s="8">
        <v>10</v>
      </c>
      <c r="I460" s="48">
        <f>Table13[[#This Row],[Physical_Stock_Qty]]-Table13[[#This Row],[System_Stock_Qty]]</f>
        <v>0</v>
      </c>
      <c r="J460" s="53" t="str" cm="1">
        <f t="array" ref="J460">_xlfn.IFS(I460=0,"Matched",I460&gt;0,"Excess",I460&lt;0,"Shortage")</f>
        <v>Matched</v>
      </c>
      <c r="K460" s="50">
        <f>ABS(Table13[[#This Row],[Stock Difference]])</f>
        <v>0</v>
      </c>
      <c r="L460" s="17">
        <f t="shared" si="21"/>
        <v>0</v>
      </c>
      <c r="M460" s="17">
        <f t="shared" si="22"/>
        <v>1870</v>
      </c>
      <c r="N460" s="17" t="str" cm="1">
        <f t="array" ref="N460">_xlfn.IFS(K460=0,"Matched", K460&gt;100,"High", K460&gt;=50,"Medium", K460&lt;50,"Low")</f>
        <v>Matched</v>
      </c>
      <c r="O460" s="17" t="str">
        <f t="shared" si="23"/>
        <v>No Match</v>
      </c>
    </row>
    <row r="461" spans="2:15" hidden="1" x14ac:dyDescent="0.3">
      <c r="B461" s="7">
        <v>459</v>
      </c>
      <c r="C461" s="3" t="s">
        <v>465</v>
      </c>
      <c r="D461" s="2" t="s">
        <v>1069</v>
      </c>
      <c r="E461" s="3" t="s">
        <v>1009</v>
      </c>
      <c r="F461" s="3">
        <v>189</v>
      </c>
      <c r="G461" s="3">
        <v>189</v>
      </c>
      <c r="H461" s="8">
        <v>200</v>
      </c>
      <c r="I461" s="48">
        <f>Table13[[#This Row],[Physical_Stock_Qty]]-Table13[[#This Row],[System_Stock_Qty]]</f>
        <v>0</v>
      </c>
      <c r="J461" s="53" t="str" cm="1">
        <f t="array" ref="J461">_xlfn.IFS(I461=0,"Matched",I461&gt;0,"Excess",I461&lt;0,"Shortage")</f>
        <v>Matched</v>
      </c>
      <c r="K461" s="50">
        <f>ABS(Table13[[#This Row],[Stock Difference]])</f>
        <v>0</v>
      </c>
      <c r="L461" s="17">
        <f t="shared" si="21"/>
        <v>0</v>
      </c>
      <c r="M461" s="17">
        <f t="shared" si="22"/>
        <v>37800</v>
      </c>
      <c r="N461" s="17" t="str" cm="1">
        <f t="array" ref="N461">_xlfn.IFS(K461=0,"Matched", K461&gt;100,"High", K461&gt;=50,"Medium", K461&lt;50,"Low")</f>
        <v>Matched</v>
      </c>
      <c r="O461" s="17" t="str">
        <f t="shared" si="23"/>
        <v>No Match</v>
      </c>
    </row>
    <row r="462" spans="2:15" hidden="1" x14ac:dyDescent="0.3">
      <c r="B462" s="7">
        <v>460</v>
      </c>
      <c r="C462" s="3" t="s">
        <v>466</v>
      </c>
      <c r="D462" s="2" t="s">
        <v>1030</v>
      </c>
      <c r="E462" s="3" t="s">
        <v>1008</v>
      </c>
      <c r="F462" s="3">
        <v>115</v>
      </c>
      <c r="G462" s="3">
        <v>115</v>
      </c>
      <c r="H462" s="8">
        <v>70000</v>
      </c>
      <c r="I462" s="48">
        <f>Table13[[#This Row],[Physical_Stock_Qty]]-Table13[[#This Row],[System_Stock_Qty]]</f>
        <v>0</v>
      </c>
      <c r="J462" s="53" t="str" cm="1">
        <f t="array" ref="J462">_xlfn.IFS(I462=0,"Matched",I462&gt;0,"Excess",I462&lt;0,"Shortage")</f>
        <v>Matched</v>
      </c>
      <c r="K462" s="50">
        <f>ABS(Table13[[#This Row],[Stock Difference]])</f>
        <v>0</v>
      </c>
      <c r="L462" s="17">
        <f t="shared" si="21"/>
        <v>0</v>
      </c>
      <c r="M462" s="17">
        <f t="shared" si="22"/>
        <v>8050000</v>
      </c>
      <c r="N462" s="17" t="str" cm="1">
        <f t="array" ref="N462">_xlfn.IFS(K462=0,"Matched", K462&gt;100,"High", K462&gt;=50,"Medium", K462&lt;50,"Low")</f>
        <v>Matched</v>
      </c>
      <c r="O462" s="17" t="str">
        <f t="shared" si="23"/>
        <v>No Match</v>
      </c>
    </row>
    <row r="463" spans="2:15" hidden="1" x14ac:dyDescent="0.3">
      <c r="B463" s="7">
        <v>461</v>
      </c>
      <c r="C463" s="3" t="s">
        <v>467</v>
      </c>
      <c r="D463" s="2" t="s">
        <v>1046</v>
      </c>
      <c r="E463" s="3" t="s">
        <v>1010</v>
      </c>
      <c r="F463" s="3">
        <v>121</v>
      </c>
      <c r="G463" s="3">
        <v>121</v>
      </c>
      <c r="H463" s="8">
        <v>100</v>
      </c>
      <c r="I463" s="48">
        <f>Table13[[#This Row],[Physical_Stock_Qty]]-Table13[[#This Row],[System_Stock_Qty]]</f>
        <v>0</v>
      </c>
      <c r="J463" s="53" t="str" cm="1">
        <f t="array" ref="J463">_xlfn.IFS(I463=0,"Matched",I463&gt;0,"Excess",I463&lt;0,"Shortage")</f>
        <v>Matched</v>
      </c>
      <c r="K463" s="50">
        <f>ABS(Table13[[#This Row],[Stock Difference]])</f>
        <v>0</v>
      </c>
      <c r="L463" s="17">
        <f t="shared" si="21"/>
        <v>0</v>
      </c>
      <c r="M463" s="17">
        <f t="shared" si="22"/>
        <v>12100</v>
      </c>
      <c r="N463" s="17" t="str" cm="1">
        <f t="array" ref="N463">_xlfn.IFS(K463=0,"Matched", K463&gt;100,"High", K463&gt;=50,"Medium", K463&lt;50,"Low")</f>
        <v>Matched</v>
      </c>
      <c r="O463" s="17" t="str">
        <f t="shared" si="23"/>
        <v>No Match</v>
      </c>
    </row>
    <row r="464" spans="2:15" hidden="1" x14ac:dyDescent="0.3">
      <c r="B464" s="7">
        <v>462</v>
      </c>
      <c r="C464" s="3" t="s">
        <v>468</v>
      </c>
      <c r="D464" s="2" t="s">
        <v>1034</v>
      </c>
      <c r="E464" s="3" t="s">
        <v>1008</v>
      </c>
      <c r="F464" s="3">
        <v>156</v>
      </c>
      <c r="G464" s="3">
        <v>156</v>
      </c>
      <c r="H464" s="8">
        <v>50000</v>
      </c>
      <c r="I464" s="48">
        <f>Table13[[#This Row],[Physical_Stock_Qty]]-Table13[[#This Row],[System_Stock_Qty]]</f>
        <v>0</v>
      </c>
      <c r="J464" s="53" t="str" cm="1">
        <f t="array" ref="J464">_xlfn.IFS(I464=0,"Matched",I464&gt;0,"Excess",I464&lt;0,"Shortage")</f>
        <v>Matched</v>
      </c>
      <c r="K464" s="50">
        <f>ABS(Table13[[#This Row],[Stock Difference]])</f>
        <v>0</v>
      </c>
      <c r="L464" s="17">
        <f t="shared" si="21"/>
        <v>0</v>
      </c>
      <c r="M464" s="17">
        <f t="shared" si="22"/>
        <v>7800000</v>
      </c>
      <c r="N464" s="17" t="str" cm="1">
        <f t="array" ref="N464">_xlfn.IFS(K464=0,"Matched", K464&gt;100,"High", K464&gt;=50,"Medium", K464&lt;50,"Low")</f>
        <v>Matched</v>
      </c>
      <c r="O464" s="17" t="str">
        <f t="shared" si="23"/>
        <v>No Match</v>
      </c>
    </row>
    <row r="465" spans="2:15" hidden="1" x14ac:dyDescent="0.3">
      <c r="B465" s="7">
        <v>463</v>
      </c>
      <c r="C465" s="3" t="s">
        <v>469</v>
      </c>
      <c r="D465" s="2" t="s">
        <v>1076</v>
      </c>
      <c r="E465" s="3" t="s">
        <v>1009</v>
      </c>
      <c r="F465" s="3">
        <v>62</v>
      </c>
      <c r="G465" s="3">
        <v>62</v>
      </c>
      <c r="H465" s="8">
        <v>100</v>
      </c>
      <c r="I465" s="48">
        <f>Table13[[#This Row],[Physical_Stock_Qty]]-Table13[[#This Row],[System_Stock_Qty]]</f>
        <v>0</v>
      </c>
      <c r="J465" s="53" t="str" cm="1">
        <f t="array" ref="J465">_xlfn.IFS(I465=0,"Matched",I465&gt;0,"Excess",I465&lt;0,"Shortage")</f>
        <v>Matched</v>
      </c>
      <c r="K465" s="50">
        <f>ABS(Table13[[#This Row],[Stock Difference]])</f>
        <v>0</v>
      </c>
      <c r="L465" s="17">
        <f t="shared" si="21"/>
        <v>0</v>
      </c>
      <c r="M465" s="17">
        <f t="shared" si="22"/>
        <v>6200</v>
      </c>
      <c r="N465" s="17" t="str" cm="1">
        <f t="array" ref="N465">_xlfn.IFS(K465=0,"Matched", K465&gt;100,"High", K465&gt;=50,"Medium", K465&lt;50,"Low")</f>
        <v>Matched</v>
      </c>
      <c r="O465" s="17" t="str">
        <f t="shared" si="23"/>
        <v>No Match</v>
      </c>
    </row>
    <row r="466" spans="2:15" hidden="1" x14ac:dyDescent="0.3">
      <c r="B466" s="7">
        <v>464</v>
      </c>
      <c r="C466" s="3" t="s">
        <v>470</v>
      </c>
      <c r="D466" s="2" t="s">
        <v>1046</v>
      </c>
      <c r="E466" s="3" t="s">
        <v>1010</v>
      </c>
      <c r="F466" s="3">
        <v>33</v>
      </c>
      <c r="G466" s="3">
        <v>33</v>
      </c>
      <c r="H466" s="8">
        <v>100</v>
      </c>
      <c r="I466" s="48">
        <f>Table13[[#This Row],[Physical_Stock_Qty]]-Table13[[#This Row],[System_Stock_Qty]]</f>
        <v>0</v>
      </c>
      <c r="J466" s="53" t="str" cm="1">
        <f t="array" ref="J466">_xlfn.IFS(I466=0,"Matched",I466&gt;0,"Excess",I466&lt;0,"Shortage")</f>
        <v>Matched</v>
      </c>
      <c r="K466" s="50">
        <f>ABS(Table13[[#This Row],[Stock Difference]])</f>
        <v>0</v>
      </c>
      <c r="L466" s="17">
        <f t="shared" si="21"/>
        <v>0</v>
      </c>
      <c r="M466" s="17">
        <f t="shared" si="22"/>
        <v>3300</v>
      </c>
      <c r="N466" s="17" t="str" cm="1">
        <f t="array" ref="N466">_xlfn.IFS(K466=0,"Matched", K466&gt;100,"High", K466&gt;=50,"Medium", K466&lt;50,"Low")</f>
        <v>Matched</v>
      </c>
      <c r="O466" s="17" t="str">
        <f t="shared" si="23"/>
        <v>No Match</v>
      </c>
    </row>
    <row r="467" spans="2:15" x14ac:dyDescent="0.3">
      <c r="B467" s="7">
        <v>465</v>
      </c>
      <c r="C467" s="3" t="s">
        <v>471</v>
      </c>
      <c r="D467" s="2" t="s">
        <v>1042</v>
      </c>
      <c r="E467" s="3" t="s">
        <v>1007</v>
      </c>
      <c r="F467" s="3">
        <v>42</v>
      </c>
      <c r="G467" s="3">
        <v>75</v>
      </c>
      <c r="H467" s="8">
        <v>3000</v>
      </c>
      <c r="I467" s="48">
        <f>Table13[[#This Row],[Physical_Stock_Qty]]-Table13[[#This Row],[System_Stock_Qty]]</f>
        <v>33</v>
      </c>
      <c r="J467" s="53" t="str" cm="1">
        <f t="array" ref="J467">_xlfn.IFS(I467=0,"Matched",I467&gt;0,"Excess",I467&lt;0,"Shortage")</f>
        <v>Excess</v>
      </c>
      <c r="K467" s="50">
        <f>ABS(Table13[[#This Row],[Stock Difference]])</f>
        <v>33</v>
      </c>
      <c r="L467" s="17">
        <f t="shared" si="21"/>
        <v>99000</v>
      </c>
      <c r="M467" s="17">
        <f t="shared" si="22"/>
        <v>126000</v>
      </c>
      <c r="N467" s="17" t="str" cm="1">
        <f t="array" ref="N467">_xlfn.IFS(K467=0,"Matched", K467&gt;100,"High", K467&gt;=50,"Medium", K467&lt;50,"Low")</f>
        <v>Low</v>
      </c>
      <c r="O467" s="17" t="str">
        <f t="shared" si="23"/>
        <v>No</v>
      </c>
    </row>
    <row r="468" spans="2:15" x14ac:dyDescent="0.3">
      <c r="B468" s="7">
        <v>466</v>
      </c>
      <c r="C468" s="3" t="s">
        <v>472</v>
      </c>
      <c r="D468" s="2" t="s">
        <v>1040</v>
      </c>
      <c r="E468" s="3" t="s">
        <v>1007</v>
      </c>
      <c r="F468" s="3">
        <v>149</v>
      </c>
      <c r="G468" s="3">
        <v>121</v>
      </c>
      <c r="H468" s="8">
        <v>5000</v>
      </c>
      <c r="I468" s="48">
        <f>Table13[[#This Row],[Physical_Stock_Qty]]-Table13[[#This Row],[System_Stock_Qty]]</f>
        <v>-28</v>
      </c>
      <c r="J468" s="53" t="str" cm="1">
        <f t="array" ref="J468">_xlfn.IFS(I468=0,"Matched",I468&gt;0,"Excess",I468&lt;0,"Shortage")</f>
        <v>Shortage</v>
      </c>
      <c r="K468" s="50">
        <f>ABS(Table13[[#This Row],[Stock Difference]])</f>
        <v>28</v>
      </c>
      <c r="L468" s="17">
        <f t="shared" si="21"/>
        <v>140000</v>
      </c>
      <c r="M468" s="17">
        <f t="shared" si="22"/>
        <v>745000</v>
      </c>
      <c r="N468" s="17" t="str" cm="1">
        <f t="array" ref="N468">_xlfn.IFS(K468=0,"Matched", K468&gt;100,"High", K468&gt;=50,"Medium", K468&lt;50,"Low")</f>
        <v>Low</v>
      </c>
      <c r="O468" s="17" t="str">
        <f t="shared" si="23"/>
        <v>No</v>
      </c>
    </row>
    <row r="469" spans="2:15" x14ac:dyDescent="0.3">
      <c r="B469" s="7">
        <v>467</v>
      </c>
      <c r="C469" s="3" t="s">
        <v>473</v>
      </c>
      <c r="D469" s="2" t="s">
        <v>1086</v>
      </c>
      <c r="E469" s="3" t="s">
        <v>1011</v>
      </c>
      <c r="F469" s="3">
        <v>86</v>
      </c>
      <c r="G469" s="3">
        <v>135</v>
      </c>
      <c r="H469" s="8">
        <v>4500</v>
      </c>
      <c r="I469" s="48">
        <f>Table13[[#This Row],[Physical_Stock_Qty]]-Table13[[#This Row],[System_Stock_Qty]]</f>
        <v>49</v>
      </c>
      <c r="J469" s="53" t="str" cm="1">
        <f t="array" ref="J469">_xlfn.IFS(I469=0,"Matched",I469&gt;0,"Excess",I469&lt;0,"Shortage")</f>
        <v>Excess</v>
      </c>
      <c r="K469" s="50">
        <f>ABS(Table13[[#This Row],[Stock Difference]])</f>
        <v>49</v>
      </c>
      <c r="L469" s="17">
        <f t="shared" si="21"/>
        <v>220500</v>
      </c>
      <c r="M469" s="17">
        <f t="shared" si="22"/>
        <v>387000</v>
      </c>
      <c r="N469" s="17" t="str" cm="1">
        <f t="array" ref="N469">_xlfn.IFS(K469=0,"Matched", K469&gt;100,"High", K469&gt;=50,"Medium", K469&lt;50,"Low")</f>
        <v>Low</v>
      </c>
      <c r="O469" s="17" t="str">
        <f t="shared" si="23"/>
        <v>No</v>
      </c>
    </row>
    <row r="470" spans="2:15" x14ac:dyDescent="0.3">
      <c r="B470" s="7">
        <v>468</v>
      </c>
      <c r="C470" s="3" t="s">
        <v>474</v>
      </c>
      <c r="D470" s="2" t="s">
        <v>1036</v>
      </c>
      <c r="E470" s="3" t="s">
        <v>1007</v>
      </c>
      <c r="F470" s="3">
        <v>171</v>
      </c>
      <c r="G470" s="3">
        <v>138</v>
      </c>
      <c r="H470" s="8">
        <v>8000</v>
      </c>
      <c r="I470" s="48">
        <f>Table13[[#This Row],[Physical_Stock_Qty]]-Table13[[#This Row],[System_Stock_Qty]]</f>
        <v>-33</v>
      </c>
      <c r="J470" s="53" t="str" cm="1">
        <f t="array" ref="J470">_xlfn.IFS(I470=0,"Matched",I470&gt;0,"Excess",I470&lt;0,"Shortage")</f>
        <v>Shortage</v>
      </c>
      <c r="K470" s="50">
        <f>ABS(Table13[[#This Row],[Stock Difference]])</f>
        <v>33</v>
      </c>
      <c r="L470" s="17">
        <f t="shared" si="21"/>
        <v>264000</v>
      </c>
      <c r="M470" s="17">
        <f t="shared" si="22"/>
        <v>1368000</v>
      </c>
      <c r="N470" s="17" t="str" cm="1">
        <f t="array" ref="N470">_xlfn.IFS(K470=0,"Matched", K470&gt;100,"High", K470&gt;=50,"Medium", K470&lt;50,"Low")</f>
        <v>Low</v>
      </c>
      <c r="O470" s="17" t="str">
        <f t="shared" si="23"/>
        <v>No</v>
      </c>
    </row>
    <row r="471" spans="2:15" x14ac:dyDescent="0.3">
      <c r="B471" s="7">
        <v>469</v>
      </c>
      <c r="C471" s="3" t="s">
        <v>475</v>
      </c>
      <c r="D471" s="2" t="s">
        <v>1025</v>
      </c>
      <c r="E471" s="3" t="s">
        <v>1008</v>
      </c>
      <c r="F471" s="3">
        <v>118</v>
      </c>
      <c r="G471" s="3">
        <v>139</v>
      </c>
      <c r="H471" s="8">
        <v>30000</v>
      </c>
      <c r="I471" s="48">
        <f>Table13[[#This Row],[Physical_Stock_Qty]]-Table13[[#This Row],[System_Stock_Qty]]</f>
        <v>21</v>
      </c>
      <c r="J471" s="53" t="str" cm="1">
        <f t="array" ref="J471">_xlfn.IFS(I471=0,"Matched",I471&gt;0,"Excess",I471&lt;0,"Shortage")</f>
        <v>Excess</v>
      </c>
      <c r="K471" s="50">
        <f>ABS(Table13[[#This Row],[Stock Difference]])</f>
        <v>21</v>
      </c>
      <c r="L471" s="17">
        <f t="shared" si="21"/>
        <v>630000</v>
      </c>
      <c r="M471" s="17">
        <f t="shared" si="22"/>
        <v>3540000</v>
      </c>
      <c r="N471" s="17" t="str" cm="1">
        <f t="array" ref="N471">_xlfn.IFS(K471=0,"Matched", K471&gt;100,"High", K471&gt;=50,"Medium", K471&lt;50,"Low")</f>
        <v>Low</v>
      </c>
      <c r="O471" s="17" t="str">
        <f t="shared" si="23"/>
        <v>Yes</v>
      </c>
    </row>
    <row r="472" spans="2:15" x14ac:dyDescent="0.3">
      <c r="B472" s="7">
        <v>470</v>
      </c>
      <c r="C472" s="3" t="s">
        <v>476</v>
      </c>
      <c r="D472" s="2" t="s">
        <v>1037</v>
      </c>
      <c r="E472" s="3" t="s">
        <v>1007</v>
      </c>
      <c r="F472" s="3">
        <v>145</v>
      </c>
      <c r="G472" s="3">
        <v>195</v>
      </c>
      <c r="H472" s="8">
        <v>10000</v>
      </c>
      <c r="I472" s="48">
        <f>Table13[[#This Row],[Physical_Stock_Qty]]-Table13[[#This Row],[System_Stock_Qty]]</f>
        <v>50</v>
      </c>
      <c r="J472" s="53" t="str" cm="1">
        <f t="array" ref="J472">_xlfn.IFS(I472=0,"Matched",I472&gt;0,"Excess",I472&lt;0,"Shortage")</f>
        <v>Excess</v>
      </c>
      <c r="K472" s="50">
        <f>ABS(Table13[[#This Row],[Stock Difference]])</f>
        <v>50</v>
      </c>
      <c r="L472" s="17">
        <f t="shared" si="21"/>
        <v>500000</v>
      </c>
      <c r="M472" s="17">
        <f t="shared" si="22"/>
        <v>1450000</v>
      </c>
      <c r="N472" s="17" t="str" cm="1">
        <f t="array" ref="N472">_xlfn.IFS(K472=0,"Matched", K472&gt;100,"High", K472&gt;=50,"Medium", K472&lt;50,"Low")</f>
        <v>Medium</v>
      </c>
      <c r="O472" s="17" t="str">
        <f t="shared" si="23"/>
        <v>No</v>
      </c>
    </row>
    <row r="473" spans="2:15" hidden="1" x14ac:dyDescent="0.3">
      <c r="B473" s="7">
        <v>471</v>
      </c>
      <c r="C473" s="3" t="s">
        <v>477</v>
      </c>
      <c r="D473" s="2" t="s">
        <v>1057</v>
      </c>
      <c r="E473" s="3" t="s">
        <v>1012</v>
      </c>
      <c r="F473" s="3">
        <v>192</v>
      </c>
      <c r="G473" s="3">
        <v>192</v>
      </c>
      <c r="H473" s="8">
        <v>500</v>
      </c>
      <c r="I473" s="48">
        <f>Table13[[#This Row],[Physical_Stock_Qty]]-Table13[[#This Row],[System_Stock_Qty]]</f>
        <v>0</v>
      </c>
      <c r="J473" s="53" t="str" cm="1">
        <f t="array" ref="J473">_xlfn.IFS(I473=0,"Matched",I473&gt;0,"Excess",I473&lt;0,"Shortage")</f>
        <v>Matched</v>
      </c>
      <c r="K473" s="50">
        <f>ABS(Table13[[#This Row],[Stock Difference]])</f>
        <v>0</v>
      </c>
      <c r="L473" s="17">
        <f t="shared" si="21"/>
        <v>0</v>
      </c>
      <c r="M473" s="17">
        <f t="shared" si="22"/>
        <v>96000</v>
      </c>
      <c r="N473" s="17" t="str" cm="1">
        <f t="array" ref="N473">_xlfn.IFS(K473=0,"Matched", K473&gt;100,"High", K473&gt;=50,"Medium", K473&lt;50,"Low")</f>
        <v>Matched</v>
      </c>
      <c r="O473" s="17" t="str">
        <f t="shared" si="23"/>
        <v>No Match</v>
      </c>
    </row>
    <row r="474" spans="2:15" hidden="1" x14ac:dyDescent="0.3">
      <c r="B474" s="7">
        <v>472</v>
      </c>
      <c r="C474" s="3" t="s">
        <v>478</v>
      </c>
      <c r="D474" s="2" t="s">
        <v>1057</v>
      </c>
      <c r="E474" s="3" t="s">
        <v>1012</v>
      </c>
      <c r="F474" s="3">
        <v>40</v>
      </c>
      <c r="G474" s="3">
        <v>40</v>
      </c>
      <c r="H474" s="8">
        <v>500</v>
      </c>
      <c r="I474" s="48">
        <f>Table13[[#This Row],[Physical_Stock_Qty]]-Table13[[#This Row],[System_Stock_Qty]]</f>
        <v>0</v>
      </c>
      <c r="J474" s="53" t="str" cm="1">
        <f t="array" ref="J474">_xlfn.IFS(I474=0,"Matched",I474&gt;0,"Excess",I474&lt;0,"Shortage")</f>
        <v>Matched</v>
      </c>
      <c r="K474" s="50">
        <f>ABS(Table13[[#This Row],[Stock Difference]])</f>
        <v>0</v>
      </c>
      <c r="L474" s="17">
        <f t="shared" si="21"/>
        <v>0</v>
      </c>
      <c r="M474" s="17">
        <f t="shared" si="22"/>
        <v>20000</v>
      </c>
      <c r="N474" s="17" t="str" cm="1">
        <f t="array" ref="N474">_xlfn.IFS(K474=0,"Matched", K474&gt;100,"High", K474&gt;=50,"Medium", K474&lt;50,"Low")</f>
        <v>Matched</v>
      </c>
      <c r="O474" s="17" t="str">
        <f t="shared" si="23"/>
        <v>No Match</v>
      </c>
    </row>
    <row r="475" spans="2:15" hidden="1" x14ac:dyDescent="0.3">
      <c r="B475" s="7">
        <v>473</v>
      </c>
      <c r="C475" s="3" t="s">
        <v>479</v>
      </c>
      <c r="D475" s="2" t="s">
        <v>1037</v>
      </c>
      <c r="E475" s="3" t="s">
        <v>1007</v>
      </c>
      <c r="F475" s="3">
        <v>159</v>
      </c>
      <c r="G475" s="3">
        <v>159</v>
      </c>
      <c r="H475" s="8">
        <v>10000</v>
      </c>
      <c r="I475" s="48">
        <f>Table13[[#This Row],[Physical_Stock_Qty]]-Table13[[#This Row],[System_Stock_Qty]]</f>
        <v>0</v>
      </c>
      <c r="J475" s="53" t="str" cm="1">
        <f t="array" ref="J475">_xlfn.IFS(I475=0,"Matched",I475&gt;0,"Excess",I475&lt;0,"Shortage")</f>
        <v>Matched</v>
      </c>
      <c r="K475" s="50">
        <f>ABS(Table13[[#This Row],[Stock Difference]])</f>
        <v>0</v>
      </c>
      <c r="L475" s="17">
        <f t="shared" si="21"/>
        <v>0</v>
      </c>
      <c r="M475" s="17">
        <f t="shared" si="22"/>
        <v>1590000</v>
      </c>
      <c r="N475" s="17" t="str" cm="1">
        <f t="array" ref="N475">_xlfn.IFS(K475=0,"Matched", K475&gt;100,"High", K475&gt;=50,"Medium", K475&lt;50,"Low")</f>
        <v>Matched</v>
      </c>
      <c r="O475" s="17" t="str">
        <f t="shared" si="23"/>
        <v>No Match</v>
      </c>
    </row>
    <row r="476" spans="2:15" hidden="1" x14ac:dyDescent="0.3">
      <c r="B476" s="7">
        <v>474</v>
      </c>
      <c r="C476" s="3" t="s">
        <v>480</v>
      </c>
      <c r="D476" s="2" t="s">
        <v>1032</v>
      </c>
      <c r="E476" s="3" t="s">
        <v>1008</v>
      </c>
      <c r="F476" s="3">
        <v>73</v>
      </c>
      <c r="G476" s="3">
        <v>73</v>
      </c>
      <c r="H476" s="8">
        <v>2000</v>
      </c>
      <c r="I476" s="48">
        <f>Table13[[#This Row],[Physical_Stock_Qty]]-Table13[[#This Row],[System_Stock_Qty]]</f>
        <v>0</v>
      </c>
      <c r="J476" s="53" t="str" cm="1">
        <f t="array" ref="J476">_xlfn.IFS(I476=0,"Matched",I476&gt;0,"Excess",I476&lt;0,"Shortage")</f>
        <v>Matched</v>
      </c>
      <c r="K476" s="50">
        <f>ABS(Table13[[#This Row],[Stock Difference]])</f>
        <v>0</v>
      </c>
      <c r="L476" s="17">
        <f t="shared" si="21"/>
        <v>0</v>
      </c>
      <c r="M476" s="17">
        <f t="shared" si="22"/>
        <v>146000</v>
      </c>
      <c r="N476" s="17" t="str" cm="1">
        <f t="array" ref="N476">_xlfn.IFS(K476=0,"Matched", K476&gt;100,"High", K476&gt;=50,"Medium", K476&lt;50,"Low")</f>
        <v>Matched</v>
      </c>
      <c r="O476" s="17" t="str">
        <f t="shared" si="23"/>
        <v>No Match</v>
      </c>
    </row>
    <row r="477" spans="2:15" hidden="1" x14ac:dyDescent="0.3">
      <c r="B477" s="7">
        <v>475</v>
      </c>
      <c r="C477" s="3" t="s">
        <v>481</v>
      </c>
      <c r="D477" s="2" t="s">
        <v>1037</v>
      </c>
      <c r="E477" s="3" t="s">
        <v>1007</v>
      </c>
      <c r="F477" s="3">
        <v>182</v>
      </c>
      <c r="G477" s="3">
        <v>182</v>
      </c>
      <c r="H477" s="8">
        <v>10000</v>
      </c>
      <c r="I477" s="48">
        <f>Table13[[#This Row],[Physical_Stock_Qty]]-Table13[[#This Row],[System_Stock_Qty]]</f>
        <v>0</v>
      </c>
      <c r="J477" s="53" t="str" cm="1">
        <f t="array" ref="J477">_xlfn.IFS(I477=0,"Matched",I477&gt;0,"Excess",I477&lt;0,"Shortage")</f>
        <v>Matched</v>
      </c>
      <c r="K477" s="50">
        <f>ABS(Table13[[#This Row],[Stock Difference]])</f>
        <v>0</v>
      </c>
      <c r="L477" s="17">
        <f t="shared" si="21"/>
        <v>0</v>
      </c>
      <c r="M477" s="17">
        <f t="shared" si="22"/>
        <v>1820000</v>
      </c>
      <c r="N477" s="17" t="str" cm="1">
        <f t="array" ref="N477">_xlfn.IFS(K477=0,"Matched", K477&gt;100,"High", K477&gt;=50,"Medium", K477&lt;50,"Low")</f>
        <v>Matched</v>
      </c>
      <c r="O477" s="17" t="str">
        <f t="shared" si="23"/>
        <v>No Match</v>
      </c>
    </row>
    <row r="478" spans="2:15" hidden="1" x14ac:dyDescent="0.3">
      <c r="B478" s="7">
        <v>476</v>
      </c>
      <c r="C478" s="3" t="s">
        <v>482</v>
      </c>
      <c r="D478" s="2" t="s">
        <v>1038</v>
      </c>
      <c r="E478" s="3" t="s">
        <v>1007</v>
      </c>
      <c r="F478" s="3">
        <v>45</v>
      </c>
      <c r="G478" s="3">
        <v>45</v>
      </c>
      <c r="H478" s="8">
        <v>5000</v>
      </c>
      <c r="I478" s="48">
        <f>Table13[[#This Row],[Physical_Stock_Qty]]-Table13[[#This Row],[System_Stock_Qty]]</f>
        <v>0</v>
      </c>
      <c r="J478" s="53" t="str" cm="1">
        <f t="array" ref="J478">_xlfn.IFS(I478=0,"Matched",I478&gt;0,"Excess",I478&lt;0,"Shortage")</f>
        <v>Matched</v>
      </c>
      <c r="K478" s="50">
        <f>ABS(Table13[[#This Row],[Stock Difference]])</f>
        <v>0</v>
      </c>
      <c r="L478" s="17">
        <f t="shared" si="21"/>
        <v>0</v>
      </c>
      <c r="M478" s="17">
        <f t="shared" si="22"/>
        <v>225000</v>
      </c>
      <c r="N478" s="17" t="str" cm="1">
        <f t="array" ref="N478">_xlfn.IFS(K478=0,"Matched", K478&gt;100,"High", K478&gt;=50,"Medium", K478&lt;50,"Low")</f>
        <v>Matched</v>
      </c>
      <c r="O478" s="17" t="str">
        <f t="shared" si="23"/>
        <v>No Match</v>
      </c>
    </row>
    <row r="479" spans="2:15" hidden="1" x14ac:dyDescent="0.3">
      <c r="B479" s="7">
        <v>477</v>
      </c>
      <c r="C479" s="3" t="s">
        <v>483</v>
      </c>
      <c r="D479" s="2" t="s">
        <v>1042</v>
      </c>
      <c r="E479" s="3" t="s">
        <v>1007</v>
      </c>
      <c r="F479" s="3">
        <v>73</v>
      </c>
      <c r="G479" s="3">
        <v>73</v>
      </c>
      <c r="H479" s="8">
        <v>3000</v>
      </c>
      <c r="I479" s="48">
        <f>Table13[[#This Row],[Physical_Stock_Qty]]-Table13[[#This Row],[System_Stock_Qty]]</f>
        <v>0</v>
      </c>
      <c r="J479" s="53" t="str" cm="1">
        <f t="array" ref="J479">_xlfn.IFS(I479=0,"Matched",I479&gt;0,"Excess",I479&lt;0,"Shortage")</f>
        <v>Matched</v>
      </c>
      <c r="K479" s="50">
        <f>ABS(Table13[[#This Row],[Stock Difference]])</f>
        <v>0</v>
      </c>
      <c r="L479" s="17">
        <f t="shared" si="21"/>
        <v>0</v>
      </c>
      <c r="M479" s="17">
        <f t="shared" si="22"/>
        <v>219000</v>
      </c>
      <c r="N479" s="17" t="str" cm="1">
        <f t="array" ref="N479">_xlfn.IFS(K479=0,"Matched", K479&gt;100,"High", K479&gt;=50,"Medium", K479&lt;50,"Low")</f>
        <v>Matched</v>
      </c>
      <c r="O479" s="17" t="str">
        <f t="shared" si="23"/>
        <v>No Match</v>
      </c>
    </row>
    <row r="480" spans="2:15" hidden="1" x14ac:dyDescent="0.3">
      <c r="B480" s="7">
        <v>478</v>
      </c>
      <c r="C480" s="3" t="s">
        <v>484</v>
      </c>
      <c r="D480" s="2" t="s">
        <v>1066</v>
      </c>
      <c r="E480" s="3" t="s">
        <v>1009</v>
      </c>
      <c r="F480" s="3">
        <v>200</v>
      </c>
      <c r="G480" s="3">
        <v>200</v>
      </c>
      <c r="H480" s="8">
        <v>800</v>
      </c>
      <c r="I480" s="48">
        <f>Table13[[#This Row],[Physical_Stock_Qty]]-Table13[[#This Row],[System_Stock_Qty]]</f>
        <v>0</v>
      </c>
      <c r="J480" s="53" t="str" cm="1">
        <f t="array" ref="J480">_xlfn.IFS(I480=0,"Matched",I480&gt;0,"Excess",I480&lt;0,"Shortage")</f>
        <v>Matched</v>
      </c>
      <c r="K480" s="50">
        <f>ABS(Table13[[#This Row],[Stock Difference]])</f>
        <v>0</v>
      </c>
      <c r="L480" s="17">
        <f t="shared" si="21"/>
        <v>0</v>
      </c>
      <c r="M480" s="17">
        <f t="shared" si="22"/>
        <v>160000</v>
      </c>
      <c r="N480" s="17" t="str" cm="1">
        <f t="array" ref="N480">_xlfn.IFS(K480=0,"Matched", K480&gt;100,"High", K480&gt;=50,"Medium", K480&lt;50,"Low")</f>
        <v>Matched</v>
      </c>
      <c r="O480" s="17" t="str">
        <f t="shared" si="23"/>
        <v>No Match</v>
      </c>
    </row>
    <row r="481" spans="2:15" hidden="1" x14ac:dyDescent="0.3">
      <c r="B481" s="7">
        <v>479</v>
      </c>
      <c r="C481" s="3" t="s">
        <v>485</v>
      </c>
      <c r="D481" s="2" t="s">
        <v>1040</v>
      </c>
      <c r="E481" s="3" t="s">
        <v>1007</v>
      </c>
      <c r="F481" s="3">
        <v>74</v>
      </c>
      <c r="G481" s="3">
        <v>74</v>
      </c>
      <c r="H481" s="8">
        <v>5000</v>
      </c>
      <c r="I481" s="48">
        <f>Table13[[#This Row],[Physical_Stock_Qty]]-Table13[[#This Row],[System_Stock_Qty]]</f>
        <v>0</v>
      </c>
      <c r="J481" s="53" t="str" cm="1">
        <f t="array" ref="J481">_xlfn.IFS(I481=0,"Matched",I481&gt;0,"Excess",I481&lt;0,"Shortage")</f>
        <v>Matched</v>
      </c>
      <c r="K481" s="50">
        <f>ABS(Table13[[#This Row],[Stock Difference]])</f>
        <v>0</v>
      </c>
      <c r="L481" s="17">
        <f t="shared" si="21"/>
        <v>0</v>
      </c>
      <c r="M481" s="17">
        <f t="shared" si="22"/>
        <v>370000</v>
      </c>
      <c r="N481" s="17" t="str" cm="1">
        <f t="array" ref="N481">_xlfn.IFS(K481=0,"Matched", K481&gt;100,"High", K481&gt;=50,"Medium", K481&lt;50,"Low")</f>
        <v>Matched</v>
      </c>
      <c r="O481" s="17" t="str">
        <f t="shared" si="23"/>
        <v>No Match</v>
      </c>
    </row>
    <row r="482" spans="2:15" hidden="1" x14ac:dyDescent="0.3">
      <c r="B482" s="7">
        <v>480</v>
      </c>
      <c r="C482" s="3" t="s">
        <v>486</v>
      </c>
      <c r="D482" s="2" t="s">
        <v>1062</v>
      </c>
      <c r="E482" s="3" t="s">
        <v>1009</v>
      </c>
      <c r="F482" s="3">
        <v>30</v>
      </c>
      <c r="G482" s="3">
        <v>30</v>
      </c>
      <c r="H482" s="8">
        <v>100</v>
      </c>
      <c r="I482" s="48">
        <f>Table13[[#This Row],[Physical_Stock_Qty]]-Table13[[#This Row],[System_Stock_Qty]]</f>
        <v>0</v>
      </c>
      <c r="J482" s="53" t="str" cm="1">
        <f t="array" ref="J482">_xlfn.IFS(I482=0,"Matched",I482&gt;0,"Excess",I482&lt;0,"Shortage")</f>
        <v>Matched</v>
      </c>
      <c r="K482" s="50">
        <f>ABS(Table13[[#This Row],[Stock Difference]])</f>
        <v>0</v>
      </c>
      <c r="L482" s="17">
        <f t="shared" si="21"/>
        <v>0</v>
      </c>
      <c r="M482" s="17">
        <f t="shared" si="22"/>
        <v>3000</v>
      </c>
      <c r="N482" s="17" t="str" cm="1">
        <f t="array" ref="N482">_xlfn.IFS(K482=0,"Matched", K482&gt;100,"High", K482&gt;=50,"Medium", K482&lt;50,"Low")</f>
        <v>Matched</v>
      </c>
      <c r="O482" s="17" t="str">
        <f t="shared" si="23"/>
        <v>No Match</v>
      </c>
    </row>
    <row r="483" spans="2:15" hidden="1" x14ac:dyDescent="0.3">
      <c r="B483" s="7">
        <v>481</v>
      </c>
      <c r="C483" s="3" t="s">
        <v>487</v>
      </c>
      <c r="D483" s="2" t="s">
        <v>1083</v>
      </c>
      <c r="E483" s="3" t="s">
        <v>1011</v>
      </c>
      <c r="F483" s="3">
        <v>158</v>
      </c>
      <c r="G483" s="3">
        <v>158</v>
      </c>
      <c r="H483" s="8">
        <v>3000</v>
      </c>
      <c r="I483" s="48">
        <f>Table13[[#This Row],[Physical_Stock_Qty]]-Table13[[#This Row],[System_Stock_Qty]]</f>
        <v>0</v>
      </c>
      <c r="J483" s="53" t="str" cm="1">
        <f t="array" ref="J483">_xlfn.IFS(I483=0,"Matched",I483&gt;0,"Excess",I483&lt;0,"Shortage")</f>
        <v>Matched</v>
      </c>
      <c r="K483" s="50">
        <f>ABS(Table13[[#This Row],[Stock Difference]])</f>
        <v>0</v>
      </c>
      <c r="L483" s="17">
        <f t="shared" si="21"/>
        <v>0</v>
      </c>
      <c r="M483" s="17">
        <f t="shared" si="22"/>
        <v>474000</v>
      </c>
      <c r="N483" s="17" t="str" cm="1">
        <f t="array" ref="N483">_xlfn.IFS(K483=0,"Matched", K483&gt;100,"High", K483&gt;=50,"Medium", K483&lt;50,"Low")</f>
        <v>Matched</v>
      </c>
      <c r="O483" s="17" t="str">
        <f t="shared" si="23"/>
        <v>No Match</v>
      </c>
    </row>
    <row r="484" spans="2:15" hidden="1" x14ac:dyDescent="0.3">
      <c r="B484" s="7">
        <v>482</v>
      </c>
      <c r="C484" s="3" t="s">
        <v>488</v>
      </c>
      <c r="D484" s="2" t="s">
        <v>1079</v>
      </c>
      <c r="E484" s="3" t="s">
        <v>1011</v>
      </c>
      <c r="F484" s="3">
        <v>153</v>
      </c>
      <c r="G484" s="3">
        <v>153</v>
      </c>
      <c r="H484" s="8">
        <v>5000</v>
      </c>
      <c r="I484" s="48">
        <f>Table13[[#This Row],[Physical_Stock_Qty]]-Table13[[#This Row],[System_Stock_Qty]]</f>
        <v>0</v>
      </c>
      <c r="J484" s="53" t="str" cm="1">
        <f t="array" ref="J484">_xlfn.IFS(I484=0,"Matched",I484&gt;0,"Excess",I484&lt;0,"Shortage")</f>
        <v>Matched</v>
      </c>
      <c r="K484" s="50">
        <f>ABS(Table13[[#This Row],[Stock Difference]])</f>
        <v>0</v>
      </c>
      <c r="L484" s="17">
        <f t="shared" si="21"/>
        <v>0</v>
      </c>
      <c r="M484" s="17">
        <f t="shared" si="22"/>
        <v>765000</v>
      </c>
      <c r="N484" s="17" t="str" cm="1">
        <f t="array" ref="N484">_xlfn.IFS(K484=0,"Matched", K484&gt;100,"High", K484&gt;=50,"Medium", K484&lt;50,"Low")</f>
        <v>Matched</v>
      </c>
      <c r="O484" s="17" t="str">
        <f t="shared" si="23"/>
        <v>No Match</v>
      </c>
    </row>
    <row r="485" spans="2:15" hidden="1" x14ac:dyDescent="0.3">
      <c r="B485" s="7">
        <v>483</v>
      </c>
      <c r="C485" s="3" t="s">
        <v>489</v>
      </c>
      <c r="D485" s="2" t="s">
        <v>1058</v>
      </c>
      <c r="E485" s="3" t="s">
        <v>1012</v>
      </c>
      <c r="F485" s="3">
        <v>60</v>
      </c>
      <c r="G485" s="3">
        <v>60</v>
      </c>
      <c r="H485" s="8">
        <v>500</v>
      </c>
      <c r="I485" s="48">
        <f>Table13[[#This Row],[Physical_Stock_Qty]]-Table13[[#This Row],[System_Stock_Qty]]</f>
        <v>0</v>
      </c>
      <c r="J485" s="53" t="str" cm="1">
        <f t="array" ref="J485">_xlfn.IFS(I485=0,"Matched",I485&gt;0,"Excess",I485&lt;0,"Shortage")</f>
        <v>Matched</v>
      </c>
      <c r="K485" s="50">
        <f>ABS(Table13[[#This Row],[Stock Difference]])</f>
        <v>0</v>
      </c>
      <c r="L485" s="17">
        <f t="shared" si="21"/>
        <v>0</v>
      </c>
      <c r="M485" s="17">
        <f t="shared" si="22"/>
        <v>30000</v>
      </c>
      <c r="N485" s="17" t="str" cm="1">
        <f t="array" ref="N485">_xlfn.IFS(K485=0,"Matched", K485&gt;100,"High", K485&gt;=50,"Medium", K485&lt;50,"Low")</f>
        <v>Matched</v>
      </c>
      <c r="O485" s="17" t="str">
        <f t="shared" si="23"/>
        <v>No Match</v>
      </c>
    </row>
    <row r="486" spans="2:15" hidden="1" x14ac:dyDescent="0.3">
      <c r="B486" s="7">
        <v>484</v>
      </c>
      <c r="C486" s="3" t="s">
        <v>490</v>
      </c>
      <c r="D486" s="2" t="s">
        <v>1059</v>
      </c>
      <c r="E486" s="3" t="s">
        <v>1012</v>
      </c>
      <c r="F486" s="3">
        <v>170</v>
      </c>
      <c r="G486" s="3">
        <v>170</v>
      </c>
      <c r="H486" s="8">
        <v>200</v>
      </c>
      <c r="I486" s="48">
        <f>Table13[[#This Row],[Physical_Stock_Qty]]-Table13[[#This Row],[System_Stock_Qty]]</f>
        <v>0</v>
      </c>
      <c r="J486" s="53" t="str" cm="1">
        <f t="array" ref="J486">_xlfn.IFS(I486=0,"Matched",I486&gt;0,"Excess",I486&lt;0,"Shortage")</f>
        <v>Matched</v>
      </c>
      <c r="K486" s="50">
        <f>ABS(Table13[[#This Row],[Stock Difference]])</f>
        <v>0</v>
      </c>
      <c r="L486" s="17">
        <f t="shared" si="21"/>
        <v>0</v>
      </c>
      <c r="M486" s="17">
        <f t="shared" si="22"/>
        <v>34000</v>
      </c>
      <c r="N486" s="17" t="str" cm="1">
        <f t="array" ref="N486">_xlfn.IFS(K486=0,"Matched", K486&gt;100,"High", K486&gt;=50,"Medium", K486&lt;50,"Low")</f>
        <v>Matched</v>
      </c>
      <c r="O486" s="17" t="str">
        <f t="shared" si="23"/>
        <v>No Match</v>
      </c>
    </row>
    <row r="487" spans="2:15" hidden="1" x14ac:dyDescent="0.3">
      <c r="B487" s="7">
        <v>485</v>
      </c>
      <c r="C487" s="3" t="s">
        <v>491</v>
      </c>
      <c r="D487" s="2" t="s">
        <v>1081</v>
      </c>
      <c r="E487" s="3" t="s">
        <v>1011</v>
      </c>
      <c r="F487" s="3">
        <v>72</v>
      </c>
      <c r="G487" s="3">
        <v>72</v>
      </c>
      <c r="H487" s="8">
        <v>1000</v>
      </c>
      <c r="I487" s="48">
        <f>Table13[[#This Row],[Physical_Stock_Qty]]-Table13[[#This Row],[System_Stock_Qty]]</f>
        <v>0</v>
      </c>
      <c r="J487" s="53" t="str" cm="1">
        <f t="array" ref="J487">_xlfn.IFS(I487=0,"Matched",I487&gt;0,"Excess",I487&lt;0,"Shortage")</f>
        <v>Matched</v>
      </c>
      <c r="K487" s="50">
        <f>ABS(Table13[[#This Row],[Stock Difference]])</f>
        <v>0</v>
      </c>
      <c r="L487" s="17">
        <f t="shared" si="21"/>
        <v>0</v>
      </c>
      <c r="M487" s="17">
        <f t="shared" si="22"/>
        <v>72000</v>
      </c>
      <c r="N487" s="17" t="str" cm="1">
        <f t="array" ref="N487">_xlfn.IFS(K487=0,"Matched", K487&gt;100,"High", K487&gt;=50,"Medium", K487&lt;50,"Low")</f>
        <v>Matched</v>
      </c>
      <c r="O487" s="17" t="str">
        <f t="shared" si="23"/>
        <v>No Match</v>
      </c>
    </row>
    <row r="488" spans="2:15" hidden="1" x14ac:dyDescent="0.3">
      <c r="B488" s="7">
        <v>486</v>
      </c>
      <c r="C488" s="3" t="s">
        <v>492</v>
      </c>
      <c r="D488" s="2" t="s">
        <v>1055</v>
      </c>
      <c r="E488" s="3" t="s">
        <v>1010</v>
      </c>
      <c r="F488" s="3">
        <v>199</v>
      </c>
      <c r="G488" s="3">
        <v>199</v>
      </c>
      <c r="H488" s="8">
        <v>50</v>
      </c>
      <c r="I488" s="48">
        <f>Table13[[#This Row],[Physical_Stock_Qty]]-Table13[[#This Row],[System_Stock_Qty]]</f>
        <v>0</v>
      </c>
      <c r="J488" s="53" t="str" cm="1">
        <f t="array" ref="J488">_xlfn.IFS(I488=0,"Matched",I488&gt;0,"Excess",I488&lt;0,"Shortage")</f>
        <v>Matched</v>
      </c>
      <c r="K488" s="50">
        <f>ABS(Table13[[#This Row],[Stock Difference]])</f>
        <v>0</v>
      </c>
      <c r="L488" s="17">
        <f t="shared" si="21"/>
        <v>0</v>
      </c>
      <c r="M488" s="17">
        <f t="shared" si="22"/>
        <v>9950</v>
      </c>
      <c r="N488" s="17" t="str" cm="1">
        <f t="array" ref="N488">_xlfn.IFS(K488=0,"Matched", K488&gt;100,"High", K488&gt;=50,"Medium", K488&lt;50,"Low")</f>
        <v>Matched</v>
      </c>
      <c r="O488" s="17" t="str">
        <f t="shared" si="23"/>
        <v>No Match</v>
      </c>
    </row>
    <row r="489" spans="2:15" x14ac:dyDescent="0.3">
      <c r="B489" s="7">
        <v>487</v>
      </c>
      <c r="C489" s="3" t="s">
        <v>493</v>
      </c>
      <c r="D489" s="2" t="s">
        <v>1038</v>
      </c>
      <c r="E489" s="3" t="s">
        <v>1007</v>
      </c>
      <c r="F489" s="3">
        <v>162</v>
      </c>
      <c r="G489" s="3">
        <v>120</v>
      </c>
      <c r="H489" s="8">
        <v>5000</v>
      </c>
      <c r="I489" s="48">
        <f>Table13[[#This Row],[Physical_Stock_Qty]]-Table13[[#This Row],[System_Stock_Qty]]</f>
        <v>-42</v>
      </c>
      <c r="J489" s="53" t="str" cm="1">
        <f t="array" ref="J489">_xlfn.IFS(I489=0,"Matched",I489&gt;0,"Excess",I489&lt;0,"Shortage")</f>
        <v>Shortage</v>
      </c>
      <c r="K489" s="50">
        <f>ABS(Table13[[#This Row],[Stock Difference]])</f>
        <v>42</v>
      </c>
      <c r="L489" s="17">
        <f t="shared" si="21"/>
        <v>210000</v>
      </c>
      <c r="M489" s="17">
        <f t="shared" si="22"/>
        <v>810000</v>
      </c>
      <c r="N489" s="17" t="str" cm="1">
        <f t="array" ref="N489">_xlfn.IFS(K489=0,"Matched", K489&gt;100,"High", K489&gt;=50,"Medium", K489&lt;50,"Low")</f>
        <v>Low</v>
      </c>
      <c r="O489" s="17" t="str">
        <f t="shared" si="23"/>
        <v>No</v>
      </c>
    </row>
    <row r="490" spans="2:15" x14ac:dyDescent="0.3">
      <c r="B490" s="7">
        <v>488</v>
      </c>
      <c r="C490" s="3" t="s">
        <v>494</v>
      </c>
      <c r="D490" s="2" t="s">
        <v>1028</v>
      </c>
      <c r="E490" s="3" t="s">
        <v>1008</v>
      </c>
      <c r="F490" s="3">
        <v>191</v>
      </c>
      <c r="G490" s="3">
        <v>114</v>
      </c>
      <c r="H490" s="8">
        <v>15000</v>
      </c>
      <c r="I490" s="48">
        <f>Table13[[#This Row],[Physical_Stock_Qty]]-Table13[[#This Row],[System_Stock_Qty]]</f>
        <v>-77</v>
      </c>
      <c r="J490" s="53" t="str" cm="1">
        <f t="array" ref="J490">_xlfn.IFS(I490=0,"Matched",I490&gt;0,"Excess",I490&lt;0,"Shortage")</f>
        <v>Shortage</v>
      </c>
      <c r="K490" s="50">
        <f>ABS(Table13[[#This Row],[Stock Difference]])</f>
        <v>77</v>
      </c>
      <c r="L490" s="17">
        <f t="shared" si="21"/>
        <v>1155000</v>
      </c>
      <c r="M490" s="17">
        <f t="shared" si="22"/>
        <v>2865000</v>
      </c>
      <c r="N490" s="17" t="str" cm="1">
        <f t="array" ref="N490">_xlfn.IFS(K490=0,"Matched", K490&gt;100,"High", K490&gt;=50,"Medium", K490&lt;50,"Low")</f>
        <v>Medium</v>
      </c>
      <c r="O490" s="17" t="str">
        <f t="shared" si="23"/>
        <v>Yes</v>
      </c>
    </row>
    <row r="491" spans="2:15" x14ac:dyDescent="0.3">
      <c r="B491" s="7">
        <v>489</v>
      </c>
      <c r="C491" s="3" t="s">
        <v>495</v>
      </c>
      <c r="D491" s="2" t="s">
        <v>1055</v>
      </c>
      <c r="E491" s="3" t="s">
        <v>1010</v>
      </c>
      <c r="F491" s="3">
        <v>114</v>
      </c>
      <c r="G491" s="3">
        <v>119</v>
      </c>
      <c r="H491" s="8">
        <v>50</v>
      </c>
      <c r="I491" s="48">
        <f>Table13[[#This Row],[Physical_Stock_Qty]]-Table13[[#This Row],[System_Stock_Qty]]</f>
        <v>5</v>
      </c>
      <c r="J491" s="53" t="str" cm="1">
        <f t="array" ref="J491">_xlfn.IFS(I491=0,"Matched",I491&gt;0,"Excess",I491&lt;0,"Shortage")</f>
        <v>Excess</v>
      </c>
      <c r="K491" s="50">
        <f>ABS(Table13[[#This Row],[Stock Difference]])</f>
        <v>5</v>
      </c>
      <c r="L491" s="17">
        <f t="shared" si="21"/>
        <v>250</v>
      </c>
      <c r="M491" s="17">
        <f t="shared" si="22"/>
        <v>5700</v>
      </c>
      <c r="N491" s="17" t="str" cm="1">
        <f t="array" ref="N491">_xlfn.IFS(K491=0,"Matched", K491&gt;100,"High", K491&gt;=50,"Medium", K491&lt;50,"Low")</f>
        <v>Low</v>
      </c>
      <c r="O491" s="17" t="str">
        <f t="shared" si="23"/>
        <v>No</v>
      </c>
    </row>
    <row r="492" spans="2:15" x14ac:dyDescent="0.3">
      <c r="B492" s="7">
        <v>490</v>
      </c>
      <c r="C492" s="3" t="s">
        <v>496</v>
      </c>
      <c r="D492" s="2" t="s">
        <v>1037</v>
      </c>
      <c r="E492" s="3" t="s">
        <v>1007</v>
      </c>
      <c r="F492" s="3">
        <v>40</v>
      </c>
      <c r="G492" s="3">
        <v>70</v>
      </c>
      <c r="H492" s="8">
        <v>10000</v>
      </c>
      <c r="I492" s="48">
        <f>Table13[[#This Row],[Physical_Stock_Qty]]-Table13[[#This Row],[System_Stock_Qty]]</f>
        <v>30</v>
      </c>
      <c r="J492" s="53" t="str" cm="1">
        <f t="array" ref="J492">_xlfn.IFS(I492=0,"Matched",I492&gt;0,"Excess",I492&lt;0,"Shortage")</f>
        <v>Excess</v>
      </c>
      <c r="K492" s="50">
        <f>ABS(Table13[[#This Row],[Stock Difference]])</f>
        <v>30</v>
      </c>
      <c r="L492" s="17">
        <f t="shared" si="21"/>
        <v>300000</v>
      </c>
      <c r="M492" s="17">
        <f t="shared" si="22"/>
        <v>400000</v>
      </c>
      <c r="N492" s="17" t="str" cm="1">
        <f t="array" ref="N492">_xlfn.IFS(K492=0,"Matched", K492&gt;100,"High", K492&gt;=50,"Medium", K492&lt;50,"Low")</f>
        <v>Low</v>
      </c>
      <c r="O492" s="17" t="str">
        <f t="shared" si="23"/>
        <v>No</v>
      </c>
    </row>
    <row r="493" spans="2:15" x14ac:dyDescent="0.3">
      <c r="B493" s="7">
        <v>491</v>
      </c>
      <c r="C493" s="3" t="s">
        <v>497</v>
      </c>
      <c r="D493" s="2" t="s">
        <v>1036</v>
      </c>
      <c r="E493" s="3" t="s">
        <v>1007</v>
      </c>
      <c r="F493" s="3">
        <v>109</v>
      </c>
      <c r="G493" s="3">
        <v>186</v>
      </c>
      <c r="H493" s="8">
        <v>8000</v>
      </c>
      <c r="I493" s="48">
        <f>Table13[[#This Row],[Physical_Stock_Qty]]-Table13[[#This Row],[System_Stock_Qty]]</f>
        <v>77</v>
      </c>
      <c r="J493" s="53" t="str" cm="1">
        <f t="array" ref="J493">_xlfn.IFS(I493=0,"Matched",I493&gt;0,"Excess",I493&lt;0,"Shortage")</f>
        <v>Excess</v>
      </c>
      <c r="K493" s="50">
        <f>ABS(Table13[[#This Row],[Stock Difference]])</f>
        <v>77</v>
      </c>
      <c r="L493" s="17">
        <f t="shared" si="21"/>
        <v>616000</v>
      </c>
      <c r="M493" s="17">
        <f t="shared" si="22"/>
        <v>872000</v>
      </c>
      <c r="N493" s="17" t="str" cm="1">
        <f t="array" ref="N493">_xlfn.IFS(K493=0,"Matched", K493&gt;100,"High", K493&gt;=50,"Medium", K493&lt;50,"Low")</f>
        <v>Medium</v>
      </c>
      <c r="O493" s="17" t="str">
        <f t="shared" si="23"/>
        <v>Yes</v>
      </c>
    </row>
    <row r="494" spans="2:15" x14ac:dyDescent="0.3">
      <c r="B494" s="7">
        <v>492</v>
      </c>
      <c r="C494" s="3" t="s">
        <v>498</v>
      </c>
      <c r="D494" s="2" t="s">
        <v>1018</v>
      </c>
      <c r="E494" s="3" t="s">
        <v>1012</v>
      </c>
      <c r="F494" s="3">
        <v>113</v>
      </c>
      <c r="G494" s="3">
        <v>135</v>
      </c>
      <c r="H494" s="8">
        <v>3000</v>
      </c>
      <c r="I494" s="48">
        <f>Table13[[#This Row],[Physical_Stock_Qty]]-Table13[[#This Row],[System_Stock_Qty]]</f>
        <v>22</v>
      </c>
      <c r="J494" s="53" t="str" cm="1">
        <f t="array" ref="J494">_xlfn.IFS(I494=0,"Matched",I494&gt;0,"Excess",I494&lt;0,"Shortage")</f>
        <v>Excess</v>
      </c>
      <c r="K494" s="50">
        <f>ABS(Table13[[#This Row],[Stock Difference]])</f>
        <v>22</v>
      </c>
      <c r="L494" s="17">
        <f t="shared" si="21"/>
        <v>66000</v>
      </c>
      <c r="M494" s="17">
        <f t="shared" si="22"/>
        <v>339000</v>
      </c>
      <c r="N494" s="17" t="str" cm="1">
        <f t="array" ref="N494">_xlfn.IFS(K494=0,"Matched", K494&gt;100,"High", K494&gt;=50,"Medium", K494&lt;50,"Low")</f>
        <v>Low</v>
      </c>
      <c r="O494" s="17" t="str">
        <f t="shared" si="23"/>
        <v>No</v>
      </c>
    </row>
    <row r="495" spans="2:15" x14ac:dyDescent="0.3">
      <c r="B495" s="7">
        <v>493</v>
      </c>
      <c r="C495" s="3" t="s">
        <v>499</v>
      </c>
      <c r="D495" s="2" t="s">
        <v>1076</v>
      </c>
      <c r="E495" s="3" t="s">
        <v>1009</v>
      </c>
      <c r="F495" s="3">
        <v>178</v>
      </c>
      <c r="G495" s="3">
        <v>36</v>
      </c>
      <c r="H495" s="8">
        <v>100</v>
      </c>
      <c r="I495" s="48">
        <f>Table13[[#This Row],[Physical_Stock_Qty]]-Table13[[#This Row],[System_Stock_Qty]]</f>
        <v>-142</v>
      </c>
      <c r="J495" s="53" t="str" cm="1">
        <f t="array" ref="J495">_xlfn.IFS(I495=0,"Matched",I495&gt;0,"Excess",I495&lt;0,"Shortage")</f>
        <v>Shortage</v>
      </c>
      <c r="K495" s="50">
        <f>ABS(Table13[[#This Row],[Stock Difference]])</f>
        <v>142</v>
      </c>
      <c r="L495" s="17">
        <f t="shared" si="21"/>
        <v>14200</v>
      </c>
      <c r="M495" s="17">
        <f t="shared" si="22"/>
        <v>17800</v>
      </c>
      <c r="N495" s="17" t="str" cm="1">
        <f t="array" ref="N495">_xlfn.IFS(K495=0,"Matched", K495&gt;100,"High", K495&gt;=50,"Medium", K495&lt;50,"Low")</f>
        <v>High</v>
      </c>
      <c r="O495" s="17" t="str">
        <f t="shared" si="23"/>
        <v>No</v>
      </c>
    </row>
    <row r="496" spans="2:15" x14ac:dyDescent="0.3">
      <c r="B496" s="7">
        <v>494</v>
      </c>
      <c r="C496" s="3" t="s">
        <v>500</v>
      </c>
      <c r="D496" s="2" t="s">
        <v>1071</v>
      </c>
      <c r="E496" s="3" t="s">
        <v>1009</v>
      </c>
      <c r="F496" s="3">
        <v>60</v>
      </c>
      <c r="G496" s="3">
        <v>52</v>
      </c>
      <c r="H496" s="8">
        <v>200</v>
      </c>
      <c r="I496" s="48">
        <f>Table13[[#This Row],[Physical_Stock_Qty]]-Table13[[#This Row],[System_Stock_Qty]]</f>
        <v>-8</v>
      </c>
      <c r="J496" s="53" t="str" cm="1">
        <f t="array" ref="J496">_xlfn.IFS(I496=0,"Matched",I496&gt;0,"Excess",I496&lt;0,"Shortage")</f>
        <v>Shortage</v>
      </c>
      <c r="K496" s="50">
        <f>ABS(Table13[[#This Row],[Stock Difference]])</f>
        <v>8</v>
      </c>
      <c r="L496" s="17">
        <f t="shared" si="21"/>
        <v>1600</v>
      </c>
      <c r="M496" s="17">
        <f t="shared" si="22"/>
        <v>12000</v>
      </c>
      <c r="N496" s="17" t="str" cm="1">
        <f t="array" ref="N496">_xlfn.IFS(K496=0,"Matched", K496&gt;100,"High", K496&gt;=50,"Medium", K496&lt;50,"Low")</f>
        <v>Low</v>
      </c>
      <c r="O496" s="17" t="str">
        <f t="shared" si="23"/>
        <v>No</v>
      </c>
    </row>
    <row r="497" spans="2:15" x14ac:dyDescent="0.3">
      <c r="B497" s="7">
        <v>495</v>
      </c>
      <c r="C497" s="3" t="s">
        <v>501</v>
      </c>
      <c r="D497" s="2" t="s">
        <v>1081</v>
      </c>
      <c r="E497" s="3" t="s">
        <v>1011</v>
      </c>
      <c r="F497" s="3">
        <v>73</v>
      </c>
      <c r="G497" s="3">
        <v>106</v>
      </c>
      <c r="H497" s="8">
        <v>1000</v>
      </c>
      <c r="I497" s="48">
        <f>Table13[[#This Row],[Physical_Stock_Qty]]-Table13[[#This Row],[System_Stock_Qty]]</f>
        <v>33</v>
      </c>
      <c r="J497" s="53" t="str" cm="1">
        <f t="array" ref="J497">_xlfn.IFS(I497=0,"Matched",I497&gt;0,"Excess",I497&lt;0,"Shortage")</f>
        <v>Excess</v>
      </c>
      <c r="K497" s="50">
        <f>ABS(Table13[[#This Row],[Stock Difference]])</f>
        <v>33</v>
      </c>
      <c r="L497" s="17">
        <f t="shared" si="21"/>
        <v>33000</v>
      </c>
      <c r="M497" s="17">
        <f t="shared" si="22"/>
        <v>73000</v>
      </c>
      <c r="N497" s="17" t="str" cm="1">
        <f t="array" ref="N497">_xlfn.IFS(K497=0,"Matched", K497&gt;100,"High", K497&gt;=50,"Medium", K497&lt;50,"Low")</f>
        <v>Low</v>
      </c>
      <c r="O497" s="17" t="str">
        <f t="shared" si="23"/>
        <v>No</v>
      </c>
    </row>
    <row r="498" spans="2:15" x14ac:dyDescent="0.3">
      <c r="B498" s="7">
        <v>496</v>
      </c>
      <c r="C498" s="3" t="s">
        <v>502</v>
      </c>
      <c r="D498" s="2" t="s">
        <v>1044</v>
      </c>
      <c r="E498" s="3" t="s">
        <v>1010</v>
      </c>
      <c r="F498" s="3">
        <v>88</v>
      </c>
      <c r="G498" s="3">
        <v>164</v>
      </c>
      <c r="H498" s="8">
        <v>100</v>
      </c>
      <c r="I498" s="48">
        <f>Table13[[#This Row],[Physical_Stock_Qty]]-Table13[[#This Row],[System_Stock_Qty]]</f>
        <v>76</v>
      </c>
      <c r="J498" s="53" t="str" cm="1">
        <f t="array" ref="J498">_xlfn.IFS(I498=0,"Matched",I498&gt;0,"Excess",I498&lt;0,"Shortage")</f>
        <v>Excess</v>
      </c>
      <c r="K498" s="50">
        <f>ABS(Table13[[#This Row],[Stock Difference]])</f>
        <v>76</v>
      </c>
      <c r="L498" s="17">
        <f t="shared" si="21"/>
        <v>7600</v>
      </c>
      <c r="M498" s="17">
        <f t="shared" si="22"/>
        <v>8800</v>
      </c>
      <c r="N498" s="17" t="str" cm="1">
        <f t="array" ref="N498">_xlfn.IFS(K498=0,"Matched", K498&gt;100,"High", K498&gt;=50,"Medium", K498&lt;50,"Low")</f>
        <v>Medium</v>
      </c>
      <c r="O498" s="17" t="str">
        <f t="shared" si="23"/>
        <v>No</v>
      </c>
    </row>
    <row r="499" spans="2:15" x14ac:dyDescent="0.3">
      <c r="B499" s="7">
        <v>497</v>
      </c>
      <c r="C499" s="3" t="s">
        <v>503</v>
      </c>
      <c r="D499" s="2" t="s">
        <v>1067</v>
      </c>
      <c r="E499" s="3" t="s">
        <v>1009</v>
      </c>
      <c r="F499" s="3">
        <v>171</v>
      </c>
      <c r="G499" s="3">
        <v>62</v>
      </c>
      <c r="H499" s="8">
        <v>100</v>
      </c>
      <c r="I499" s="48">
        <f>Table13[[#This Row],[Physical_Stock_Qty]]-Table13[[#This Row],[System_Stock_Qty]]</f>
        <v>-109</v>
      </c>
      <c r="J499" s="53" t="str" cm="1">
        <f t="array" ref="J499">_xlfn.IFS(I499=0,"Matched",I499&gt;0,"Excess",I499&lt;0,"Shortage")</f>
        <v>Shortage</v>
      </c>
      <c r="K499" s="50">
        <f>ABS(Table13[[#This Row],[Stock Difference]])</f>
        <v>109</v>
      </c>
      <c r="L499" s="17">
        <f t="shared" si="21"/>
        <v>10900</v>
      </c>
      <c r="M499" s="17">
        <f t="shared" si="22"/>
        <v>17100</v>
      </c>
      <c r="N499" s="17" t="str" cm="1">
        <f t="array" ref="N499">_xlfn.IFS(K499=0,"Matched", K499&gt;100,"High", K499&gt;=50,"Medium", K499&lt;50,"Low")</f>
        <v>High</v>
      </c>
      <c r="O499" s="17" t="str">
        <f t="shared" si="23"/>
        <v>No</v>
      </c>
    </row>
    <row r="500" spans="2:15" x14ac:dyDescent="0.3">
      <c r="B500" s="7">
        <v>498</v>
      </c>
      <c r="C500" s="3" t="s">
        <v>504</v>
      </c>
      <c r="D500" s="2" t="s">
        <v>1049</v>
      </c>
      <c r="E500" s="3" t="s">
        <v>1010</v>
      </c>
      <c r="F500" s="3">
        <v>42</v>
      </c>
      <c r="G500" s="3">
        <v>35</v>
      </c>
      <c r="H500" s="8">
        <v>20</v>
      </c>
      <c r="I500" s="48">
        <f>Table13[[#This Row],[Physical_Stock_Qty]]-Table13[[#This Row],[System_Stock_Qty]]</f>
        <v>-7</v>
      </c>
      <c r="J500" s="53" t="str" cm="1">
        <f t="array" ref="J500">_xlfn.IFS(I500=0,"Matched",I500&gt;0,"Excess",I500&lt;0,"Shortage")</f>
        <v>Shortage</v>
      </c>
      <c r="K500" s="50">
        <f>ABS(Table13[[#This Row],[Stock Difference]])</f>
        <v>7</v>
      </c>
      <c r="L500" s="17">
        <f t="shared" si="21"/>
        <v>140</v>
      </c>
      <c r="M500" s="17">
        <f t="shared" si="22"/>
        <v>840</v>
      </c>
      <c r="N500" s="17" t="str" cm="1">
        <f t="array" ref="N500">_xlfn.IFS(K500=0,"Matched", K500&gt;100,"High", K500&gt;=50,"Medium", K500&lt;50,"Low")</f>
        <v>Low</v>
      </c>
      <c r="O500" s="17" t="str">
        <f t="shared" si="23"/>
        <v>No</v>
      </c>
    </row>
    <row r="501" spans="2:15" x14ac:dyDescent="0.3">
      <c r="B501" s="7">
        <v>499</v>
      </c>
      <c r="C501" s="3" t="s">
        <v>505</v>
      </c>
      <c r="D501" s="2" t="s">
        <v>1075</v>
      </c>
      <c r="E501" s="3" t="s">
        <v>1009</v>
      </c>
      <c r="F501" s="3">
        <v>40</v>
      </c>
      <c r="G501" s="3">
        <v>189</v>
      </c>
      <c r="H501" s="8">
        <v>2000</v>
      </c>
      <c r="I501" s="48">
        <f>Table13[[#This Row],[Physical_Stock_Qty]]-Table13[[#This Row],[System_Stock_Qty]]</f>
        <v>149</v>
      </c>
      <c r="J501" s="53" t="str" cm="1">
        <f t="array" ref="J501">_xlfn.IFS(I501=0,"Matched",I501&gt;0,"Excess",I501&lt;0,"Shortage")</f>
        <v>Excess</v>
      </c>
      <c r="K501" s="50">
        <f>ABS(Table13[[#This Row],[Stock Difference]])</f>
        <v>149</v>
      </c>
      <c r="L501" s="17">
        <f t="shared" si="21"/>
        <v>298000</v>
      </c>
      <c r="M501" s="17">
        <f t="shared" si="22"/>
        <v>80000</v>
      </c>
      <c r="N501" s="17" t="str" cm="1">
        <f t="array" ref="N501">_xlfn.IFS(K501=0,"Matched", K501&gt;100,"High", K501&gt;=50,"Medium", K501&lt;50,"Low")</f>
        <v>High</v>
      </c>
      <c r="O501" s="17" t="str">
        <f t="shared" si="23"/>
        <v>No</v>
      </c>
    </row>
    <row r="502" spans="2:15" x14ac:dyDescent="0.3">
      <c r="B502" s="7">
        <v>500</v>
      </c>
      <c r="C502" s="3" t="s">
        <v>506</v>
      </c>
      <c r="D502" s="2" t="s">
        <v>1032</v>
      </c>
      <c r="E502" s="3" t="s">
        <v>1008</v>
      </c>
      <c r="F502" s="3">
        <v>153</v>
      </c>
      <c r="G502" s="3">
        <v>128</v>
      </c>
      <c r="H502" s="8">
        <v>2000</v>
      </c>
      <c r="I502" s="48">
        <f>Table13[[#This Row],[Physical_Stock_Qty]]-Table13[[#This Row],[System_Stock_Qty]]</f>
        <v>-25</v>
      </c>
      <c r="J502" s="53" t="str" cm="1">
        <f t="array" ref="J502">_xlfn.IFS(I502=0,"Matched",I502&gt;0,"Excess",I502&lt;0,"Shortage")</f>
        <v>Shortage</v>
      </c>
      <c r="K502" s="50">
        <f>ABS(Table13[[#This Row],[Stock Difference]])</f>
        <v>25</v>
      </c>
      <c r="L502" s="17">
        <f t="shared" si="21"/>
        <v>50000</v>
      </c>
      <c r="M502" s="17">
        <f t="shared" si="22"/>
        <v>306000</v>
      </c>
      <c r="N502" s="17" t="str" cm="1">
        <f t="array" ref="N502">_xlfn.IFS(K502=0,"Matched", K502&gt;100,"High", K502&gt;=50,"Medium", K502&lt;50,"Low")</f>
        <v>Low</v>
      </c>
      <c r="O502" s="17" t="str">
        <f t="shared" si="23"/>
        <v>No</v>
      </c>
    </row>
    <row r="503" spans="2:15" x14ac:dyDescent="0.3">
      <c r="B503" s="7">
        <v>501</v>
      </c>
      <c r="C503" s="3" t="s">
        <v>507</v>
      </c>
      <c r="D503" s="2" t="s">
        <v>1030</v>
      </c>
      <c r="E503" s="3" t="s">
        <v>1008</v>
      </c>
      <c r="F503" s="3">
        <v>156</v>
      </c>
      <c r="G503" s="3">
        <v>158</v>
      </c>
      <c r="H503" s="8">
        <v>70000</v>
      </c>
      <c r="I503" s="48">
        <f>Table13[[#This Row],[Physical_Stock_Qty]]-Table13[[#This Row],[System_Stock_Qty]]</f>
        <v>2</v>
      </c>
      <c r="J503" s="53" t="str" cm="1">
        <f t="array" ref="J503">_xlfn.IFS(I503=0,"Matched",I503&gt;0,"Excess",I503&lt;0,"Shortage")</f>
        <v>Excess</v>
      </c>
      <c r="K503" s="50">
        <f>ABS(Table13[[#This Row],[Stock Difference]])</f>
        <v>2</v>
      </c>
      <c r="L503" s="17">
        <f t="shared" si="21"/>
        <v>140000</v>
      </c>
      <c r="M503" s="17">
        <f t="shared" si="22"/>
        <v>10920000</v>
      </c>
      <c r="N503" s="17" t="str" cm="1">
        <f t="array" ref="N503">_xlfn.IFS(K503=0,"Matched", K503&gt;100,"High", K503&gt;=50,"Medium", K503&lt;50,"Low")</f>
        <v>Low</v>
      </c>
      <c r="O503" s="17" t="str">
        <f t="shared" si="23"/>
        <v>No</v>
      </c>
    </row>
    <row r="504" spans="2:15" hidden="1" x14ac:dyDescent="0.3">
      <c r="B504" s="7">
        <v>502</v>
      </c>
      <c r="C504" s="3" t="s">
        <v>508</v>
      </c>
      <c r="D504" s="2" t="s">
        <v>1027</v>
      </c>
      <c r="E504" s="3" t="s">
        <v>1008</v>
      </c>
      <c r="F504" s="3">
        <v>120</v>
      </c>
      <c r="G504" s="3">
        <v>120</v>
      </c>
      <c r="H504" s="8">
        <v>30000</v>
      </c>
      <c r="I504" s="48">
        <f>Table13[[#This Row],[Physical_Stock_Qty]]-Table13[[#This Row],[System_Stock_Qty]]</f>
        <v>0</v>
      </c>
      <c r="J504" s="53" t="str" cm="1">
        <f t="array" ref="J504">_xlfn.IFS(I504=0,"Matched",I504&gt;0,"Excess",I504&lt;0,"Shortage")</f>
        <v>Matched</v>
      </c>
      <c r="K504" s="50">
        <f>ABS(Table13[[#This Row],[Stock Difference]])</f>
        <v>0</v>
      </c>
      <c r="L504" s="17">
        <f t="shared" si="21"/>
        <v>0</v>
      </c>
      <c r="M504" s="17">
        <f t="shared" si="22"/>
        <v>3600000</v>
      </c>
      <c r="N504" s="17" t="str" cm="1">
        <f t="array" ref="N504">_xlfn.IFS(K504=0,"Matched", K504&gt;100,"High", K504&gt;=50,"Medium", K504&lt;50,"Low")</f>
        <v>Matched</v>
      </c>
      <c r="O504" s="17" t="str">
        <f t="shared" si="23"/>
        <v>No Match</v>
      </c>
    </row>
    <row r="505" spans="2:15" hidden="1" x14ac:dyDescent="0.3">
      <c r="B505" s="7">
        <v>503</v>
      </c>
      <c r="C505" s="3" t="s">
        <v>509</v>
      </c>
      <c r="D505" s="2" t="s">
        <v>1085</v>
      </c>
      <c r="E505" s="3" t="s">
        <v>1011</v>
      </c>
      <c r="F505" s="3">
        <v>114</v>
      </c>
      <c r="G505" s="3">
        <v>114</v>
      </c>
      <c r="H505" s="8">
        <v>1500</v>
      </c>
      <c r="I505" s="48">
        <f>Table13[[#This Row],[Physical_Stock_Qty]]-Table13[[#This Row],[System_Stock_Qty]]</f>
        <v>0</v>
      </c>
      <c r="J505" s="53" t="str" cm="1">
        <f t="array" ref="J505">_xlfn.IFS(I505=0,"Matched",I505&gt;0,"Excess",I505&lt;0,"Shortage")</f>
        <v>Matched</v>
      </c>
      <c r="K505" s="50">
        <f>ABS(Table13[[#This Row],[Stock Difference]])</f>
        <v>0</v>
      </c>
      <c r="L505" s="17">
        <f t="shared" si="21"/>
        <v>0</v>
      </c>
      <c r="M505" s="17">
        <f t="shared" si="22"/>
        <v>171000</v>
      </c>
      <c r="N505" s="17" t="str" cm="1">
        <f t="array" ref="N505">_xlfn.IFS(K505=0,"Matched", K505&gt;100,"High", K505&gt;=50,"Medium", K505&lt;50,"Low")</f>
        <v>Matched</v>
      </c>
      <c r="O505" s="17" t="str">
        <f t="shared" si="23"/>
        <v>No Match</v>
      </c>
    </row>
    <row r="506" spans="2:15" hidden="1" x14ac:dyDescent="0.3">
      <c r="B506" s="7">
        <v>504</v>
      </c>
      <c r="C506" s="3" t="s">
        <v>510</v>
      </c>
      <c r="D506" s="2" t="s">
        <v>1056</v>
      </c>
      <c r="E506" s="3" t="s">
        <v>1012</v>
      </c>
      <c r="F506" s="3">
        <v>119</v>
      </c>
      <c r="G506" s="3">
        <v>119</v>
      </c>
      <c r="H506" s="8">
        <v>100</v>
      </c>
      <c r="I506" s="48">
        <f>Table13[[#This Row],[Physical_Stock_Qty]]-Table13[[#This Row],[System_Stock_Qty]]</f>
        <v>0</v>
      </c>
      <c r="J506" s="53" t="str" cm="1">
        <f t="array" ref="J506">_xlfn.IFS(I506=0,"Matched",I506&gt;0,"Excess",I506&lt;0,"Shortage")</f>
        <v>Matched</v>
      </c>
      <c r="K506" s="50">
        <f>ABS(Table13[[#This Row],[Stock Difference]])</f>
        <v>0</v>
      </c>
      <c r="L506" s="17">
        <f t="shared" si="21"/>
        <v>0</v>
      </c>
      <c r="M506" s="17">
        <f t="shared" si="22"/>
        <v>11900</v>
      </c>
      <c r="N506" s="17" t="str" cm="1">
        <f t="array" ref="N506">_xlfn.IFS(K506=0,"Matched", K506&gt;100,"High", K506&gt;=50,"Medium", K506&lt;50,"Low")</f>
        <v>Matched</v>
      </c>
      <c r="O506" s="17" t="str">
        <f t="shared" si="23"/>
        <v>No Match</v>
      </c>
    </row>
    <row r="507" spans="2:15" hidden="1" x14ac:dyDescent="0.3">
      <c r="B507" s="7">
        <v>505</v>
      </c>
      <c r="C507" s="3" t="s">
        <v>511</v>
      </c>
      <c r="D507" s="2" t="s">
        <v>1083</v>
      </c>
      <c r="E507" s="3" t="s">
        <v>1011</v>
      </c>
      <c r="F507" s="3">
        <v>70</v>
      </c>
      <c r="G507" s="3">
        <v>70</v>
      </c>
      <c r="H507" s="8">
        <v>3000</v>
      </c>
      <c r="I507" s="48">
        <f>Table13[[#This Row],[Physical_Stock_Qty]]-Table13[[#This Row],[System_Stock_Qty]]</f>
        <v>0</v>
      </c>
      <c r="J507" s="53" t="str" cm="1">
        <f t="array" ref="J507">_xlfn.IFS(I507=0,"Matched",I507&gt;0,"Excess",I507&lt;0,"Shortage")</f>
        <v>Matched</v>
      </c>
      <c r="K507" s="50">
        <f>ABS(Table13[[#This Row],[Stock Difference]])</f>
        <v>0</v>
      </c>
      <c r="L507" s="17">
        <f t="shared" si="21"/>
        <v>0</v>
      </c>
      <c r="M507" s="17">
        <f t="shared" si="22"/>
        <v>210000</v>
      </c>
      <c r="N507" s="17" t="str" cm="1">
        <f t="array" ref="N507">_xlfn.IFS(K507=0,"Matched", K507&gt;100,"High", K507&gt;=50,"Medium", K507&lt;50,"Low")</f>
        <v>Matched</v>
      </c>
      <c r="O507" s="17" t="str">
        <f t="shared" si="23"/>
        <v>No Match</v>
      </c>
    </row>
    <row r="508" spans="2:15" hidden="1" x14ac:dyDescent="0.3">
      <c r="B508" s="7">
        <v>506</v>
      </c>
      <c r="C508" s="3" t="s">
        <v>512</v>
      </c>
      <c r="D508" s="2" t="s">
        <v>1076</v>
      </c>
      <c r="E508" s="3" t="s">
        <v>1009</v>
      </c>
      <c r="F508" s="3">
        <v>186</v>
      </c>
      <c r="G508" s="3">
        <v>186</v>
      </c>
      <c r="H508" s="8">
        <v>100</v>
      </c>
      <c r="I508" s="48">
        <f>Table13[[#This Row],[Physical_Stock_Qty]]-Table13[[#This Row],[System_Stock_Qty]]</f>
        <v>0</v>
      </c>
      <c r="J508" s="53" t="str" cm="1">
        <f t="array" ref="J508">_xlfn.IFS(I508=0,"Matched",I508&gt;0,"Excess",I508&lt;0,"Shortage")</f>
        <v>Matched</v>
      </c>
      <c r="K508" s="50">
        <f>ABS(Table13[[#This Row],[Stock Difference]])</f>
        <v>0</v>
      </c>
      <c r="L508" s="17">
        <f t="shared" si="21"/>
        <v>0</v>
      </c>
      <c r="M508" s="17">
        <f t="shared" si="22"/>
        <v>18600</v>
      </c>
      <c r="N508" s="17" t="str" cm="1">
        <f t="array" ref="N508">_xlfn.IFS(K508=0,"Matched", K508&gt;100,"High", K508&gt;=50,"Medium", K508&lt;50,"Low")</f>
        <v>Matched</v>
      </c>
      <c r="O508" s="17" t="str">
        <f t="shared" si="23"/>
        <v>No Match</v>
      </c>
    </row>
    <row r="509" spans="2:15" hidden="1" x14ac:dyDescent="0.3">
      <c r="B509" s="7">
        <v>507</v>
      </c>
      <c r="C509" s="3" t="s">
        <v>513</v>
      </c>
      <c r="D509" s="2" t="s">
        <v>1038</v>
      </c>
      <c r="E509" s="3" t="s">
        <v>1007</v>
      </c>
      <c r="F509" s="3">
        <v>135</v>
      </c>
      <c r="G509" s="3">
        <v>135</v>
      </c>
      <c r="H509" s="8">
        <v>5000</v>
      </c>
      <c r="I509" s="48">
        <f>Table13[[#This Row],[Physical_Stock_Qty]]-Table13[[#This Row],[System_Stock_Qty]]</f>
        <v>0</v>
      </c>
      <c r="J509" s="53" t="str" cm="1">
        <f t="array" ref="J509">_xlfn.IFS(I509=0,"Matched",I509&gt;0,"Excess",I509&lt;0,"Shortage")</f>
        <v>Matched</v>
      </c>
      <c r="K509" s="50">
        <f>ABS(Table13[[#This Row],[Stock Difference]])</f>
        <v>0</v>
      </c>
      <c r="L509" s="17">
        <f t="shared" si="21"/>
        <v>0</v>
      </c>
      <c r="M509" s="17">
        <f t="shared" si="22"/>
        <v>675000</v>
      </c>
      <c r="N509" s="17" t="str" cm="1">
        <f t="array" ref="N509">_xlfn.IFS(K509=0,"Matched", K509&gt;100,"High", K509&gt;=50,"Medium", K509&lt;50,"Low")</f>
        <v>Matched</v>
      </c>
      <c r="O509" s="17" t="str">
        <f t="shared" si="23"/>
        <v>No Match</v>
      </c>
    </row>
    <row r="510" spans="2:15" hidden="1" x14ac:dyDescent="0.3">
      <c r="B510" s="7">
        <v>508</v>
      </c>
      <c r="C510" s="3" t="s">
        <v>514</v>
      </c>
      <c r="D510" s="2" t="s">
        <v>1076</v>
      </c>
      <c r="E510" s="3" t="s">
        <v>1009</v>
      </c>
      <c r="F510" s="3">
        <v>36</v>
      </c>
      <c r="G510" s="3">
        <v>36</v>
      </c>
      <c r="H510" s="8">
        <v>100</v>
      </c>
      <c r="I510" s="48">
        <f>Table13[[#This Row],[Physical_Stock_Qty]]-Table13[[#This Row],[System_Stock_Qty]]</f>
        <v>0</v>
      </c>
      <c r="J510" s="53" t="str" cm="1">
        <f t="array" ref="J510">_xlfn.IFS(I510=0,"Matched",I510&gt;0,"Excess",I510&lt;0,"Shortage")</f>
        <v>Matched</v>
      </c>
      <c r="K510" s="50">
        <f>ABS(Table13[[#This Row],[Stock Difference]])</f>
        <v>0</v>
      </c>
      <c r="L510" s="17">
        <f t="shared" si="21"/>
        <v>0</v>
      </c>
      <c r="M510" s="17">
        <f t="shared" si="22"/>
        <v>3600</v>
      </c>
      <c r="N510" s="17" t="str" cm="1">
        <f t="array" ref="N510">_xlfn.IFS(K510=0,"Matched", K510&gt;100,"High", K510&gt;=50,"Medium", K510&lt;50,"Low")</f>
        <v>Matched</v>
      </c>
      <c r="O510" s="17" t="str">
        <f t="shared" si="23"/>
        <v>No Match</v>
      </c>
    </row>
    <row r="511" spans="2:15" hidden="1" x14ac:dyDescent="0.3">
      <c r="B511" s="7">
        <v>509</v>
      </c>
      <c r="C511" s="3" t="s">
        <v>515</v>
      </c>
      <c r="D511" s="2" t="s">
        <v>1053</v>
      </c>
      <c r="E511" s="3" t="s">
        <v>1010</v>
      </c>
      <c r="F511" s="3">
        <v>52</v>
      </c>
      <c r="G511" s="3">
        <v>52</v>
      </c>
      <c r="H511" s="8">
        <v>10</v>
      </c>
      <c r="I511" s="48">
        <f>Table13[[#This Row],[Physical_Stock_Qty]]-Table13[[#This Row],[System_Stock_Qty]]</f>
        <v>0</v>
      </c>
      <c r="J511" s="53" t="str" cm="1">
        <f t="array" ref="J511">_xlfn.IFS(I511=0,"Matched",I511&gt;0,"Excess",I511&lt;0,"Shortage")</f>
        <v>Matched</v>
      </c>
      <c r="K511" s="50">
        <f>ABS(Table13[[#This Row],[Stock Difference]])</f>
        <v>0</v>
      </c>
      <c r="L511" s="17">
        <f t="shared" si="21"/>
        <v>0</v>
      </c>
      <c r="M511" s="17">
        <f t="shared" si="22"/>
        <v>520</v>
      </c>
      <c r="N511" s="17" t="str" cm="1">
        <f t="array" ref="N511">_xlfn.IFS(K511=0,"Matched", K511&gt;100,"High", K511&gt;=50,"Medium", K511&lt;50,"Low")</f>
        <v>Matched</v>
      </c>
      <c r="O511" s="17" t="str">
        <f t="shared" si="23"/>
        <v>No Match</v>
      </c>
    </row>
    <row r="512" spans="2:15" hidden="1" x14ac:dyDescent="0.3">
      <c r="B512" s="7">
        <v>510</v>
      </c>
      <c r="C512" s="3" t="s">
        <v>516</v>
      </c>
      <c r="D512" s="2" t="s">
        <v>1038</v>
      </c>
      <c r="E512" s="3" t="s">
        <v>1007</v>
      </c>
      <c r="F512" s="3">
        <v>106</v>
      </c>
      <c r="G512" s="3">
        <v>106</v>
      </c>
      <c r="H512" s="8">
        <v>5000</v>
      </c>
      <c r="I512" s="48">
        <f>Table13[[#This Row],[Physical_Stock_Qty]]-Table13[[#This Row],[System_Stock_Qty]]</f>
        <v>0</v>
      </c>
      <c r="J512" s="53" t="str" cm="1">
        <f t="array" ref="J512">_xlfn.IFS(I512=0,"Matched",I512&gt;0,"Excess",I512&lt;0,"Shortage")</f>
        <v>Matched</v>
      </c>
      <c r="K512" s="50">
        <f>ABS(Table13[[#This Row],[Stock Difference]])</f>
        <v>0</v>
      </c>
      <c r="L512" s="17">
        <f t="shared" si="21"/>
        <v>0</v>
      </c>
      <c r="M512" s="17">
        <f t="shared" si="22"/>
        <v>530000</v>
      </c>
      <c r="N512" s="17" t="str" cm="1">
        <f t="array" ref="N512">_xlfn.IFS(K512=0,"Matched", K512&gt;100,"High", K512&gt;=50,"Medium", K512&lt;50,"Low")</f>
        <v>Matched</v>
      </c>
      <c r="O512" s="17" t="str">
        <f t="shared" si="23"/>
        <v>No Match</v>
      </c>
    </row>
    <row r="513" spans="2:15" hidden="1" x14ac:dyDescent="0.3">
      <c r="B513" s="7">
        <v>511</v>
      </c>
      <c r="C513" s="3" t="s">
        <v>517</v>
      </c>
      <c r="D513" s="2" t="s">
        <v>1060</v>
      </c>
      <c r="E513" s="3" t="s">
        <v>1012</v>
      </c>
      <c r="F513" s="3">
        <v>164</v>
      </c>
      <c r="G513" s="3">
        <v>164</v>
      </c>
      <c r="H513" s="8">
        <v>1500</v>
      </c>
      <c r="I513" s="48">
        <f>Table13[[#This Row],[Physical_Stock_Qty]]-Table13[[#This Row],[System_Stock_Qty]]</f>
        <v>0</v>
      </c>
      <c r="J513" s="53" t="str" cm="1">
        <f t="array" ref="J513">_xlfn.IFS(I513=0,"Matched",I513&gt;0,"Excess",I513&lt;0,"Shortage")</f>
        <v>Matched</v>
      </c>
      <c r="K513" s="50">
        <f>ABS(Table13[[#This Row],[Stock Difference]])</f>
        <v>0</v>
      </c>
      <c r="L513" s="17">
        <f t="shared" si="21"/>
        <v>0</v>
      </c>
      <c r="M513" s="17">
        <f t="shared" si="22"/>
        <v>246000</v>
      </c>
      <c r="N513" s="17" t="str" cm="1">
        <f t="array" ref="N513">_xlfn.IFS(K513=0,"Matched", K513&gt;100,"High", K513&gt;=50,"Medium", K513&lt;50,"Low")</f>
        <v>Matched</v>
      </c>
      <c r="O513" s="17" t="str">
        <f t="shared" si="23"/>
        <v>No Match</v>
      </c>
    </row>
    <row r="514" spans="2:15" hidden="1" x14ac:dyDescent="0.3">
      <c r="B514" s="7">
        <v>512</v>
      </c>
      <c r="C514" s="3" t="s">
        <v>518</v>
      </c>
      <c r="D514" s="2" t="s">
        <v>1047</v>
      </c>
      <c r="E514" s="3" t="s">
        <v>1010</v>
      </c>
      <c r="F514" s="3">
        <v>62</v>
      </c>
      <c r="G514" s="3">
        <v>62</v>
      </c>
      <c r="H514" s="8">
        <v>500</v>
      </c>
      <c r="I514" s="48">
        <f>Table13[[#This Row],[Physical_Stock_Qty]]-Table13[[#This Row],[System_Stock_Qty]]</f>
        <v>0</v>
      </c>
      <c r="J514" s="53" t="str" cm="1">
        <f t="array" ref="J514">_xlfn.IFS(I514=0,"Matched",I514&gt;0,"Excess",I514&lt;0,"Shortage")</f>
        <v>Matched</v>
      </c>
      <c r="K514" s="50">
        <f>ABS(Table13[[#This Row],[Stock Difference]])</f>
        <v>0</v>
      </c>
      <c r="L514" s="17">
        <f t="shared" si="21"/>
        <v>0</v>
      </c>
      <c r="M514" s="17">
        <f t="shared" si="22"/>
        <v>31000</v>
      </c>
      <c r="N514" s="17" t="str" cm="1">
        <f t="array" ref="N514">_xlfn.IFS(K514=0,"Matched", K514&gt;100,"High", K514&gt;=50,"Medium", K514&lt;50,"Low")</f>
        <v>Matched</v>
      </c>
      <c r="O514" s="17" t="str">
        <f t="shared" si="23"/>
        <v>No Match</v>
      </c>
    </row>
    <row r="515" spans="2:15" hidden="1" x14ac:dyDescent="0.3">
      <c r="B515" s="7">
        <v>513</v>
      </c>
      <c r="C515" s="3" t="s">
        <v>519</v>
      </c>
      <c r="D515" s="2" t="s">
        <v>1061</v>
      </c>
      <c r="E515" s="3" t="s">
        <v>1012</v>
      </c>
      <c r="F515" s="3">
        <v>35</v>
      </c>
      <c r="G515" s="3">
        <v>35</v>
      </c>
      <c r="H515" s="8">
        <v>500</v>
      </c>
      <c r="I515" s="48">
        <f>Table13[[#This Row],[Physical_Stock_Qty]]-Table13[[#This Row],[System_Stock_Qty]]</f>
        <v>0</v>
      </c>
      <c r="J515" s="53" t="str" cm="1">
        <f t="array" ref="J515">_xlfn.IFS(I515=0,"Matched",I515&gt;0,"Excess",I515&lt;0,"Shortage")</f>
        <v>Matched</v>
      </c>
      <c r="K515" s="50">
        <f>ABS(Table13[[#This Row],[Stock Difference]])</f>
        <v>0</v>
      </c>
      <c r="L515" s="17">
        <f t="shared" si="21"/>
        <v>0</v>
      </c>
      <c r="M515" s="17">
        <f t="shared" si="22"/>
        <v>17500</v>
      </c>
      <c r="N515" s="17" t="str" cm="1">
        <f t="array" ref="N515">_xlfn.IFS(K515=0,"Matched", K515&gt;100,"High", K515&gt;=50,"Medium", K515&lt;50,"Low")</f>
        <v>Matched</v>
      </c>
      <c r="O515" s="17" t="str">
        <f t="shared" si="23"/>
        <v>No Match</v>
      </c>
    </row>
    <row r="516" spans="2:15" hidden="1" x14ac:dyDescent="0.3">
      <c r="B516" s="7">
        <v>514</v>
      </c>
      <c r="C516" s="3" t="s">
        <v>520</v>
      </c>
      <c r="D516" s="2" t="s">
        <v>1081</v>
      </c>
      <c r="E516" s="3" t="s">
        <v>1011</v>
      </c>
      <c r="F516" s="3">
        <v>189</v>
      </c>
      <c r="G516" s="3">
        <v>189</v>
      </c>
      <c r="H516" s="8">
        <v>1000</v>
      </c>
      <c r="I516" s="48">
        <f>Table13[[#This Row],[Physical_Stock_Qty]]-Table13[[#This Row],[System_Stock_Qty]]</f>
        <v>0</v>
      </c>
      <c r="J516" s="53" t="str" cm="1">
        <f t="array" ref="J516">_xlfn.IFS(I516=0,"Matched",I516&gt;0,"Excess",I516&lt;0,"Shortage")</f>
        <v>Matched</v>
      </c>
      <c r="K516" s="50">
        <f>ABS(Table13[[#This Row],[Stock Difference]])</f>
        <v>0</v>
      </c>
      <c r="L516" s="17">
        <f t="shared" ref="L516:L579" si="24">(K516*H516)</f>
        <v>0</v>
      </c>
      <c r="M516" s="17">
        <f t="shared" ref="M516:M579" si="25">F516*H516</f>
        <v>189000</v>
      </c>
      <c r="N516" s="17" t="str" cm="1">
        <f t="array" ref="N516">_xlfn.IFS(K516=0,"Matched", K516&gt;100,"High", K516&gt;=50,"Medium", K516&lt;50,"Low")</f>
        <v>Matched</v>
      </c>
      <c r="O516" s="17" t="str">
        <f t="shared" ref="O516:O579" si="26">IF(L516&gt;500000,"Yes",IF(L516=0,"No Match","No"))</f>
        <v>No Match</v>
      </c>
    </row>
    <row r="517" spans="2:15" hidden="1" x14ac:dyDescent="0.3">
      <c r="B517" s="7">
        <v>515</v>
      </c>
      <c r="C517" s="3" t="s">
        <v>521</v>
      </c>
      <c r="D517" s="2" t="s">
        <v>1044</v>
      </c>
      <c r="E517" s="3" t="s">
        <v>1010</v>
      </c>
      <c r="F517" s="3">
        <v>128</v>
      </c>
      <c r="G517" s="3">
        <v>128</v>
      </c>
      <c r="H517" s="8">
        <v>100</v>
      </c>
      <c r="I517" s="48">
        <f>Table13[[#This Row],[Physical_Stock_Qty]]-Table13[[#This Row],[System_Stock_Qty]]</f>
        <v>0</v>
      </c>
      <c r="J517" s="53" t="str" cm="1">
        <f t="array" ref="J517">_xlfn.IFS(I517=0,"Matched",I517&gt;0,"Excess",I517&lt;0,"Shortage")</f>
        <v>Matched</v>
      </c>
      <c r="K517" s="50">
        <f>ABS(Table13[[#This Row],[Stock Difference]])</f>
        <v>0</v>
      </c>
      <c r="L517" s="17">
        <f t="shared" si="24"/>
        <v>0</v>
      </c>
      <c r="M517" s="17">
        <f t="shared" si="25"/>
        <v>12800</v>
      </c>
      <c r="N517" s="17" t="str" cm="1">
        <f t="array" ref="N517">_xlfn.IFS(K517=0,"Matched", K517&gt;100,"High", K517&gt;=50,"Medium", K517&lt;50,"Low")</f>
        <v>Matched</v>
      </c>
      <c r="O517" s="17" t="str">
        <f t="shared" si="26"/>
        <v>No Match</v>
      </c>
    </row>
    <row r="518" spans="2:15" hidden="1" x14ac:dyDescent="0.3">
      <c r="B518" s="7">
        <v>516</v>
      </c>
      <c r="C518" s="3" t="s">
        <v>522</v>
      </c>
      <c r="D518" s="2" t="s">
        <v>1066</v>
      </c>
      <c r="E518" s="3" t="s">
        <v>1009</v>
      </c>
      <c r="F518" s="3">
        <v>158</v>
      </c>
      <c r="G518" s="3">
        <v>158</v>
      </c>
      <c r="H518" s="8">
        <v>800</v>
      </c>
      <c r="I518" s="48">
        <f>Table13[[#This Row],[Physical_Stock_Qty]]-Table13[[#This Row],[System_Stock_Qty]]</f>
        <v>0</v>
      </c>
      <c r="J518" s="53" t="str" cm="1">
        <f t="array" ref="J518">_xlfn.IFS(I518=0,"Matched",I518&gt;0,"Excess",I518&lt;0,"Shortage")</f>
        <v>Matched</v>
      </c>
      <c r="K518" s="50">
        <f>ABS(Table13[[#This Row],[Stock Difference]])</f>
        <v>0</v>
      </c>
      <c r="L518" s="17">
        <f t="shared" si="24"/>
        <v>0</v>
      </c>
      <c r="M518" s="17">
        <f t="shared" si="25"/>
        <v>126400</v>
      </c>
      <c r="N518" s="17" t="str" cm="1">
        <f t="array" ref="N518">_xlfn.IFS(K518=0,"Matched", K518&gt;100,"High", K518&gt;=50,"Medium", K518&lt;50,"Low")</f>
        <v>Matched</v>
      </c>
      <c r="O518" s="17" t="str">
        <f t="shared" si="26"/>
        <v>No Match</v>
      </c>
    </row>
    <row r="519" spans="2:15" hidden="1" x14ac:dyDescent="0.3">
      <c r="B519" s="7">
        <v>517</v>
      </c>
      <c r="C519" s="3" t="s">
        <v>523</v>
      </c>
      <c r="D519" s="2" t="s">
        <v>1023</v>
      </c>
      <c r="E519" s="3" t="s">
        <v>1008</v>
      </c>
      <c r="F519" s="3">
        <v>113</v>
      </c>
      <c r="G519" s="3">
        <v>113</v>
      </c>
      <c r="H519" s="8">
        <v>20000</v>
      </c>
      <c r="I519" s="48">
        <f>Table13[[#This Row],[Physical_Stock_Qty]]-Table13[[#This Row],[System_Stock_Qty]]</f>
        <v>0</v>
      </c>
      <c r="J519" s="53" t="str" cm="1">
        <f t="array" ref="J519">_xlfn.IFS(I519=0,"Matched",I519&gt;0,"Excess",I519&lt;0,"Shortage")</f>
        <v>Matched</v>
      </c>
      <c r="K519" s="50">
        <f>ABS(Table13[[#This Row],[Stock Difference]])</f>
        <v>0</v>
      </c>
      <c r="L519" s="17">
        <f t="shared" si="24"/>
        <v>0</v>
      </c>
      <c r="M519" s="17">
        <f t="shared" si="25"/>
        <v>2260000</v>
      </c>
      <c r="N519" s="17" t="str" cm="1">
        <f t="array" ref="N519">_xlfn.IFS(K519=0,"Matched", K519&gt;100,"High", K519&gt;=50,"Medium", K519&lt;50,"Low")</f>
        <v>Matched</v>
      </c>
      <c r="O519" s="17" t="str">
        <f t="shared" si="26"/>
        <v>No Match</v>
      </c>
    </row>
    <row r="520" spans="2:15" hidden="1" x14ac:dyDescent="0.3">
      <c r="B520" s="7">
        <v>518</v>
      </c>
      <c r="C520" s="3" t="s">
        <v>524</v>
      </c>
      <c r="D520" s="2" t="s">
        <v>1060</v>
      </c>
      <c r="E520" s="3" t="s">
        <v>1012</v>
      </c>
      <c r="F520" s="3">
        <v>51</v>
      </c>
      <c r="G520" s="3">
        <v>51</v>
      </c>
      <c r="H520" s="8">
        <v>1500</v>
      </c>
      <c r="I520" s="48">
        <f>Table13[[#This Row],[Physical_Stock_Qty]]-Table13[[#This Row],[System_Stock_Qty]]</f>
        <v>0</v>
      </c>
      <c r="J520" s="53" t="str" cm="1">
        <f t="array" ref="J520">_xlfn.IFS(I520=0,"Matched",I520&gt;0,"Excess",I520&lt;0,"Shortage")</f>
        <v>Matched</v>
      </c>
      <c r="K520" s="50">
        <f>ABS(Table13[[#This Row],[Stock Difference]])</f>
        <v>0</v>
      </c>
      <c r="L520" s="17">
        <f t="shared" si="24"/>
        <v>0</v>
      </c>
      <c r="M520" s="17">
        <f t="shared" si="25"/>
        <v>76500</v>
      </c>
      <c r="N520" s="17" t="str" cm="1">
        <f t="array" ref="N520">_xlfn.IFS(K520=0,"Matched", K520&gt;100,"High", K520&gt;=50,"Medium", K520&lt;50,"Low")</f>
        <v>Matched</v>
      </c>
      <c r="O520" s="17" t="str">
        <f t="shared" si="26"/>
        <v>No Match</v>
      </c>
    </row>
    <row r="521" spans="2:15" hidden="1" x14ac:dyDescent="0.3">
      <c r="B521" s="7">
        <v>519</v>
      </c>
      <c r="C521" s="3" t="s">
        <v>525</v>
      </c>
      <c r="D521" s="2" t="s">
        <v>1026</v>
      </c>
      <c r="E521" s="3" t="s">
        <v>1008</v>
      </c>
      <c r="F521" s="3">
        <v>116</v>
      </c>
      <c r="G521" s="3">
        <v>116</v>
      </c>
      <c r="H521" s="8">
        <v>6000</v>
      </c>
      <c r="I521" s="48">
        <f>Table13[[#This Row],[Physical_Stock_Qty]]-Table13[[#This Row],[System_Stock_Qty]]</f>
        <v>0</v>
      </c>
      <c r="J521" s="53" t="str" cm="1">
        <f t="array" ref="J521">_xlfn.IFS(I521=0,"Matched",I521&gt;0,"Excess",I521&lt;0,"Shortage")</f>
        <v>Matched</v>
      </c>
      <c r="K521" s="50">
        <f>ABS(Table13[[#This Row],[Stock Difference]])</f>
        <v>0</v>
      </c>
      <c r="L521" s="17">
        <f t="shared" si="24"/>
        <v>0</v>
      </c>
      <c r="M521" s="17">
        <f t="shared" si="25"/>
        <v>696000</v>
      </c>
      <c r="N521" s="17" t="str" cm="1">
        <f t="array" ref="N521">_xlfn.IFS(K521=0,"Matched", K521&gt;100,"High", K521&gt;=50,"Medium", K521&lt;50,"Low")</f>
        <v>Matched</v>
      </c>
      <c r="O521" s="17" t="str">
        <f t="shared" si="26"/>
        <v>No Match</v>
      </c>
    </row>
    <row r="522" spans="2:15" hidden="1" x14ac:dyDescent="0.3">
      <c r="B522" s="7">
        <v>520</v>
      </c>
      <c r="C522" s="3" t="s">
        <v>526</v>
      </c>
      <c r="D522" s="2" t="s">
        <v>1040</v>
      </c>
      <c r="E522" s="3" t="s">
        <v>1007</v>
      </c>
      <c r="F522" s="3">
        <v>185</v>
      </c>
      <c r="G522" s="3">
        <v>185</v>
      </c>
      <c r="H522" s="8">
        <v>5000</v>
      </c>
      <c r="I522" s="48">
        <f>Table13[[#This Row],[Physical_Stock_Qty]]-Table13[[#This Row],[System_Stock_Qty]]</f>
        <v>0</v>
      </c>
      <c r="J522" s="53" t="str" cm="1">
        <f t="array" ref="J522">_xlfn.IFS(I522=0,"Matched",I522&gt;0,"Excess",I522&lt;0,"Shortage")</f>
        <v>Matched</v>
      </c>
      <c r="K522" s="50">
        <f>ABS(Table13[[#This Row],[Stock Difference]])</f>
        <v>0</v>
      </c>
      <c r="L522" s="17">
        <f t="shared" si="24"/>
        <v>0</v>
      </c>
      <c r="M522" s="17">
        <f t="shared" si="25"/>
        <v>925000</v>
      </c>
      <c r="N522" s="17" t="str" cm="1">
        <f t="array" ref="N522">_xlfn.IFS(K522=0,"Matched", K522&gt;100,"High", K522&gt;=50,"Medium", K522&lt;50,"Low")</f>
        <v>Matched</v>
      </c>
      <c r="O522" s="17" t="str">
        <f t="shared" si="26"/>
        <v>No Match</v>
      </c>
    </row>
    <row r="523" spans="2:15" hidden="1" x14ac:dyDescent="0.3">
      <c r="B523" s="7">
        <v>521</v>
      </c>
      <c r="C523" s="3" t="s">
        <v>527</v>
      </c>
      <c r="D523" s="2" t="s">
        <v>1057</v>
      </c>
      <c r="E523" s="3" t="s">
        <v>1012</v>
      </c>
      <c r="F523" s="3">
        <v>99</v>
      </c>
      <c r="G523" s="3">
        <v>99</v>
      </c>
      <c r="H523" s="8">
        <v>500</v>
      </c>
      <c r="I523" s="48">
        <f>Table13[[#This Row],[Physical_Stock_Qty]]-Table13[[#This Row],[System_Stock_Qty]]</f>
        <v>0</v>
      </c>
      <c r="J523" s="53" t="str" cm="1">
        <f t="array" ref="J523">_xlfn.IFS(I523=0,"Matched",I523&gt;0,"Excess",I523&lt;0,"Shortage")</f>
        <v>Matched</v>
      </c>
      <c r="K523" s="50">
        <f>ABS(Table13[[#This Row],[Stock Difference]])</f>
        <v>0</v>
      </c>
      <c r="L523" s="17">
        <f t="shared" si="24"/>
        <v>0</v>
      </c>
      <c r="M523" s="17">
        <f t="shared" si="25"/>
        <v>49500</v>
      </c>
      <c r="N523" s="17" t="str" cm="1">
        <f t="array" ref="N523">_xlfn.IFS(K523=0,"Matched", K523&gt;100,"High", K523&gt;=50,"Medium", K523&lt;50,"Low")</f>
        <v>Matched</v>
      </c>
      <c r="O523" s="17" t="str">
        <f t="shared" si="26"/>
        <v>No Match</v>
      </c>
    </row>
    <row r="524" spans="2:15" hidden="1" x14ac:dyDescent="0.3">
      <c r="B524" s="7">
        <v>522</v>
      </c>
      <c r="C524" s="3" t="s">
        <v>528</v>
      </c>
      <c r="D524" s="2" t="s">
        <v>1060</v>
      </c>
      <c r="E524" s="3" t="s">
        <v>1012</v>
      </c>
      <c r="F524" s="3">
        <v>183</v>
      </c>
      <c r="G524" s="3">
        <v>183</v>
      </c>
      <c r="H524" s="8">
        <v>1500</v>
      </c>
      <c r="I524" s="48">
        <f>Table13[[#This Row],[Physical_Stock_Qty]]-Table13[[#This Row],[System_Stock_Qty]]</f>
        <v>0</v>
      </c>
      <c r="J524" s="53" t="str" cm="1">
        <f t="array" ref="J524">_xlfn.IFS(I524=0,"Matched",I524&gt;0,"Excess",I524&lt;0,"Shortage")</f>
        <v>Matched</v>
      </c>
      <c r="K524" s="50">
        <f>ABS(Table13[[#This Row],[Stock Difference]])</f>
        <v>0</v>
      </c>
      <c r="L524" s="17">
        <f t="shared" si="24"/>
        <v>0</v>
      </c>
      <c r="M524" s="17">
        <f t="shared" si="25"/>
        <v>274500</v>
      </c>
      <c r="N524" s="17" t="str" cm="1">
        <f t="array" ref="N524">_xlfn.IFS(K524=0,"Matched", K524&gt;100,"High", K524&gt;=50,"Medium", K524&lt;50,"Low")</f>
        <v>Matched</v>
      </c>
      <c r="O524" s="17" t="str">
        <f t="shared" si="26"/>
        <v>No Match</v>
      </c>
    </row>
    <row r="525" spans="2:15" hidden="1" x14ac:dyDescent="0.3">
      <c r="B525" s="7">
        <v>523</v>
      </c>
      <c r="C525" s="3" t="s">
        <v>529</v>
      </c>
      <c r="D525" s="2" t="s">
        <v>1034</v>
      </c>
      <c r="E525" s="3" t="s">
        <v>1008</v>
      </c>
      <c r="F525" s="3">
        <v>140</v>
      </c>
      <c r="G525" s="3">
        <v>140</v>
      </c>
      <c r="H525" s="8">
        <v>50000</v>
      </c>
      <c r="I525" s="48">
        <f>Table13[[#This Row],[Physical_Stock_Qty]]-Table13[[#This Row],[System_Stock_Qty]]</f>
        <v>0</v>
      </c>
      <c r="J525" s="53" t="str" cm="1">
        <f t="array" ref="J525">_xlfn.IFS(I525=0,"Matched",I525&gt;0,"Excess",I525&lt;0,"Shortage")</f>
        <v>Matched</v>
      </c>
      <c r="K525" s="50">
        <f>ABS(Table13[[#This Row],[Stock Difference]])</f>
        <v>0</v>
      </c>
      <c r="L525" s="17">
        <f t="shared" si="24"/>
        <v>0</v>
      </c>
      <c r="M525" s="17">
        <f t="shared" si="25"/>
        <v>7000000</v>
      </c>
      <c r="N525" s="17" t="str" cm="1">
        <f t="array" ref="N525">_xlfn.IFS(K525=0,"Matched", K525&gt;100,"High", K525&gt;=50,"Medium", K525&lt;50,"Low")</f>
        <v>Matched</v>
      </c>
      <c r="O525" s="17" t="str">
        <f t="shared" si="26"/>
        <v>No Match</v>
      </c>
    </row>
    <row r="526" spans="2:15" hidden="1" x14ac:dyDescent="0.3">
      <c r="B526" s="7">
        <v>524</v>
      </c>
      <c r="C526" s="3" t="s">
        <v>530</v>
      </c>
      <c r="D526" s="2" t="s">
        <v>1082</v>
      </c>
      <c r="E526" s="3" t="s">
        <v>1011</v>
      </c>
      <c r="F526" s="3">
        <v>100</v>
      </c>
      <c r="G526" s="3">
        <v>100</v>
      </c>
      <c r="H526" s="8">
        <v>2000</v>
      </c>
      <c r="I526" s="48">
        <f>Table13[[#This Row],[Physical_Stock_Qty]]-Table13[[#This Row],[System_Stock_Qty]]</f>
        <v>0</v>
      </c>
      <c r="J526" s="53" t="str" cm="1">
        <f t="array" ref="J526">_xlfn.IFS(I526=0,"Matched",I526&gt;0,"Excess",I526&lt;0,"Shortage")</f>
        <v>Matched</v>
      </c>
      <c r="K526" s="50">
        <f>ABS(Table13[[#This Row],[Stock Difference]])</f>
        <v>0</v>
      </c>
      <c r="L526" s="17">
        <f t="shared" si="24"/>
        <v>0</v>
      </c>
      <c r="M526" s="17">
        <f t="shared" si="25"/>
        <v>200000</v>
      </c>
      <c r="N526" s="17" t="str" cm="1">
        <f t="array" ref="N526">_xlfn.IFS(K526=0,"Matched", K526&gt;100,"High", K526&gt;=50,"Medium", K526&lt;50,"Low")</f>
        <v>Matched</v>
      </c>
      <c r="O526" s="17" t="str">
        <f t="shared" si="26"/>
        <v>No Match</v>
      </c>
    </row>
    <row r="527" spans="2:15" hidden="1" x14ac:dyDescent="0.3">
      <c r="B527" s="7">
        <v>525</v>
      </c>
      <c r="C527" s="3" t="s">
        <v>531</v>
      </c>
      <c r="D527" s="2" t="s">
        <v>1075</v>
      </c>
      <c r="E527" s="3" t="s">
        <v>1009</v>
      </c>
      <c r="F527" s="3">
        <v>185</v>
      </c>
      <c r="G527" s="3">
        <v>185</v>
      </c>
      <c r="H527" s="8">
        <v>2000</v>
      </c>
      <c r="I527" s="48">
        <f>Table13[[#This Row],[Physical_Stock_Qty]]-Table13[[#This Row],[System_Stock_Qty]]</f>
        <v>0</v>
      </c>
      <c r="J527" s="53" t="str" cm="1">
        <f t="array" ref="J527">_xlfn.IFS(I527=0,"Matched",I527&gt;0,"Excess",I527&lt;0,"Shortage")</f>
        <v>Matched</v>
      </c>
      <c r="K527" s="50">
        <f>ABS(Table13[[#This Row],[Stock Difference]])</f>
        <v>0</v>
      </c>
      <c r="L527" s="17">
        <f t="shared" si="24"/>
        <v>0</v>
      </c>
      <c r="M527" s="17">
        <f t="shared" si="25"/>
        <v>370000</v>
      </c>
      <c r="N527" s="17" t="str" cm="1">
        <f t="array" ref="N527">_xlfn.IFS(K527=0,"Matched", K527&gt;100,"High", K527&gt;=50,"Medium", K527&lt;50,"Low")</f>
        <v>Matched</v>
      </c>
      <c r="O527" s="17" t="str">
        <f t="shared" si="26"/>
        <v>No Match</v>
      </c>
    </row>
    <row r="528" spans="2:15" hidden="1" x14ac:dyDescent="0.3">
      <c r="B528" s="7">
        <v>526</v>
      </c>
      <c r="C528" s="3" t="s">
        <v>532</v>
      </c>
      <c r="D528" s="2" t="s">
        <v>1087</v>
      </c>
      <c r="E528" s="3" t="s">
        <v>1011</v>
      </c>
      <c r="F528" s="3">
        <v>189</v>
      </c>
      <c r="G528" s="3">
        <v>189</v>
      </c>
      <c r="H528" s="8">
        <v>5000</v>
      </c>
      <c r="I528" s="48">
        <f>Table13[[#This Row],[Physical_Stock_Qty]]-Table13[[#This Row],[System_Stock_Qty]]</f>
        <v>0</v>
      </c>
      <c r="J528" s="53" t="str" cm="1">
        <f t="array" ref="J528">_xlfn.IFS(I528=0,"Matched",I528&gt;0,"Excess",I528&lt;0,"Shortage")</f>
        <v>Matched</v>
      </c>
      <c r="K528" s="50">
        <f>ABS(Table13[[#This Row],[Stock Difference]])</f>
        <v>0</v>
      </c>
      <c r="L528" s="17">
        <f t="shared" si="24"/>
        <v>0</v>
      </c>
      <c r="M528" s="17">
        <f t="shared" si="25"/>
        <v>945000</v>
      </c>
      <c r="N528" s="17" t="str" cm="1">
        <f t="array" ref="N528">_xlfn.IFS(K528=0,"Matched", K528&gt;100,"High", K528&gt;=50,"Medium", K528&lt;50,"Low")</f>
        <v>Matched</v>
      </c>
      <c r="O528" s="17" t="str">
        <f t="shared" si="26"/>
        <v>No Match</v>
      </c>
    </row>
    <row r="529" spans="2:15" hidden="1" x14ac:dyDescent="0.3">
      <c r="B529" s="7">
        <v>527</v>
      </c>
      <c r="C529" s="3" t="s">
        <v>533</v>
      </c>
      <c r="D529" s="2" t="s">
        <v>1082</v>
      </c>
      <c r="E529" s="3" t="s">
        <v>1011</v>
      </c>
      <c r="F529" s="3">
        <v>52</v>
      </c>
      <c r="G529" s="3">
        <v>52</v>
      </c>
      <c r="H529" s="8">
        <v>2000</v>
      </c>
      <c r="I529" s="48">
        <f>Table13[[#This Row],[Physical_Stock_Qty]]-Table13[[#This Row],[System_Stock_Qty]]</f>
        <v>0</v>
      </c>
      <c r="J529" s="53" t="str" cm="1">
        <f t="array" ref="J529">_xlfn.IFS(I529=0,"Matched",I529&gt;0,"Excess",I529&lt;0,"Shortage")</f>
        <v>Matched</v>
      </c>
      <c r="K529" s="50">
        <f>ABS(Table13[[#This Row],[Stock Difference]])</f>
        <v>0</v>
      </c>
      <c r="L529" s="17">
        <f t="shared" si="24"/>
        <v>0</v>
      </c>
      <c r="M529" s="17">
        <f t="shared" si="25"/>
        <v>104000</v>
      </c>
      <c r="N529" s="17" t="str" cm="1">
        <f t="array" ref="N529">_xlfn.IFS(K529=0,"Matched", K529&gt;100,"High", K529&gt;=50,"Medium", K529&lt;50,"Low")</f>
        <v>Matched</v>
      </c>
      <c r="O529" s="17" t="str">
        <f t="shared" si="26"/>
        <v>No Match</v>
      </c>
    </row>
    <row r="530" spans="2:15" hidden="1" x14ac:dyDescent="0.3">
      <c r="B530" s="7">
        <v>528</v>
      </c>
      <c r="C530" s="3" t="s">
        <v>534</v>
      </c>
      <c r="D530" s="2" t="s">
        <v>1057</v>
      </c>
      <c r="E530" s="3" t="s">
        <v>1012</v>
      </c>
      <c r="F530" s="3">
        <v>118</v>
      </c>
      <c r="G530" s="3">
        <v>118</v>
      </c>
      <c r="H530" s="8">
        <v>500</v>
      </c>
      <c r="I530" s="48">
        <f>Table13[[#This Row],[Physical_Stock_Qty]]-Table13[[#This Row],[System_Stock_Qty]]</f>
        <v>0</v>
      </c>
      <c r="J530" s="53" t="str" cm="1">
        <f t="array" ref="J530">_xlfn.IFS(I530=0,"Matched",I530&gt;0,"Excess",I530&lt;0,"Shortage")</f>
        <v>Matched</v>
      </c>
      <c r="K530" s="50">
        <f>ABS(Table13[[#This Row],[Stock Difference]])</f>
        <v>0</v>
      </c>
      <c r="L530" s="17">
        <f t="shared" si="24"/>
        <v>0</v>
      </c>
      <c r="M530" s="17">
        <f t="shared" si="25"/>
        <v>59000</v>
      </c>
      <c r="N530" s="17" t="str" cm="1">
        <f t="array" ref="N530">_xlfn.IFS(K530=0,"Matched", K530&gt;100,"High", K530&gt;=50,"Medium", K530&lt;50,"Low")</f>
        <v>Matched</v>
      </c>
      <c r="O530" s="17" t="str">
        <f t="shared" si="26"/>
        <v>No Match</v>
      </c>
    </row>
    <row r="531" spans="2:15" hidden="1" x14ac:dyDescent="0.3">
      <c r="B531" s="7">
        <v>529</v>
      </c>
      <c r="C531" s="3" t="s">
        <v>535</v>
      </c>
      <c r="D531" s="2" t="s">
        <v>1027</v>
      </c>
      <c r="E531" s="3" t="s">
        <v>1008</v>
      </c>
      <c r="F531" s="3">
        <v>104</v>
      </c>
      <c r="G531" s="3">
        <v>104</v>
      </c>
      <c r="H531" s="8">
        <v>30000</v>
      </c>
      <c r="I531" s="48">
        <f>Table13[[#This Row],[Physical_Stock_Qty]]-Table13[[#This Row],[System_Stock_Qty]]</f>
        <v>0</v>
      </c>
      <c r="J531" s="53" t="str" cm="1">
        <f t="array" ref="J531">_xlfn.IFS(I531=0,"Matched",I531&gt;0,"Excess",I531&lt;0,"Shortage")</f>
        <v>Matched</v>
      </c>
      <c r="K531" s="50">
        <f>ABS(Table13[[#This Row],[Stock Difference]])</f>
        <v>0</v>
      </c>
      <c r="L531" s="17">
        <f t="shared" si="24"/>
        <v>0</v>
      </c>
      <c r="M531" s="17">
        <f t="shared" si="25"/>
        <v>3120000</v>
      </c>
      <c r="N531" s="17" t="str" cm="1">
        <f t="array" ref="N531">_xlfn.IFS(K531=0,"Matched", K531&gt;100,"High", K531&gt;=50,"Medium", K531&lt;50,"Low")</f>
        <v>Matched</v>
      </c>
      <c r="O531" s="17" t="str">
        <f t="shared" si="26"/>
        <v>No Match</v>
      </c>
    </row>
    <row r="532" spans="2:15" x14ac:dyDescent="0.3">
      <c r="B532" s="7">
        <v>530</v>
      </c>
      <c r="C532" s="3" t="s">
        <v>536</v>
      </c>
      <c r="D532" s="2" t="s">
        <v>1087</v>
      </c>
      <c r="E532" s="3" t="s">
        <v>1011</v>
      </c>
      <c r="F532" s="3">
        <v>69</v>
      </c>
      <c r="G532" s="3">
        <v>87</v>
      </c>
      <c r="H532" s="8">
        <v>5000</v>
      </c>
      <c r="I532" s="48">
        <f>Table13[[#This Row],[Physical_Stock_Qty]]-Table13[[#This Row],[System_Stock_Qty]]</f>
        <v>18</v>
      </c>
      <c r="J532" s="53" t="str" cm="1">
        <f t="array" ref="J532">_xlfn.IFS(I532=0,"Matched",I532&gt;0,"Excess",I532&lt;0,"Shortage")</f>
        <v>Excess</v>
      </c>
      <c r="K532" s="50">
        <f>ABS(Table13[[#This Row],[Stock Difference]])</f>
        <v>18</v>
      </c>
      <c r="L532" s="17">
        <f t="shared" si="24"/>
        <v>90000</v>
      </c>
      <c r="M532" s="17">
        <f t="shared" si="25"/>
        <v>345000</v>
      </c>
      <c r="N532" s="17" t="str" cm="1">
        <f t="array" ref="N532">_xlfn.IFS(K532=0,"Matched", K532&gt;100,"High", K532&gt;=50,"Medium", K532&lt;50,"Low")</f>
        <v>Low</v>
      </c>
      <c r="O532" s="17" t="str">
        <f t="shared" si="26"/>
        <v>No</v>
      </c>
    </row>
    <row r="533" spans="2:15" x14ac:dyDescent="0.3">
      <c r="B533" s="7">
        <v>531</v>
      </c>
      <c r="C533" s="3" t="s">
        <v>537</v>
      </c>
      <c r="D533" s="2" t="s">
        <v>1064</v>
      </c>
      <c r="E533" s="3" t="s">
        <v>1009</v>
      </c>
      <c r="F533" s="3">
        <v>62</v>
      </c>
      <c r="G533" s="3">
        <v>145</v>
      </c>
      <c r="H533" s="8">
        <v>15000</v>
      </c>
      <c r="I533" s="48">
        <f>Table13[[#This Row],[Physical_Stock_Qty]]-Table13[[#This Row],[System_Stock_Qty]]</f>
        <v>83</v>
      </c>
      <c r="J533" s="53" t="str" cm="1">
        <f t="array" ref="J533">_xlfn.IFS(I533=0,"Matched",I533&gt;0,"Excess",I533&lt;0,"Shortage")</f>
        <v>Excess</v>
      </c>
      <c r="K533" s="50">
        <f>ABS(Table13[[#This Row],[Stock Difference]])</f>
        <v>83</v>
      </c>
      <c r="L533" s="17">
        <f t="shared" si="24"/>
        <v>1245000</v>
      </c>
      <c r="M533" s="17">
        <f t="shared" si="25"/>
        <v>930000</v>
      </c>
      <c r="N533" s="17" t="str" cm="1">
        <f t="array" ref="N533">_xlfn.IFS(K533=0,"Matched", K533&gt;100,"High", K533&gt;=50,"Medium", K533&lt;50,"Low")</f>
        <v>Medium</v>
      </c>
      <c r="O533" s="17" t="str">
        <f t="shared" si="26"/>
        <v>Yes</v>
      </c>
    </row>
    <row r="534" spans="2:15" x14ac:dyDescent="0.3">
      <c r="B534" s="7">
        <v>532</v>
      </c>
      <c r="C534" s="3" t="s">
        <v>538</v>
      </c>
      <c r="D534" s="2" t="s">
        <v>1080</v>
      </c>
      <c r="E534" s="3" t="s">
        <v>1011</v>
      </c>
      <c r="F534" s="3">
        <v>86</v>
      </c>
      <c r="G534" s="3">
        <v>143</v>
      </c>
      <c r="H534" s="8">
        <v>2500</v>
      </c>
      <c r="I534" s="48">
        <f>Table13[[#This Row],[Physical_Stock_Qty]]-Table13[[#This Row],[System_Stock_Qty]]</f>
        <v>57</v>
      </c>
      <c r="J534" s="53" t="str" cm="1">
        <f t="array" ref="J534">_xlfn.IFS(I534=0,"Matched",I534&gt;0,"Excess",I534&lt;0,"Shortage")</f>
        <v>Excess</v>
      </c>
      <c r="K534" s="50">
        <f>ABS(Table13[[#This Row],[Stock Difference]])</f>
        <v>57</v>
      </c>
      <c r="L534" s="17">
        <f t="shared" si="24"/>
        <v>142500</v>
      </c>
      <c r="M534" s="17">
        <f t="shared" si="25"/>
        <v>215000</v>
      </c>
      <c r="N534" s="17" t="str" cm="1">
        <f t="array" ref="N534">_xlfn.IFS(K534=0,"Matched", K534&gt;100,"High", K534&gt;=50,"Medium", K534&lt;50,"Low")</f>
        <v>Medium</v>
      </c>
      <c r="O534" s="17" t="str">
        <f t="shared" si="26"/>
        <v>No</v>
      </c>
    </row>
    <row r="535" spans="2:15" x14ac:dyDescent="0.3">
      <c r="B535" s="7">
        <v>533</v>
      </c>
      <c r="C535" s="3" t="s">
        <v>539</v>
      </c>
      <c r="D535" s="2" t="s">
        <v>1059</v>
      </c>
      <c r="E535" s="3" t="s">
        <v>1012</v>
      </c>
      <c r="F535" s="3">
        <v>114</v>
      </c>
      <c r="G535" s="3">
        <v>198</v>
      </c>
      <c r="H535" s="8">
        <v>200</v>
      </c>
      <c r="I535" s="48">
        <f>Table13[[#This Row],[Physical_Stock_Qty]]-Table13[[#This Row],[System_Stock_Qty]]</f>
        <v>84</v>
      </c>
      <c r="J535" s="53" t="str" cm="1">
        <f t="array" ref="J535">_xlfn.IFS(I535=0,"Matched",I535&gt;0,"Excess",I535&lt;0,"Shortage")</f>
        <v>Excess</v>
      </c>
      <c r="K535" s="50">
        <f>ABS(Table13[[#This Row],[Stock Difference]])</f>
        <v>84</v>
      </c>
      <c r="L535" s="17">
        <f t="shared" si="24"/>
        <v>16800</v>
      </c>
      <c r="M535" s="17">
        <f t="shared" si="25"/>
        <v>22800</v>
      </c>
      <c r="N535" s="17" t="str" cm="1">
        <f t="array" ref="N535">_xlfn.IFS(K535=0,"Matched", K535&gt;100,"High", K535&gt;=50,"Medium", K535&lt;50,"Low")</f>
        <v>Medium</v>
      </c>
      <c r="O535" s="17" t="str">
        <f t="shared" si="26"/>
        <v>No</v>
      </c>
    </row>
    <row r="536" spans="2:15" x14ac:dyDescent="0.3">
      <c r="B536" s="7">
        <v>534</v>
      </c>
      <c r="C536" s="3" t="s">
        <v>540</v>
      </c>
      <c r="D536" s="2" t="s">
        <v>1059</v>
      </c>
      <c r="E536" s="3" t="s">
        <v>1012</v>
      </c>
      <c r="F536" s="3">
        <v>142</v>
      </c>
      <c r="G536" s="3">
        <v>124</v>
      </c>
      <c r="H536" s="8">
        <v>200</v>
      </c>
      <c r="I536" s="48">
        <f>Table13[[#This Row],[Physical_Stock_Qty]]-Table13[[#This Row],[System_Stock_Qty]]</f>
        <v>-18</v>
      </c>
      <c r="J536" s="53" t="str" cm="1">
        <f t="array" ref="J536">_xlfn.IFS(I536=0,"Matched",I536&gt;0,"Excess",I536&lt;0,"Shortage")</f>
        <v>Shortage</v>
      </c>
      <c r="K536" s="50">
        <f>ABS(Table13[[#This Row],[Stock Difference]])</f>
        <v>18</v>
      </c>
      <c r="L536" s="17">
        <f t="shared" si="24"/>
        <v>3600</v>
      </c>
      <c r="M536" s="17">
        <f t="shared" si="25"/>
        <v>28400</v>
      </c>
      <c r="N536" s="17" t="str" cm="1">
        <f t="array" ref="N536">_xlfn.IFS(K536=0,"Matched", K536&gt;100,"High", K536&gt;=50,"Medium", K536&lt;50,"Low")</f>
        <v>Low</v>
      </c>
      <c r="O536" s="17" t="str">
        <f t="shared" si="26"/>
        <v>No</v>
      </c>
    </row>
    <row r="537" spans="2:15" x14ac:dyDescent="0.3">
      <c r="B537" s="7">
        <v>535</v>
      </c>
      <c r="C537" s="3" t="s">
        <v>541</v>
      </c>
      <c r="D537" s="2" t="s">
        <v>1032</v>
      </c>
      <c r="E537" s="3" t="s">
        <v>1008</v>
      </c>
      <c r="F537" s="3">
        <v>138</v>
      </c>
      <c r="G537" s="3">
        <v>44</v>
      </c>
      <c r="H537" s="8">
        <v>2000</v>
      </c>
      <c r="I537" s="48">
        <f>Table13[[#This Row],[Physical_Stock_Qty]]-Table13[[#This Row],[System_Stock_Qty]]</f>
        <v>-94</v>
      </c>
      <c r="J537" s="53" t="str" cm="1">
        <f t="array" ref="J537">_xlfn.IFS(I537=0,"Matched",I537&gt;0,"Excess",I537&lt;0,"Shortage")</f>
        <v>Shortage</v>
      </c>
      <c r="K537" s="50">
        <f>ABS(Table13[[#This Row],[Stock Difference]])</f>
        <v>94</v>
      </c>
      <c r="L537" s="17">
        <f t="shared" si="24"/>
        <v>188000</v>
      </c>
      <c r="M537" s="17">
        <f t="shared" si="25"/>
        <v>276000</v>
      </c>
      <c r="N537" s="17" t="str" cm="1">
        <f t="array" ref="N537">_xlfn.IFS(K537=0,"Matched", K537&gt;100,"High", K537&gt;=50,"Medium", K537&lt;50,"Low")</f>
        <v>Medium</v>
      </c>
      <c r="O537" s="17" t="str">
        <f t="shared" si="26"/>
        <v>No</v>
      </c>
    </row>
    <row r="538" spans="2:15" x14ac:dyDescent="0.3">
      <c r="B538" s="7">
        <v>536</v>
      </c>
      <c r="C538" s="3" t="s">
        <v>542</v>
      </c>
      <c r="D538" s="2" t="s">
        <v>1071</v>
      </c>
      <c r="E538" s="3" t="s">
        <v>1009</v>
      </c>
      <c r="F538" s="3">
        <v>128</v>
      </c>
      <c r="G538" s="3">
        <v>116</v>
      </c>
      <c r="H538" s="8">
        <v>200</v>
      </c>
      <c r="I538" s="48">
        <f>Table13[[#This Row],[Physical_Stock_Qty]]-Table13[[#This Row],[System_Stock_Qty]]</f>
        <v>-12</v>
      </c>
      <c r="J538" s="53" t="str" cm="1">
        <f t="array" ref="J538">_xlfn.IFS(I538=0,"Matched",I538&gt;0,"Excess",I538&lt;0,"Shortage")</f>
        <v>Shortage</v>
      </c>
      <c r="K538" s="50">
        <f>ABS(Table13[[#This Row],[Stock Difference]])</f>
        <v>12</v>
      </c>
      <c r="L538" s="17">
        <f t="shared" si="24"/>
        <v>2400</v>
      </c>
      <c r="M538" s="17">
        <f t="shared" si="25"/>
        <v>25600</v>
      </c>
      <c r="N538" s="17" t="str" cm="1">
        <f t="array" ref="N538">_xlfn.IFS(K538=0,"Matched", K538&gt;100,"High", K538&gt;=50,"Medium", K538&lt;50,"Low")</f>
        <v>Low</v>
      </c>
      <c r="O538" s="17" t="str">
        <f t="shared" si="26"/>
        <v>No</v>
      </c>
    </row>
    <row r="539" spans="2:15" x14ac:dyDescent="0.3">
      <c r="B539" s="7">
        <v>537</v>
      </c>
      <c r="C539" s="3" t="s">
        <v>543</v>
      </c>
      <c r="D539" s="2" t="s">
        <v>1025</v>
      </c>
      <c r="E539" s="3" t="s">
        <v>1008</v>
      </c>
      <c r="F539" s="3">
        <v>177</v>
      </c>
      <c r="G539" s="3">
        <v>93</v>
      </c>
      <c r="H539" s="8">
        <v>30000</v>
      </c>
      <c r="I539" s="48">
        <f>Table13[[#This Row],[Physical_Stock_Qty]]-Table13[[#This Row],[System_Stock_Qty]]</f>
        <v>-84</v>
      </c>
      <c r="J539" s="53" t="str" cm="1">
        <f t="array" ref="J539">_xlfn.IFS(I539=0,"Matched",I539&gt;0,"Excess",I539&lt;0,"Shortage")</f>
        <v>Shortage</v>
      </c>
      <c r="K539" s="50">
        <f>ABS(Table13[[#This Row],[Stock Difference]])</f>
        <v>84</v>
      </c>
      <c r="L539" s="17">
        <f t="shared" si="24"/>
        <v>2520000</v>
      </c>
      <c r="M539" s="17">
        <f t="shared" si="25"/>
        <v>5310000</v>
      </c>
      <c r="N539" s="17" t="str" cm="1">
        <f t="array" ref="N539">_xlfn.IFS(K539=0,"Matched", K539&gt;100,"High", K539&gt;=50,"Medium", K539&lt;50,"Low")</f>
        <v>Medium</v>
      </c>
      <c r="O539" s="17" t="str">
        <f t="shared" si="26"/>
        <v>Yes</v>
      </c>
    </row>
    <row r="540" spans="2:15" x14ac:dyDescent="0.3">
      <c r="B540" s="7">
        <v>538</v>
      </c>
      <c r="C540" s="3" t="s">
        <v>544</v>
      </c>
      <c r="D540" s="2" t="s">
        <v>1061</v>
      </c>
      <c r="E540" s="3" t="s">
        <v>1012</v>
      </c>
      <c r="F540" s="3">
        <v>148</v>
      </c>
      <c r="G540" s="3">
        <v>48</v>
      </c>
      <c r="H540" s="8">
        <v>500</v>
      </c>
      <c r="I540" s="48">
        <f>Table13[[#This Row],[Physical_Stock_Qty]]-Table13[[#This Row],[System_Stock_Qty]]</f>
        <v>-100</v>
      </c>
      <c r="J540" s="53" t="str" cm="1">
        <f t="array" ref="J540">_xlfn.IFS(I540=0,"Matched",I540&gt;0,"Excess",I540&lt;0,"Shortage")</f>
        <v>Shortage</v>
      </c>
      <c r="K540" s="50">
        <f>ABS(Table13[[#This Row],[Stock Difference]])</f>
        <v>100</v>
      </c>
      <c r="L540" s="17">
        <f t="shared" si="24"/>
        <v>50000</v>
      </c>
      <c r="M540" s="17">
        <f t="shared" si="25"/>
        <v>74000</v>
      </c>
      <c r="N540" s="17" t="str" cm="1">
        <f t="array" ref="N540">_xlfn.IFS(K540=0,"Matched", K540&gt;100,"High", K540&gt;=50,"Medium", K540&lt;50,"Low")</f>
        <v>Medium</v>
      </c>
      <c r="O540" s="17" t="str">
        <f t="shared" si="26"/>
        <v>No</v>
      </c>
    </row>
    <row r="541" spans="2:15" x14ac:dyDescent="0.3">
      <c r="B541" s="7">
        <v>539</v>
      </c>
      <c r="C541" s="3" t="s">
        <v>545</v>
      </c>
      <c r="D541" s="2" t="s">
        <v>1072</v>
      </c>
      <c r="E541" s="3" t="s">
        <v>1009</v>
      </c>
      <c r="F541" s="3">
        <v>105</v>
      </c>
      <c r="G541" s="3">
        <v>99</v>
      </c>
      <c r="H541" s="8">
        <v>50</v>
      </c>
      <c r="I541" s="48">
        <f>Table13[[#This Row],[Physical_Stock_Qty]]-Table13[[#This Row],[System_Stock_Qty]]</f>
        <v>-6</v>
      </c>
      <c r="J541" s="53" t="str" cm="1">
        <f t="array" ref="J541">_xlfn.IFS(I541=0,"Matched",I541&gt;0,"Excess",I541&lt;0,"Shortage")</f>
        <v>Shortage</v>
      </c>
      <c r="K541" s="50">
        <f>ABS(Table13[[#This Row],[Stock Difference]])</f>
        <v>6</v>
      </c>
      <c r="L541" s="17">
        <f t="shared" si="24"/>
        <v>300</v>
      </c>
      <c r="M541" s="17">
        <f t="shared" si="25"/>
        <v>5250</v>
      </c>
      <c r="N541" s="17" t="str" cm="1">
        <f t="array" ref="N541">_xlfn.IFS(K541=0,"Matched", K541&gt;100,"High", K541&gt;=50,"Medium", K541&lt;50,"Low")</f>
        <v>Low</v>
      </c>
      <c r="O541" s="17" t="str">
        <f t="shared" si="26"/>
        <v>No</v>
      </c>
    </row>
    <row r="542" spans="2:15" x14ac:dyDescent="0.3">
      <c r="B542" s="7">
        <v>540</v>
      </c>
      <c r="C542" s="3" t="s">
        <v>546</v>
      </c>
      <c r="D542" s="2" t="s">
        <v>1057</v>
      </c>
      <c r="E542" s="3" t="s">
        <v>1012</v>
      </c>
      <c r="F542" s="3">
        <v>141</v>
      </c>
      <c r="G542" s="3">
        <v>102</v>
      </c>
      <c r="H542" s="8">
        <v>500</v>
      </c>
      <c r="I542" s="48">
        <f>Table13[[#This Row],[Physical_Stock_Qty]]-Table13[[#This Row],[System_Stock_Qty]]</f>
        <v>-39</v>
      </c>
      <c r="J542" s="53" t="str" cm="1">
        <f t="array" ref="J542">_xlfn.IFS(I542=0,"Matched",I542&gt;0,"Excess",I542&lt;0,"Shortage")</f>
        <v>Shortage</v>
      </c>
      <c r="K542" s="50">
        <f>ABS(Table13[[#This Row],[Stock Difference]])</f>
        <v>39</v>
      </c>
      <c r="L542" s="17">
        <f t="shared" si="24"/>
        <v>19500</v>
      </c>
      <c r="M542" s="17">
        <f t="shared" si="25"/>
        <v>70500</v>
      </c>
      <c r="N542" s="17" t="str" cm="1">
        <f t="array" ref="N542">_xlfn.IFS(K542=0,"Matched", K542&gt;100,"High", K542&gt;=50,"Medium", K542&lt;50,"Low")</f>
        <v>Low</v>
      </c>
      <c r="O542" s="17" t="str">
        <f t="shared" si="26"/>
        <v>No</v>
      </c>
    </row>
    <row r="543" spans="2:15" x14ac:dyDescent="0.3">
      <c r="B543" s="7">
        <v>541</v>
      </c>
      <c r="C543" s="3" t="s">
        <v>547</v>
      </c>
      <c r="D543" s="2" t="s">
        <v>1030</v>
      </c>
      <c r="E543" s="3" t="s">
        <v>1008</v>
      </c>
      <c r="F543" s="3">
        <v>103</v>
      </c>
      <c r="G543" s="3">
        <v>95</v>
      </c>
      <c r="H543" s="8">
        <v>70000</v>
      </c>
      <c r="I543" s="48">
        <f>Table13[[#This Row],[Physical_Stock_Qty]]-Table13[[#This Row],[System_Stock_Qty]]</f>
        <v>-8</v>
      </c>
      <c r="J543" s="53" t="str" cm="1">
        <f t="array" ref="J543">_xlfn.IFS(I543=0,"Matched",I543&gt;0,"Excess",I543&lt;0,"Shortage")</f>
        <v>Shortage</v>
      </c>
      <c r="K543" s="50">
        <f>ABS(Table13[[#This Row],[Stock Difference]])</f>
        <v>8</v>
      </c>
      <c r="L543" s="17">
        <f t="shared" si="24"/>
        <v>560000</v>
      </c>
      <c r="M543" s="17">
        <f t="shared" si="25"/>
        <v>7210000</v>
      </c>
      <c r="N543" s="17" t="str" cm="1">
        <f t="array" ref="N543">_xlfn.IFS(K543=0,"Matched", K543&gt;100,"High", K543&gt;=50,"Medium", K543&lt;50,"Low")</f>
        <v>Low</v>
      </c>
      <c r="O543" s="17" t="str">
        <f t="shared" si="26"/>
        <v>Yes</v>
      </c>
    </row>
    <row r="544" spans="2:15" x14ac:dyDescent="0.3">
      <c r="B544" s="7">
        <v>542</v>
      </c>
      <c r="C544" s="3" t="s">
        <v>548</v>
      </c>
      <c r="D544" s="2" t="s">
        <v>1035</v>
      </c>
      <c r="E544" s="3" t="s">
        <v>1007</v>
      </c>
      <c r="F544" s="3">
        <v>53</v>
      </c>
      <c r="G544" s="3">
        <v>152</v>
      </c>
      <c r="H544" s="8">
        <v>15000</v>
      </c>
      <c r="I544" s="48">
        <f>Table13[[#This Row],[Physical_Stock_Qty]]-Table13[[#This Row],[System_Stock_Qty]]</f>
        <v>99</v>
      </c>
      <c r="J544" s="53" t="str" cm="1">
        <f t="array" ref="J544">_xlfn.IFS(I544=0,"Matched",I544&gt;0,"Excess",I544&lt;0,"Shortage")</f>
        <v>Excess</v>
      </c>
      <c r="K544" s="50">
        <f>ABS(Table13[[#This Row],[Stock Difference]])</f>
        <v>99</v>
      </c>
      <c r="L544" s="17">
        <f t="shared" si="24"/>
        <v>1485000</v>
      </c>
      <c r="M544" s="17">
        <f t="shared" si="25"/>
        <v>795000</v>
      </c>
      <c r="N544" s="17" t="str" cm="1">
        <f t="array" ref="N544">_xlfn.IFS(K544=0,"Matched", K544&gt;100,"High", K544&gt;=50,"Medium", K544&lt;50,"Low")</f>
        <v>Medium</v>
      </c>
      <c r="O544" s="17" t="str">
        <f t="shared" si="26"/>
        <v>Yes</v>
      </c>
    </row>
    <row r="545" spans="2:15" x14ac:dyDescent="0.3">
      <c r="B545" s="7">
        <v>543</v>
      </c>
      <c r="C545" s="3" t="s">
        <v>549</v>
      </c>
      <c r="D545" s="2" t="s">
        <v>1045</v>
      </c>
      <c r="E545" s="3" t="s">
        <v>1010</v>
      </c>
      <c r="F545" s="3">
        <v>55</v>
      </c>
      <c r="G545" s="3">
        <v>143</v>
      </c>
      <c r="H545" s="8">
        <v>100</v>
      </c>
      <c r="I545" s="48">
        <f>Table13[[#This Row],[Physical_Stock_Qty]]-Table13[[#This Row],[System_Stock_Qty]]</f>
        <v>88</v>
      </c>
      <c r="J545" s="53" t="str" cm="1">
        <f t="array" ref="J545">_xlfn.IFS(I545=0,"Matched",I545&gt;0,"Excess",I545&lt;0,"Shortage")</f>
        <v>Excess</v>
      </c>
      <c r="K545" s="50">
        <f>ABS(Table13[[#This Row],[Stock Difference]])</f>
        <v>88</v>
      </c>
      <c r="L545" s="17">
        <f t="shared" si="24"/>
        <v>8800</v>
      </c>
      <c r="M545" s="17">
        <f t="shared" si="25"/>
        <v>5500</v>
      </c>
      <c r="N545" s="17" t="str" cm="1">
        <f t="array" ref="N545">_xlfn.IFS(K545=0,"Matched", K545&gt;100,"High", K545&gt;=50,"Medium", K545&lt;50,"Low")</f>
        <v>Medium</v>
      </c>
      <c r="O545" s="17" t="str">
        <f t="shared" si="26"/>
        <v>No</v>
      </c>
    </row>
    <row r="546" spans="2:15" x14ac:dyDescent="0.3">
      <c r="B546" s="7">
        <v>544</v>
      </c>
      <c r="C546" s="3" t="s">
        <v>550</v>
      </c>
      <c r="D546" s="2" t="s">
        <v>1018</v>
      </c>
      <c r="E546" s="3" t="s">
        <v>1012</v>
      </c>
      <c r="F546" s="3">
        <v>102</v>
      </c>
      <c r="G546" s="3">
        <v>173</v>
      </c>
      <c r="H546" s="8">
        <v>3000</v>
      </c>
      <c r="I546" s="48">
        <f>Table13[[#This Row],[Physical_Stock_Qty]]-Table13[[#This Row],[System_Stock_Qty]]</f>
        <v>71</v>
      </c>
      <c r="J546" s="53" t="str" cm="1">
        <f t="array" ref="J546">_xlfn.IFS(I546=0,"Matched",I546&gt;0,"Excess",I546&lt;0,"Shortage")</f>
        <v>Excess</v>
      </c>
      <c r="K546" s="50">
        <f>ABS(Table13[[#This Row],[Stock Difference]])</f>
        <v>71</v>
      </c>
      <c r="L546" s="17">
        <f t="shared" si="24"/>
        <v>213000</v>
      </c>
      <c r="M546" s="17">
        <f t="shared" si="25"/>
        <v>306000</v>
      </c>
      <c r="N546" s="17" t="str" cm="1">
        <f t="array" ref="N546">_xlfn.IFS(K546=0,"Matched", K546&gt;100,"High", K546&gt;=50,"Medium", K546&lt;50,"Low")</f>
        <v>Medium</v>
      </c>
      <c r="O546" s="17" t="str">
        <f t="shared" si="26"/>
        <v>No</v>
      </c>
    </row>
    <row r="547" spans="2:15" x14ac:dyDescent="0.3">
      <c r="B547" s="7">
        <v>545</v>
      </c>
      <c r="C547" s="3" t="s">
        <v>551</v>
      </c>
      <c r="D547" s="2" t="s">
        <v>1030</v>
      </c>
      <c r="E547" s="3" t="s">
        <v>1008</v>
      </c>
      <c r="F547" s="3">
        <v>137</v>
      </c>
      <c r="G547" s="3">
        <v>71</v>
      </c>
      <c r="H547" s="8">
        <v>70000</v>
      </c>
      <c r="I547" s="48">
        <f>Table13[[#This Row],[Physical_Stock_Qty]]-Table13[[#This Row],[System_Stock_Qty]]</f>
        <v>-66</v>
      </c>
      <c r="J547" s="53" t="str" cm="1">
        <f t="array" ref="J547">_xlfn.IFS(I547=0,"Matched",I547&gt;0,"Excess",I547&lt;0,"Shortage")</f>
        <v>Shortage</v>
      </c>
      <c r="K547" s="50">
        <f>ABS(Table13[[#This Row],[Stock Difference]])</f>
        <v>66</v>
      </c>
      <c r="L547" s="17">
        <f t="shared" si="24"/>
        <v>4620000</v>
      </c>
      <c r="M547" s="17">
        <f t="shared" si="25"/>
        <v>9590000</v>
      </c>
      <c r="N547" s="17" t="str" cm="1">
        <f t="array" ref="N547">_xlfn.IFS(K547=0,"Matched", K547&gt;100,"High", K547&gt;=50,"Medium", K547&lt;50,"Low")</f>
        <v>Medium</v>
      </c>
      <c r="O547" s="17" t="str">
        <f t="shared" si="26"/>
        <v>Yes</v>
      </c>
    </row>
    <row r="548" spans="2:15" x14ac:dyDescent="0.3">
      <c r="B548" s="7">
        <v>546</v>
      </c>
      <c r="C548" s="3" t="s">
        <v>552</v>
      </c>
      <c r="D548" s="2" t="s">
        <v>1053</v>
      </c>
      <c r="E548" s="3" t="s">
        <v>1010</v>
      </c>
      <c r="F548" s="3">
        <v>46</v>
      </c>
      <c r="G548" s="3">
        <v>69</v>
      </c>
      <c r="H548" s="8">
        <v>10</v>
      </c>
      <c r="I548" s="48">
        <f>Table13[[#This Row],[Physical_Stock_Qty]]-Table13[[#This Row],[System_Stock_Qty]]</f>
        <v>23</v>
      </c>
      <c r="J548" s="53" t="str" cm="1">
        <f t="array" ref="J548">_xlfn.IFS(I548=0,"Matched",I548&gt;0,"Excess",I548&lt;0,"Shortage")</f>
        <v>Excess</v>
      </c>
      <c r="K548" s="50">
        <f>ABS(Table13[[#This Row],[Stock Difference]])</f>
        <v>23</v>
      </c>
      <c r="L548" s="17">
        <f t="shared" si="24"/>
        <v>230</v>
      </c>
      <c r="M548" s="17">
        <f t="shared" si="25"/>
        <v>460</v>
      </c>
      <c r="N548" s="17" t="str" cm="1">
        <f t="array" ref="N548">_xlfn.IFS(K548=0,"Matched", K548&gt;100,"High", K548&gt;=50,"Medium", K548&lt;50,"Low")</f>
        <v>Low</v>
      </c>
      <c r="O548" s="17" t="str">
        <f t="shared" si="26"/>
        <v>No</v>
      </c>
    </row>
    <row r="549" spans="2:15" x14ac:dyDescent="0.3">
      <c r="B549" s="7">
        <v>547</v>
      </c>
      <c r="C549" s="3" t="s">
        <v>553</v>
      </c>
      <c r="D549" s="2" t="s">
        <v>1071</v>
      </c>
      <c r="E549" s="3" t="s">
        <v>1009</v>
      </c>
      <c r="F549" s="3">
        <v>140</v>
      </c>
      <c r="G549" s="3">
        <v>85</v>
      </c>
      <c r="H549" s="8">
        <v>200</v>
      </c>
      <c r="I549" s="48">
        <f>Table13[[#This Row],[Physical_Stock_Qty]]-Table13[[#This Row],[System_Stock_Qty]]</f>
        <v>-55</v>
      </c>
      <c r="J549" s="53" t="str" cm="1">
        <f t="array" ref="J549">_xlfn.IFS(I549=0,"Matched",I549&gt;0,"Excess",I549&lt;0,"Shortage")</f>
        <v>Shortage</v>
      </c>
      <c r="K549" s="50">
        <f>ABS(Table13[[#This Row],[Stock Difference]])</f>
        <v>55</v>
      </c>
      <c r="L549" s="17">
        <f t="shared" si="24"/>
        <v>11000</v>
      </c>
      <c r="M549" s="17">
        <f t="shared" si="25"/>
        <v>28000</v>
      </c>
      <c r="N549" s="17" t="str" cm="1">
        <f t="array" ref="N549">_xlfn.IFS(K549=0,"Matched", K549&gt;100,"High", K549&gt;=50,"Medium", K549&lt;50,"Low")</f>
        <v>Medium</v>
      </c>
      <c r="O549" s="17" t="str">
        <f t="shared" si="26"/>
        <v>No</v>
      </c>
    </row>
    <row r="550" spans="2:15" x14ac:dyDescent="0.3">
      <c r="B550" s="7">
        <v>548</v>
      </c>
      <c r="C550" s="3" t="s">
        <v>554</v>
      </c>
      <c r="D550" s="2" t="s">
        <v>1043</v>
      </c>
      <c r="E550" s="3" t="s">
        <v>1010</v>
      </c>
      <c r="F550" s="3">
        <v>41</v>
      </c>
      <c r="G550" s="3">
        <v>152</v>
      </c>
      <c r="H550" s="8">
        <v>50</v>
      </c>
      <c r="I550" s="48">
        <f>Table13[[#This Row],[Physical_Stock_Qty]]-Table13[[#This Row],[System_Stock_Qty]]</f>
        <v>111</v>
      </c>
      <c r="J550" s="53" t="str" cm="1">
        <f t="array" ref="J550">_xlfn.IFS(I550=0,"Matched",I550&gt;0,"Excess",I550&lt;0,"Shortage")</f>
        <v>Excess</v>
      </c>
      <c r="K550" s="50">
        <f>ABS(Table13[[#This Row],[Stock Difference]])</f>
        <v>111</v>
      </c>
      <c r="L550" s="17">
        <f t="shared" si="24"/>
        <v>5550</v>
      </c>
      <c r="M550" s="17">
        <f t="shared" si="25"/>
        <v>2050</v>
      </c>
      <c r="N550" s="17" t="str" cm="1">
        <f t="array" ref="N550">_xlfn.IFS(K550=0,"Matched", K550&gt;100,"High", K550&gt;=50,"Medium", K550&lt;50,"Low")</f>
        <v>High</v>
      </c>
      <c r="O550" s="17" t="str">
        <f t="shared" si="26"/>
        <v>No</v>
      </c>
    </row>
    <row r="551" spans="2:15" x14ac:dyDescent="0.3">
      <c r="B551" s="7">
        <v>549</v>
      </c>
      <c r="C551" s="3" t="s">
        <v>555</v>
      </c>
      <c r="D551" s="2" t="s">
        <v>1028</v>
      </c>
      <c r="E551" s="3" t="s">
        <v>1008</v>
      </c>
      <c r="F551" s="3">
        <v>138</v>
      </c>
      <c r="G551" s="3">
        <v>194</v>
      </c>
      <c r="H551" s="8">
        <v>15000</v>
      </c>
      <c r="I551" s="48">
        <f>Table13[[#This Row],[Physical_Stock_Qty]]-Table13[[#This Row],[System_Stock_Qty]]</f>
        <v>56</v>
      </c>
      <c r="J551" s="53" t="str" cm="1">
        <f t="array" ref="J551">_xlfn.IFS(I551=0,"Matched",I551&gt;0,"Excess",I551&lt;0,"Shortage")</f>
        <v>Excess</v>
      </c>
      <c r="K551" s="50">
        <f>ABS(Table13[[#This Row],[Stock Difference]])</f>
        <v>56</v>
      </c>
      <c r="L551" s="17">
        <f t="shared" si="24"/>
        <v>840000</v>
      </c>
      <c r="M551" s="17">
        <f t="shared" si="25"/>
        <v>2070000</v>
      </c>
      <c r="N551" s="17" t="str" cm="1">
        <f t="array" ref="N551">_xlfn.IFS(K551=0,"Matched", K551&gt;100,"High", K551&gt;=50,"Medium", K551&lt;50,"Low")</f>
        <v>Medium</v>
      </c>
      <c r="O551" s="17" t="str">
        <f t="shared" si="26"/>
        <v>Yes</v>
      </c>
    </row>
    <row r="552" spans="2:15" x14ac:dyDescent="0.3">
      <c r="B552" s="7">
        <v>550</v>
      </c>
      <c r="C552" s="3" t="s">
        <v>556</v>
      </c>
      <c r="D552" s="2" t="s">
        <v>1079</v>
      </c>
      <c r="E552" s="3" t="s">
        <v>1011</v>
      </c>
      <c r="F552" s="3">
        <v>64</v>
      </c>
      <c r="G552" s="3">
        <v>77</v>
      </c>
      <c r="H552" s="8">
        <v>5000</v>
      </c>
      <c r="I552" s="48">
        <f>Table13[[#This Row],[Physical_Stock_Qty]]-Table13[[#This Row],[System_Stock_Qty]]</f>
        <v>13</v>
      </c>
      <c r="J552" s="53" t="str" cm="1">
        <f t="array" ref="J552">_xlfn.IFS(I552=0,"Matched",I552&gt;0,"Excess",I552&lt;0,"Shortage")</f>
        <v>Excess</v>
      </c>
      <c r="K552" s="50">
        <f>ABS(Table13[[#This Row],[Stock Difference]])</f>
        <v>13</v>
      </c>
      <c r="L552" s="17">
        <f t="shared" si="24"/>
        <v>65000</v>
      </c>
      <c r="M552" s="17">
        <f t="shared" si="25"/>
        <v>320000</v>
      </c>
      <c r="N552" s="17" t="str" cm="1">
        <f t="array" ref="N552">_xlfn.IFS(K552=0,"Matched", K552&gt;100,"High", K552&gt;=50,"Medium", K552&lt;50,"Low")</f>
        <v>Low</v>
      </c>
      <c r="O552" s="17" t="str">
        <f t="shared" si="26"/>
        <v>No</v>
      </c>
    </row>
    <row r="553" spans="2:15" x14ac:dyDescent="0.3">
      <c r="B553" s="7">
        <v>551</v>
      </c>
      <c r="C553" s="3" t="s">
        <v>557</v>
      </c>
      <c r="D553" s="2" t="s">
        <v>1082</v>
      </c>
      <c r="E553" s="3" t="s">
        <v>1011</v>
      </c>
      <c r="F553" s="3">
        <v>45</v>
      </c>
      <c r="G553" s="3">
        <v>39</v>
      </c>
      <c r="H553" s="8">
        <v>2000</v>
      </c>
      <c r="I553" s="48">
        <f>Table13[[#This Row],[Physical_Stock_Qty]]-Table13[[#This Row],[System_Stock_Qty]]</f>
        <v>-6</v>
      </c>
      <c r="J553" s="53" t="str" cm="1">
        <f t="array" ref="J553">_xlfn.IFS(I553=0,"Matched",I553&gt;0,"Excess",I553&lt;0,"Shortage")</f>
        <v>Shortage</v>
      </c>
      <c r="K553" s="50">
        <f>ABS(Table13[[#This Row],[Stock Difference]])</f>
        <v>6</v>
      </c>
      <c r="L553" s="17">
        <f t="shared" si="24"/>
        <v>12000</v>
      </c>
      <c r="M553" s="17">
        <f t="shared" si="25"/>
        <v>90000</v>
      </c>
      <c r="N553" s="17" t="str" cm="1">
        <f t="array" ref="N553">_xlfn.IFS(K553=0,"Matched", K553&gt;100,"High", K553&gt;=50,"Medium", K553&lt;50,"Low")</f>
        <v>Low</v>
      </c>
      <c r="O553" s="17" t="str">
        <f t="shared" si="26"/>
        <v>No</v>
      </c>
    </row>
    <row r="554" spans="2:15" x14ac:dyDescent="0.3">
      <c r="B554" s="7">
        <v>552</v>
      </c>
      <c r="C554" s="3" t="s">
        <v>558</v>
      </c>
      <c r="D554" s="2" t="s">
        <v>1022</v>
      </c>
      <c r="E554" s="3" t="s">
        <v>1008</v>
      </c>
      <c r="F554" s="3">
        <v>140</v>
      </c>
      <c r="G554" s="3">
        <v>78</v>
      </c>
      <c r="H554" s="8">
        <v>0</v>
      </c>
      <c r="I554" s="48">
        <f>Table13[[#This Row],[Physical_Stock_Qty]]-Table13[[#This Row],[System_Stock_Qty]]</f>
        <v>-62</v>
      </c>
      <c r="J554" s="53" t="str" cm="1">
        <f t="array" ref="J554">_xlfn.IFS(I554=0,"Matched",I554&gt;0,"Excess",I554&lt;0,"Shortage")</f>
        <v>Shortage</v>
      </c>
      <c r="K554" s="50">
        <f>ABS(Table13[[#This Row],[Stock Difference]])</f>
        <v>62</v>
      </c>
      <c r="L554" s="17">
        <f t="shared" si="24"/>
        <v>0</v>
      </c>
      <c r="M554" s="17">
        <f t="shared" si="25"/>
        <v>0</v>
      </c>
      <c r="N554" s="17" t="str" cm="1">
        <f t="array" ref="N554">_xlfn.IFS(K554=0,"Matched", K554&gt;100,"High", K554&gt;=50,"Medium", K554&lt;50,"Low")</f>
        <v>Medium</v>
      </c>
      <c r="O554" s="17" t="str">
        <f t="shared" si="26"/>
        <v>No Match</v>
      </c>
    </row>
    <row r="555" spans="2:15" x14ac:dyDescent="0.3">
      <c r="B555" s="7">
        <v>553</v>
      </c>
      <c r="C555" s="3" t="s">
        <v>559</v>
      </c>
      <c r="D555" s="2" t="s">
        <v>1083</v>
      </c>
      <c r="E555" s="3" t="s">
        <v>1011</v>
      </c>
      <c r="F555" s="3">
        <v>126</v>
      </c>
      <c r="G555" s="3">
        <v>81</v>
      </c>
      <c r="H555" s="8">
        <v>3000</v>
      </c>
      <c r="I555" s="48">
        <f>Table13[[#This Row],[Physical_Stock_Qty]]-Table13[[#This Row],[System_Stock_Qty]]</f>
        <v>-45</v>
      </c>
      <c r="J555" s="53" t="str" cm="1">
        <f t="array" ref="J555">_xlfn.IFS(I555=0,"Matched",I555&gt;0,"Excess",I555&lt;0,"Shortage")</f>
        <v>Shortage</v>
      </c>
      <c r="K555" s="50">
        <f>ABS(Table13[[#This Row],[Stock Difference]])</f>
        <v>45</v>
      </c>
      <c r="L555" s="17">
        <f t="shared" si="24"/>
        <v>135000</v>
      </c>
      <c r="M555" s="17">
        <f t="shared" si="25"/>
        <v>378000</v>
      </c>
      <c r="N555" s="17" t="str" cm="1">
        <f t="array" ref="N555">_xlfn.IFS(K555=0,"Matched", K555&gt;100,"High", K555&gt;=50,"Medium", K555&lt;50,"Low")</f>
        <v>Low</v>
      </c>
      <c r="O555" s="17" t="str">
        <f t="shared" si="26"/>
        <v>No</v>
      </c>
    </row>
    <row r="556" spans="2:15" x14ac:dyDescent="0.3">
      <c r="B556" s="7">
        <v>554</v>
      </c>
      <c r="C556" s="3" t="s">
        <v>560</v>
      </c>
      <c r="D556" s="2" t="s">
        <v>1034</v>
      </c>
      <c r="E556" s="3" t="s">
        <v>1008</v>
      </c>
      <c r="F556" s="3">
        <v>165</v>
      </c>
      <c r="G556" s="3">
        <v>117</v>
      </c>
      <c r="H556" s="8">
        <v>50000</v>
      </c>
      <c r="I556" s="48">
        <f>Table13[[#This Row],[Physical_Stock_Qty]]-Table13[[#This Row],[System_Stock_Qty]]</f>
        <v>-48</v>
      </c>
      <c r="J556" s="53" t="str" cm="1">
        <f t="array" ref="J556">_xlfn.IFS(I556=0,"Matched",I556&gt;0,"Excess",I556&lt;0,"Shortage")</f>
        <v>Shortage</v>
      </c>
      <c r="K556" s="50">
        <f>ABS(Table13[[#This Row],[Stock Difference]])</f>
        <v>48</v>
      </c>
      <c r="L556" s="17">
        <f t="shared" si="24"/>
        <v>2400000</v>
      </c>
      <c r="M556" s="17">
        <f t="shared" si="25"/>
        <v>8250000</v>
      </c>
      <c r="N556" s="17" t="str" cm="1">
        <f t="array" ref="N556">_xlfn.IFS(K556=0,"Matched", K556&gt;100,"High", K556&gt;=50,"Medium", K556&lt;50,"Low")</f>
        <v>Low</v>
      </c>
      <c r="O556" s="17" t="str">
        <f t="shared" si="26"/>
        <v>Yes</v>
      </c>
    </row>
    <row r="557" spans="2:15" x14ac:dyDescent="0.3">
      <c r="B557" s="7">
        <v>555</v>
      </c>
      <c r="C557" s="3" t="s">
        <v>561</v>
      </c>
      <c r="D557" s="2" t="s">
        <v>1070</v>
      </c>
      <c r="E557" s="3" t="s">
        <v>1009</v>
      </c>
      <c r="F557" s="3">
        <v>70</v>
      </c>
      <c r="G557" s="3">
        <v>177</v>
      </c>
      <c r="H557" s="8">
        <v>1500</v>
      </c>
      <c r="I557" s="48">
        <f>Table13[[#This Row],[Physical_Stock_Qty]]-Table13[[#This Row],[System_Stock_Qty]]</f>
        <v>107</v>
      </c>
      <c r="J557" s="53" t="str" cm="1">
        <f t="array" ref="J557">_xlfn.IFS(I557=0,"Matched",I557&gt;0,"Excess",I557&lt;0,"Shortage")</f>
        <v>Excess</v>
      </c>
      <c r="K557" s="50">
        <f>ABS(Table13[[#This Row],[Stock Difference]])</f>
        <v>107</v>
      </c>
      <c r="L557" s="17">
        <f t="shared" si="24"/>
        <v>160500</v>
      </c>
      <c r="M557" s="17">
        <f t="shared" si="25"/>
        <v>105000</v>
      </c>
      <c r="N557" s="17" t="str" cm="1">
        <f t="array" ref="N557">_xlfn.IFS(K557=0,"Matched", K557&gt;100,"High", K557&gt;=50,"Medium", K557&lt;50,"Low")</f>
        <v>High</v>
      </c>
      <c r="O557" s="17" t="str">
        <f t="shared" si="26"/>
        <v>No</v>
      </c>
    </row>
    <row r="558" spans="2:15" x14ac:dyDescent="0.3">
      <c r="B558" s="7">
        <v>556</v>
      </c>
      <c r="C558" s="3" t="s">
        <v>562</v>
      </c>
      <c r="D558" s="2" t="s">
        <v>1032</v>
      </c>
      <c r="E558" s="3" t="s">
        <v>1008</v>
      </c>
      <c r="F558" s="3">
        <v>39</v>
      </c>
      <c r="G558" s="3">
        <v>68</v>
      </c>
      <c r="H558" s="8">
        <v>2000</v>
      </c>
      <c r="I558" s="48">
        <f>Table13[[#This Row],[Physical_Stock_Qty]]-Table13[[#This Row],[System_Stock_Qty]]</f>
        <v>29</v>
      </c>
      <c r="J558" s="53" t="str" cm="1">
        <f t="array" ref="J558">_xlfn.IFS(I558=0,"Matched",I558&gt;0,"Excess",I558&lt;0,"Shortage")</f>
        <v>Excess</v>
      </c>
      <c r="K558" s="50">
        <f>ABS(Table13[[#This Row],[Stock Difference]])</f>
        <v>29</v>
      </c>
      <c r="L558" s="17">
        <f t="shared" si="24"/>
        <v>58000</v>
      </c>
      <c r="M558" s="17">
        <f t="shared" si="25"/>
        <v>78000</v>
      </c>
      <c r="N558" s="17" t="str" cm="1">
        <f t="array" ref="N558">_xlfn.IFS(K558=0,"Matched", K558&gt;100,"High", K558&gt;=50,"Medium", K558&lt;50,"Low")</f>
        <v>Low</v>
      </c>
      <c r="O558" s="17" t="str">
        <f t="shared" si="26"/>
        <v>No</v>
      </c>
    </row>
    <row r="559" spans="2:15" x14ac:dyDescent="0.3">
      <c r="B559" s="7">
        <v>557</v>
      </c>
      <c r="C559" s="3" t="s">
        <v>563</v>
      </c>
      <c r="D559" s="2" t="s">
        <v>1084</v>
      </c>
      <c r="E559" s="3" t="s">
        <v>1011</v>
      </c>
      <c r="F559" s="3">
        <v>34</v>
      </c>
      <c r="G559" s="3">
        <v>152</v>
      </c>
      <c r="H559" s="8">
        <v>2000</v>
      </c>
      <c r="I559" s="48">
        <f>Table13[[#This Row],[Physical_Stock_Qty]]-Table13[[#This Row],[System_Stock_Qty]]</f>
        <v>118</v>
      </c>
      <c r="J559" s="53" t="str" cm="1">
        <f t="array" ref="J559">_xlfn.IFS(I559=0,"Matched",I559&gt;0,"Excess",I559&lt;0,"Shortage")</f>
        <v>Excess</v>
      </c>
      <c r="K559" s="50">
        <f>ABS(Table13[[#This Row],[Stock Difference]])</f>
        <v>118</v>
      </c>
      <c r="L559" s="17">
        <f t="shared" si="24"/>
        <v>236000</v>
      </c>
      <c r="M559" s="17">
        <f t="shared" si="25"/>
        <v>68000</v>
      </c>
      <c r="N559" s="17" t="str" cm="1">
        <f t="array" ref="N559">_xlfn.IFS(K559=0,"Matched", K559&gt;100,"High", K559&gt;=50,"Medium", K559&lt;50,"Low")</f>
        <v>High</v>
      </c>
      <c r="O559" s="17" t="str">
        <f t="shared" si="26"/>
        <v>No</v>
      </c>
    </row>
    <row r="560" spans="2:15" x14ac:dyDescent="0.3">
      <c r="B560" s="7">
        <v>558</v>
      </c>
      <c r="C560" s="3" t="s">
        <v>564</v>
      </c>
      <c r="D560" s="2" t="s">
        <v>1040</v>
      </c>
      <c r="E560" s="3" t="s">
        <v>1007</v>
      </c>
      <c r="F560" s="3">
        <v>47</v>
      </c>
      <c r="G560" s="3">
        <v>173</v>
      </c>
      <c r="H560" s="8">
        <v>5000</v>
      </c>
      <c r="I560" s="48">
        <f>Table13[[#This Row],[Physical_Stock_Qty]]-Table13[[#This Row],[System_Stock_Qty]]</f>
        <v>126</v>
      </c>
      <c r="J560" s="53" t="str" cm="1">
        <f t="array" ref="J560">_xlfn.IFS(I560=0,"Matched",I560&gt;0,"Excess",I560&lt;0,"Shortage")</f>
        <v>Excess</v>
      </c>
      <c r="K560" s="50">
        <f>ABS(Table13[[#This Row],[Stock Difference]])</f>
        <v>126</v>
      </c>
      <c r="L560" s="17">
        <f t="shared" si="24"/>
        <v>630000</v>
      </c>
      <c r="M560" s="17">
        <f t="shared" si="25"/>
        <v>235000</v>
      </c>
      <c r="N560" s="17" t="str" cm="1">
        <f t="array" ref="N560">_xlfn.IFS(K560=0,"Matched", K560&gt;100,"High", K560&gt;=50,"Medium", K560&lt;50,"Low")</f>
        <v>High</v>
      </c>
      <c r="O560" s="17" t="str">
        <f t="shared" si="26"/>
        <v>Yes</v>
      </c>
    </row>
    <row r="561" spans="2:15" x14ac:dyDescent="0.3">
      <c r="B561" s="7">
        <v>559</v>
      </c>
      <c r="C561" s="3" t="s">
        <v>565</v>
      </c>
      <c r="D561" s="2" t="s">
        <v>1018</v>
      </c>
      <c r="E561" s="3" t="s">
        <v>1012</v>
      </c>
      <c r="F561" s="3">
        <v>43</v>
      </c>
      <c r="G561" s="3">
        <v>119</v>
      </c>
      <c r="H561" s="8">
        <v>3000</v>
      </c>
      <c r="I561" s="48">
        <f>Table13[[#This Row],[Physical_Stock_Qty]]-Table13[[#This Row],[System_Stock_Qty]]</f>
        <v>76</v>
      </c>
      <c r="J561" s="53" t="str" cm="1">
        <f t="array" ref="J561">_xlfn.IFS(I561=0,"Matched",I561&gt;0,"Excess",I561&lt;0,"Shortage")</f>
        <v>Excess</v>
      </c>
      <c r="K561" s="50">
        <f>ABS(Table13[[#This Row],[Stock Difference]])</f>
        <v>76</v>
      </c>
      <c r="L561" s="17">
        <f t="shared" si="24"/>
        <v>228000</v>
      </c>
      <c r="M561" s="17">
        <f t="shared" si="25"/>
        <v>129000</v>
      </c>
      <c r="N561" s="17" t="str" cm="1">
        <f t="array" ref="N561">_xlfn.IFS(K561=0,"Matched", K561&gt;100,"High", K561&gt;=50,"Medium", K561&lt;50,"Low")</f>
        <v>Medium</v>
      </c>
      <c r="O561" s="17" t="str">
        <f t="shared" si="26"/>
        <v>No</v>
      </c>
    </row>
    <row r="562" spans="2:15" x14ac:dyDescent="0.3">
      <c r="B562" s="7">
        <v>560</v>
      </c>
      <c r="C562" s="3" t="s">
        <v>566</v>
      </c>
      <c r="D562" s="2" t="s">
        <v>1037</v>
      </c>
      <c r="E562" s="3" t="s">
        <v>1007</v>
      </c>
      <c r="F562" s="3">
        <v>182</v>
      </c>
      <c r="G562" s="3">
        <v>114</v>
      </c>
      <c r="H562" s="8">
        <v>10000</v>
      </c>
      <c r="I562" s="48">
        <f>Table13[[#This Row],[Physical_Stock_Qty]]-Table13[[#This Row],[System_Stock_Qty]]</f>
        <v>-68</v>
      </c>
      <c r="J562" s="53" t="str" cm="1">
        <f t="array" ref="J562">_xlfn.IFS(I562=0,"Matched",I562&gt;0,"Excess",I562&lt;0,"Shortage")</f>
        <v>Shortage</v>
      </c>
      <c r="K562" s="50">
        <f>ABS(Table13[[#This Row],[Stock Difference]])</f>
        <v>68</v>
      </c>
      <c r="L562" s="17">
        <f t="shared" si="24"/>
        <v>680000</v>
      </c>
      <c r="M562" s="17">
        <f t="shared" si="25"/>
        <v>1820000</v>
      </c>
      <c r="N562" s="17" t="str" cm="1">
        <f t="array" ref="N562">_xlfn.IFS(K562=0,"Matched", K562&gt;100,"High", K562&gt;=50,"Medium", K562&lt;50,"Low")</f>
        <v>Medium</v>
      </c>
      <c r="O562" s="17" t="str">
        <f t="shared" si="26"/>
        <v>Yes</v>
      </c>
    </row>
    <row r="563" spans="2:15" x14ac:dyDescent="0.3">
      <c r="B563" s="7">
        <v>561</v>
      </c>
      <c r="C563" s="3" t="s">
        <v>567</v>
      </c>
      <c r="D563" s="2" t="s">
        <v>1058</v>
      </c>
      <c r="E563" s="3" t="s">
        <v>1012</v>
      </c>
      <c r="F563" s="3">
        <v>139</v>
      </c>
      <c r="G563" s="3">
        <v>112</v>
      </c>
      <c r="H563" s="8">
        <v>500</v>
      </c>
      <c r="I563" s="48">
        <f>Table13[[#This Row],[Physical_Stock_Qty]]-Table13[[#This Row],[System_Stock_Qty]]</f>
        <v>-27</v>
      </c>
      <c r="J563" s="53" t="str" cm="1">
        <f t="array" ref="J563">_xlfn.IFS(I563=0,"Matched",I563&gt;0,"Excess",I563&lt;0,"Shortage")</f>
        <v>Shortage</v>
      </c>
      <c r="K563" s="50">
        <f>ABS(Table13[[#This Row],[Stock Difference]])</f>
        <v>27</v>
      </c>
      <c r="L563" s="17">
        <f t="shared" si="24"/>
        <v>13500</v>
      </c>
      <c r="M563" s="17">
        <f t="shared" si="25"/>
        <v>69500</v>
      </c>
      <c r="N563" s="17" t="str" cm="1">
        <f t="array" ref="N563">_xlfn.IFS(K563=0,"Matched", K563&gt;100,"High", K563&gt;=50,"Medium", K563&lt;50,"Low")</f>
        <v>Low</v>
      </c>
      <c r="O563" s="17" t="str">
        <f t="shared" si="26"/>
        <v>No</v>
      </c>
    </row>
    <row r="564" spans="2:15" hidden="1" x14ac:dyDescent="0.3">
      <c r="B564" s="7">
        <v>562</v>
      </c>
      <c r="C564" s="3" t="s">
        <v>568</v>
      </c>
      <c r="D564" s="2" t="s">
        <v>1056</v>
      </c>
      <c r="E564" s="3" t="s">
        <v>1012</v>
      </c>
      <c r="F564" s="3">
        <v>124</v>
      </c>
      <c r="G564" s="3">
        <v>124</v>
      </c>
      <c r="H564" s="8">
        <v>100</v>
      </c>
      <c r="I564" s="48">
        <f>Table13[[#This Row],[Physical_Stock_Qty]]-Table13[[#This Row],[System_Stock_Qty]]</f>
        <v>0</v>
      </c>
      <c r="J564" s="53" t="str" cm="1">
        <f t="array" ref="J564">_xlfn.IFS(I564=0,"Matched",I564&gt;0,"Excess",I564&lt;0,"Shortage")</f>
        <v>Matched</v>
      </c>
      <c r="K564" s="50">
        <f>ABS(Table13[[#This Row],[Stock Difference]])</f>
        <v>0</v>
      </c>
      <c r="L564" s="17">
        <f t="shared" si="24"/>
        <v>0</v>
      </c>
      <c r="M564" s="17">
        <f t="shared" si="25"/>
        <v>12400</v>
      </c>
      <c r="N564" s="17" t="str" cm="1">
        <f t="array" ref="N564">_xlfn.IFS(K564=0,"Matched", K564&gt;100,"High", K564&gt;=50,"Medium", K564&lt;50,"Low")</f>
        <v>Matched</v>
      </c>
      <c r="O564" s="17" t="str">
        <f t="shared" si="26"/>
        <v>No Match</v>
      </c>
    </row>
    <row r="565" spans="2:15" hidden="1" x14ac:dyDescent="0.3">
      <c r="B565" s="7">
        <v>563</v>
      </c>
      <c r="C565" s="3" t="s">
        <v>569</v>
      </c>
      <c r="D565" s="2" t="s">
        <v>1018</v>
      </c>
      <c r="E565" s="3" t="s">
        <v>1012</v>
      </c>
      <c r="F565" s="3">
        <v>73</v>
      </c>
      <c r="G565" s="3">
        <v>73</v>
      </c>
      <c r="H565" s="8">
        <v>3000</v>
      </c>
      <c r="I565" s="48">
        <f>Table13[[#This Row],[Physical_Stock_Qty]]-Table13[[#This Row],[System_Stock_Qty]]</f>
        <v>0</v>
      </c>
      <c r="J565" s="53" t="str" cm="1">
        <f t="array" ref="J565">_xlfn.IFS(I565=0,"Matched",I565&gt;0,"Excess",I565&lt;0,"Shortage")</f>
        <v>Matched</v>
      </c>
      <c r="K565" s="50">
        <f>ABS(Table13[[#This Row],[Stock Difference]])</f>
        <v>0</v>
      </c>
      <c r="L565" s="17">
        <f t="shared" si="24"/>
        <v>0</v>
      </c>
      <c r="M565" s="17">
        <f t="shared" si="25"/>
        <v>219000</v>
      </c>
      <c r="N565" s="17" t="str" cm="1">
        <f t="array" ref="N565">_xlfn.IFS(K565=0,"Matched", K565&gt;100,"High", K565&gt;=50,"Medium", K565&lt;50,"Low")</f>
        <v>Matched</v>
      </c>
      <c r="O565" s="17" t="str">
        <f t="shared" si="26"/>
        <v>No Match</v>
      </c>
    </row>
    <row r="566" spans="2:15" hidden="1" x14ac:dyDescent="0.3">
      <c r="B566" s="7">
        <v>564</v>
      </c>
      <c r="C566" s="3" t="s">
        <v>570</v>
      </c>
      <c r="D566" s="2" t="s">
        <v>1018</v>
      </c>
      <c r="E566" s="3" t="s">
        <v>1012</v>
      </c>
      <c r="F566" s="3">
        <v>134</v>
      </c>
      <c r="G566" s="3">
        <v>134</v>
      </c>
      <c r="H566" s="8">
        <v>3000</v>
      </c>
      <c r="I566" s="48">
        <f>Table13[[#This Row],[Physical_Stock_Qty]]-Table13[[#This Row],[System_Stock_Qty]]</f>
        <v>0</v>
      </c>
      <c r="J566" s="53" t="str" cm="1">
        <f t="array" ref="J566">_xlfn.IFS(I566=0,"Matched",I566&gt;0,"Excess",I566&lt;0,"Shortage")</f>
        <v>Matched</v>
      </c>
      <c r="K566" s="50">
        <f>ABS(Table13[[#This Row],[Stock Difference]])</f>
        <v>0</v>
      </c>
      <c r="L566" s="17">
        <f t="shared" si="24"/>
        <v>0</v>
      </c>
      <c r="M566" s="17">
        <f t="shared" si="25"/>
        <v>402000</v>
      </c>
      <c r="N566" s="17" t="str" cm="1">
        <f t="array" ref="N566">_xlfn.IFS(K566=0,"Matched", K566&gt;100,"High", K566&gt;=50,"Medium", K566&lt;50,"Low")</f>
        <v>Matched</v>
      </c>
      <c r="O566" s="17" t="str">
        <f t="shared" si="26"/>
        <v>No Match</v>
      </c>
    </row>
    <row r="567" spans="2:15" hidden="1" x14ac:dyDescent="0.3">
      <c r="B567" s="7">
        <v>565</v>
      </c>
      <c r="C567" s="3" t="s">
        <v>571</v>
      </c>
      <c r="D567" s="2" t="s">
        <v>1081</v>
      </c>
      <c r="E567" s="3" t="s">
        <v>1011</v>
      </c>
      <c r="F567" s="3">
        <v>139</v>
      </c>
      <c r="G567" s="3">
        <v>139</v>
      </c>
      <c r="H567" s="8">
        <v>1000</v>
      </c>
      <c r="I567" s="48">
        <f>Table13[[#This Row],[Physical_Stock_Qty]]-Table13[[#This Row],[System_Stock_Qty]]</f>
        <v>0</v>
      </c>
      <c r="J567" s="53" t="str" cm="1">
        <f t="array" ref="J567">_xlfn.IFS(I567=0,"Matched",I567&gt;0,"Excess",I567&lt;0,"Shortage")</f>
        <v>Matched</v>
      </c>
      <c r="K567" s="50">
        <f>ABS(Table13[[#This Row],[Stock Difference]])</f>
        <v>0</v>
      </c>
      <c r="L567" s="17">
        <f t="shared" si="24"/>
        <v>0</v>
      </c>
      <c r="M567" s="17">
        <f t="shared" si="25"/>
        <v>139000</v>
      </c>
      <c r="N567" s="17" t="str" cm="1">
        <f t="array" ref="N567">_xlfn.IFS(K567=0,"Matched", K567&gt;100,"High", K567&gt;=50,"Medium", K567&lt;50,"Low")</f>
        <v>Matched</v>
      </c>
      <c r="O567" s="17" t="str">
        <f t="shared" si="26"/>
        <v>No Match</v>
      </c>
    </row>
    <row r="568" spans="2:15" hidden="1" x14ac:dyDescent="0.3">
      <c r="B568" s="7">
        <v>566</v>
      </c>
      <c r="C568" s="3" t="s">
        <v>572</v>
      </c>
      <c r="D568" s="2" t="s">
        <v>1044</v>
      </c>
      <c r="E568" s="3" t="s">
        <v>1010</v>
      </c>
      <c r="F568" s="3">
        <v>191</v>
      </c>
      <c r="G568" s="3">
        <v>191</v>
      </c>
      <c r="H568" s="8">
        <v>100</v>
      </c>
      <c r="I568" s="48">
        <f>Table13[[#This Row],[Physical_Stock_Qty]]-Table13[[#This Row],[System_Stock_Qty]]</f>
        <v>0</v>
      </c>
      <c r="J568" s="53" t="str" cm="1">
        <f t="array" ref="J568">_xlfn.IFS(I568=0,"Matched",I568&gt;0,"Excess",I568&lt;0,"Shortage")</f>
        <v>Matched</v>
      </c>
      <c r="K568" s="50">
        <f>ABS(Table13[[#This Row],[Stock Difference]])</f>
        <v>0</v>
      </c>
      <c r="L568" s="17">
        <f t="shared" si="24"/>
        <v>0</v>
      </c>
      <c r="M568" s="17">
        <f t="shared" si="25"/>
        <v>19100</v>
      </c>
      <c r="N568" s="17" t="str" cm="1">
        <f t="array" ref="N568">_xlfn.IFS(K568=0,"Matched", K568&gt;100,"High", K568&gt;=50,"Medium", K568&lt;50,"Low")</f>
        <v>Matched</v>
      </c>
      <c r="O568" s="17" t="str">
        <f t="shared" si="26"/>
        <v>No Match</v>
      </c>
    </row>
    <row r="569" spans="2:15" hidden="1" x14ac:dyDescent="0.3">
      <c r="B569" s="7">
        <v>567</v>
      </c>
      <c r="C569" s="3" t="s">
        <v>573</v>
      </c>
      <c r="D569" s="2" t="s">
        <v>1079</v>
      </c>
      <c r="E569" s="3" t="s">
        <v>1011</v>
      </c>
      <c r="F569" s="3">
        <v>174</v>
      </c>
      <c r="G569" s="3">
        <v>174</v>
      </c>
      <c r="H569" s="8">
        <v>5000</v>
      </c>
      <c r="I569" s="48">
        <f>Table13[[#This Row],[Physical_Stock_Qty]]-Table13[[#This Row],[System_Stock_Qty]]</f>
        <v>0</v>
      </c>
      <c r="J569" s="53" t="str" cm="1">
        <f t="array" ref="J569">_xlfn.IFS(I569=0,"Matched",I569&gt;0,"Excess",I569&lt;0,"Shortage")</f>
        <v>Matched</v>
      </c>
      <c r="K569" s="50">
        <f>ABS(Table13[[#This Row],[Stock Difference]])</f>
        <v>0</v>
      </c>
      <c r="L569" s="17">
        <f t="shared" si="24"/>
        <v>0</v>
      </c>
      <c r="M569" s="17">
        <f t="shared" si="25"/>
        <v>870000</v>
      </c>
      <c r="N569" s="17" t="str" cm="1">
        <f t="array" ref="N569">_xlfn.IFS(K569=0,"Matched", K569&gt;100,"High", K569&gt;=50,"Medium", K569&lt;50,"Low")</f>
        <v>Matched</v>
      </c>
      <c r="O569" s="17" t="str">
        <f t="shared" si="26"/>
        <v>No Match</v>
      </c>
    </row>
    <row r="570" spans="2:15" hidden="1" x14ac:dyDescent="0.3">
      <c r="B570" s="7">
        <v>568</v>
      </c>
      <c r="C570" s="3" t="s">
        <v>574</v>
      </c>
      <c r="D570" s="2" t="s">
        <v>1075</v>
      </c>
      <c r="E570" s="3" t="s">
        <v>1009</v>
      </c>
      <c r="F570" s="3">
        <v>118</v>
      </c>
      <c r="G570" s="3">
        <v>118</v>
      </c>
      <c r="H570" s="8">
        <v>2000</v>
      </c>
      <c r="I570" s="48">
        <f>Table13[[#This Row],[Physical_Stock_Qty]]-Table13[[#This Row],[System_Stock_Qty]]</f>
        <v>0</v>
      </c>
      <c r="J570" s="53" t="str" cm="1">
        <f t="array" ref="J570">_xlfn.IFS(I570=0,"Matched",I570&gt;0,"Excess",I570&lt;0,"Shortage")</f>
        <v>Matched</v>
      </c>
      <c r="K570" s="50">
        <f>ABS(Table13[[#This Row],[Stock Difference]])</f>
        <v>0</v>
      </c>
      <c r="L570" s="17">
        <f t="shared" si="24"/>
        <v>0</v>
      </c>
      <c r="M570" s="17">
        <f t="shared" si="25"/>
        <v>236000</v>
      </c>
      <c r="N570" s="17" t="str" cm="1">
        <f t="array" ref="N570">_xlfn.IFS(K570=0,"Matched", K570&gt;100,"High", K570&gt;=50,"Medium", K570&lt;50,"Low")</f>
        <v>Matched</v>
      </c>
      <c r="O570" s="17" t="str">
        <f t="shared" si="26"/>
        <v>No Match</v>
      </c>
    </row>
    <row r="571" spans="2:15" hidden="1" x14ac:dyDescent="0.3">
      <c r="B571" s="7">
        <v>569</v>
      </c>
      <c r="C571" s="3" t="s">
        <v>575</v>
      </c>
      <c r="D571" s="2" t="s">
        <v>1057</v>
      </c>
      <c r="E571" s="3" t="s">
        <v>1012</v>
      </c>
      <c r="F571" s="3">
        <v>80</v>
      </c>
      <c r="G571" s="3">
        <v>80</v>
      </c>
      <c r="H571" s="8">
        <v>500</v>
      </c>
      <c r="I571" s="48">
        <f>Table13[[#This Row],[Physical_Stock_Qty]]-Table13[[#This Row],[System_Stock_Qty]]</f>
        <v>0</v>
      </c>
      <c r="J571" s="53" t="str" cm="1">
        <f t="array" ref="J571">_xlfn.IFS(I571=0,"Matched",I571&gt;0,"Excess",I571&lt;0,"Shortage")</f>
        <v>Matched</v>
      </c>
      <c r="K571" s="50">
        <f>ABS(Table13[[#This Row],[Stock Difference]])</f>
        <v>0</v>
      </c>
      <c r="L571" s="17">
        <f t="shared" si="24"/>
        <v>0</v>
      </c>
      <c r="M571" s="17">
        <f t="shared" si="25"/>
        <v>40000</v>
      </c>
      <c r="N571" s="17" t="str" cm="1">
        <f t="array" ref="N571">_xlfn.IFS(K571=0,"Matched", K571&gt;100,"High", K571&gt;=50,"Medium", K571&lt;50,"Low")</f>
        <v>Matched</v>
      </c>
      <c r="O571" s="17" t="str">
        <f t="shared" si="26"/>
        <v>No Match</v>
      </c>
    </row>
    <row r="572" spans="2:15" hidden="1" x14ac:dyDescent="0.3">
      <c r="B572" s="7">
        <v>570</v>
      </c>
      <c r="C572" s="3" t="s">
        <v>576</v>
      </c>
      <c r="D572" s="2" t="s">
        <v>1035</v>
      </c>
      <c r="E572" s="3" t="s">
        <v>1007</v>
      </c>
      <c r="F572" s="3">
        <v>180</v>
      </c>
      <c r="G572" s="3">
        <v>180</v>
      </c>
      <c r="H572" s="8">
        <v>15000</v>
      </c>
      <c r="I572" s="48">
        <f>Table13[[#This Row],[Physical_Stock_Qty]]-Table13[[#This Row],[System_Stock_Qty]]</f>
        <v>0</v>
      </c>
      <c r="J572" s="53" t="str" cm="1">
        <f t="array" ref="J572">_xlfn.IFS(I572=0,"Matched",I572&gt;0,"Excess",I572&lt;0,"Shortage")</f>
        <v>Matched</v>
      </c>
      <c r="K572" s="50">
        <f>ABS(Table13[[#This Row],[Stock Difference]])</f>
        <v>0</v>
      </c>
      <c r="L572" s="17">
        <f t="shared" si="24"/>
        <v>0</v>
      </c>
      <c r="M572" s="17">
        <f t="shared" si="25"/>
        <v>2700000</v>
      </c>
      <c r="N572" s="17" t="str" cm="1">
        <f t="array" ref="N572">_xlfn.IFS(K572=0,"Matched", K572&gt;100,"High", K572&gt;=50,"Medium", K572&lt;50,"Low")</f>
        <v>Matched</v>
      </c>
      <c r="O572" s="17" t="str">
        <f t="shared" si="26"/>
        <v>No Match</v>
      </c>
    </row>
    <row r="573" spans="2:15" hidden="1" x14ac:dyDescent="0.3">
      <c r="B573" s="7">
        <v>571</v>
      </c>
      <c r="C573" s="3" t="s">
        <v>577</v>
      </c>
      <c r="D573" s="2" t="s">
        <v>1052</v>
      </c>
      <c r="E573" s="3" t="s">
        <v>1010</v>
      </c>
      <c r="F573" s="3">
        <v>193</v>
      </c>
      <c r="G573" s="3">
        <v>193</v>
      </c>
      <c r="H573" s="8">
        <v>100</v>
      </c>
      <c r="I573" s="48">
        <f>Table13[[#This Row],[Physical_Stock_Qty]]-Table13[[#This Row],[System_Stock_Qty]]</f>
        <v>0</v>
      </c>
      <c r="J573" s="53" t="str" cm="1">
        <f t="array" ref="J573">_xlfn.IFS(I573=0,"Matched",I573&gt;0,"Excess",I573&lt;0,"Shortage")</f>
        <v>Matched</v>
      </c>
      <c r="K573" s="50">
        <f>ABS(Table13[[#This Row],[Stock Difference]])</f>
        <v>0</v>
      </c>
      <c r="L573" s="17">
        <f t="shared" si="24"/>
        <v>0</v>
      </c>
      <c r="M573" s="17">
        <f t="shared" si="25"/>
        <v>19300</v>
      </c>
      <c r="N573" s="17" t="str" cm="1">
        <f t="array" ref="N573">_xlfn.IFS(K573=0,"Matched", K573&gt;100,"High", K573&gt;=50,"Medium", K573&lt;50,"Low")</f>
        <v>Matched</v>
      </c>
      <c r="O573" s="17" t="str">
        <f t="shared" si="26"/>
        <v>No Match</v>
      </c>
    </row>
    <row r="574" spans="2:15" hidden="1" x14ac:dyDescent="0.3">
      <c r="B574" s="7">
        <v>572</v>
      </c>
      <c r="C574" s="3" t="s">
        <v>578</v>
      </c>
      <c r="D574" s="2" t="s">
        <v>1031</v>
      </c>
      <c r="E574" s="3" t="s">
        <v>1008</v>
      </c>
      <c r="F574" s="3">
        <v>89</v>
      </c>
      <c r="G574" s="3">
        <v>89</v>
      </c>
      <c r="H574" s="8">
        <v>40000</v>
      </c>
      <c r="I574" s="48">
        <f>Table13[[#This Row],[Physical_Stock_Qty]]-Table13[[#This Row],[System_Stock_Qty]]</f>
        <v>0</v>
      </c>
      <c r="J574" s="53" t="str" cm="1">
        <f t="array" ref="J574">_xlfn.IFS(I574=0,"Matched",I574&gt;0,"Excess",I574&lt;0,"Shortage")</f>
        <v>Matched</v>
      </c>
      <c r="K574" s="50">
        <f>ABS(Table13[[#This Row],[Stock Difference]])</f>
        <v>0</v>
      </c>
      <c r="L574" s="17">
        <f t="shared" si="24"/>
        <v>0</v>
      </c>
      <c r="M574" s="17">
        <f t="shared" si="25"/>
        <v>3560000</v>
      </c>
      <c r="N574" s="17" t="str" cm="1">
        <f t="array" ref="N574">_xlfn.IFS(K574=0,"Matched", K574&gt;100,"High", K574&gt;=50,"Medium", K574&lt;50,"Low")</f>
        <v>Matched</v>
      </c>
      <c r="O574" s="17" t="str">
        <f t="shared" si="26"/>
        <v>No Match</v>
      </c>
    </row>
    <row r="575" spans="2:15" hidden="1" x14ac:dyDescent="0.3">
      <c r="B575" s="7">
        <v>573</v>
      </c>
      <c r="C575" s="3" t="s">
        <v>579</v>
      </c>
      <c r="D575" s="2" t="s">
        <v>1031</v>
      </c>
      <c r="E575" s="3" t="s">
        <v>1008</v>
      </c>
      <c r="F575" s="3">
        <v>196</v>
      </c>
      <c r="G575" s="3">
        <v>196</v>
      </c>
      <c r="H575" s="8">
        <v>40000</v>
      </c>
      <c r="I575" s="48">
        <f>Table13[[#This Row],[Physical_Stock_Qty]]-Table13[[#This Row],[System_Stock_Qty]]</f>
        <v>0</v>
      </c>
      <c r="J575" s="53" t="str" cm="1">
        <f t="array" ref="J575">_xlfn.IFS(I575=0,"Matched",I575&gt;0,"Excess",I575&lt;0,"Shortage")</f>
        <v>Matched</v>
      </c>
      <c r="K575" s="50">
        <f>ABS(Table13[[#This Row],[Stock Difference]])</f>
        <v>0</v>
      </c>
      <c r="L575" s="17">
        <f t="shared" si="24"/>
        <v>0</v>
      </c>
      <c r="M575" s="17">
        <f t="shared" si="25"/>
        <v>7840000</v>
      </c>
      <c r="N575" s="17" t="str" cm="1">
        <f t="array" ref="N575">_xlfn.IFS(K575=0,"Matched", K575&gt;100,"High", K575&gt;=50,"Medium", K575&lt;50,"Low")</f>
        <v>Matched</v>
      </c>
      <c r="O575" s="17" t="str">
        <f t="shared" si="26"/>
        <v>No Match</v>
      </c>
    </row>
    <row r="576" spans="2:15" hidden="1" x14ac:dyDescent="0.3">
      <c r="B576" s="7">
        <v>574</v>
      </c>
      <c r="C576" s="3" t="s">
        <v>580</v>
      </c>
      <c r="D576" s="2" t="s">
        <v>1042</v>
      </c>
      <c r="E576" s="3" t="s">
        <v>1007</v>
      </c>
      <c r="F576" s="3">
        <v>162</v>
      </c>
      <c r="G576" s="3">
        <v>162</v>
      </c>
      <c r="H576" s="8">
        <v>3000</v>
      </c>
      <c r="I576" s="48">
        <f>Table13[[#This Row],[Physical_Stock_Qty]]-Table13[[#This Row],[System_Stock_Qty]]</f>
        <v>0</v>
      </c>
      <c r="J576" s="53" t="str" cm="1">
        <f t="array" ref="J576">_xlfn.IFS(I576=0,"Matched",I576&gt;0,"Excess",I576&lt;0,"Shortage")</f>
        <v>Matched</v>
      </c>
      <c r="K576" s="50">
        <f>ABS(Table13[[#This Row],[Stock Difference]])</f>
        <v>0</v>
      </c>
      <c r="L576" s="17">
        <f t="shared" si="24"/>
        <v>0</v>
      </c>
      <c r="M576" s="17">
        <f t="shared" si="25"/>
        <v>486000</v>
      </c>
      <c r="N576" s="17" t="str" cm="1">
        <f t="array" ref="N576">_xlfn.IFS(K576=0,"Matched", K576&gt;100,"High", K576&gt;=50,"Medium", K576&lt;50,"Low")</f>
        <v>Matched</v>
      </c>
      <c r="O576" s="17" t="str">
        <f t="shared" si="26"/>
        <v>No Match</v>
      </c>
    </row>
    <row r="577" spans="2:15" hidden="1" x14ac:dyDescent="0.3">
      <c r="B577" s="7">
        <v>575</v>
      </c>
      <c r="C577" s="3" t="s">
        <v>581</v>
      </c>
      <c r="D577" s="2" t="s">
        <v>1082</v>
      </c>
      <c r="E577" s="3" t="s">
        <v>1011</v>
      </c>
      <c r="F577" s="3">
        <v>128</v>
      </c>
      <c r="G577" s="3">
        <v>128</v>
      </c>
      <c r="H577" s="8">
        <v>2000</v>
      </c>
      <c r="I577" s="48">
        <f>Table13[[#This Row],[Physical_Stock_Qty]]-Table13[[#This Row],[System_Stock_Qty]]</f>
        <v>0</v>
      </c>
      <c r="J577" s="53" t="str" cm="1">
        <f t="array" ref="J577">_xlfn.IFS(I577=0,"Matched",I577&gt;0,"Excess",I577&lt;0,"Shortage")</f>
        <v>Matched</v>
      </c>
      <c r="K577" s="50">
        <f>ABS(Table13[[#This Row],[Stock Difference]])</f>
        <v>0</v>
      </c>
      <c r="L577" s="17">
        <f t="shared" si="24"/>
        <v>0</v>
      </c>
      <c r="M577" s="17">
        <f t="shared" si="25"/>
        <v>256000</v>
      </c>
      <c r="N577" s="17" t="str" cm="1">
        <f t="array" ref="N577">_xlfn.IFS(K577=0,"Matched", K577&gt;100,"High", K577&gt;=50,"Medium", K577&lt;50,"Low")</f>
        <v>Matched</v>
      </c>
      <c r="O577" s="17" t="str">
        <f t="shared" si="26"/>
        <v>No Match</v>
      </c>
    </row>
    <row r="578" spans="2:15" hidden="1" x14ac:dyDescent="0.3">
      <c r="B578" s="7">
        <v>576</v>
      </c>
      <c r="C578" s="3" t="s">
        <v>582</v>
      </c>
      <c r="D578" s="2" t="s">
        <v>1037</v>
      </c>
      <c r="E578" s="3" t="s">
        <v>1007</v>
      </c>
      <c r="F578" s="3">
        <v>171</v>
      </c>
      <c r="G578" s="3">
        <v>171</v>
      </c>
      <c r="H578" s="8">
        <v>10000</v>
      </c>
      <c r="I578" s="48">
        <f>Table13[[#This Row],[Physical_Stock_Qty]]-Table13[[#This Row],[System_Stock_Qty]]</f>
        <v>0</v>
      </c>
      <c r="J578" s="53" t="str" cm="1">
        <f t="array" ref="J578">_xlfn.IFS(I578=0,"Matched",I578&gt;0,"Excess",I578&lt;0,"Shortage")</f>
        <v>Matched</v>
      </c>
      <c r="K578" s="50">
        <f>ABS(Table13[[#This Row],[Stock Difference]])</f>
        <v>0</v>
      </c>
      <c r="L578" s="17">
        <f t="shared" si="24"/>
        <v>0</v>
      </c>
      <c r="M578" s="17">
        <f t="shared" si="25"/>
        <v>1710000</v>
      </c>
      <c r="N578" s="17" t="str" cm="1">
        <f t="array" ref="N578">_xlfn.IFS(K578=0,"Matched", K578&gt;100,"High", K578&gt;=50,"Medium", K578&lt;50,"Low")</f>
        <v>Matched</v>
      </c>
      <c r="O578" s="17" t="str">
        <f t="shared" si="26"/>
        <v>No Match</v>
      </c>
    </row>
    <row r="579" spans="2:15" hidden="1" x14ac:dyDescent="0.3">
      <c r="B579" s="7">
        <v>577</v>
      </c>
      <c r="C579" s="3" t="s">
        <v>583</v>
      </c>
      <c r="D579" s="2" t="s">
        <v>1058</v>
      </c>
      <c r="E579" s="3" t="s">
        <v>1012</v>
      </c>
      <c r="F579" s="3">
        <v>47</v>
      </c>
      <c r="G579" s="3">
        <v>47</v>
      </c>
      <c r="H579" s="8">
        <v>500</v>
      </c>
      <c r="I579" s="48">
        <f>Table13[[#This Row],[Physical_Stock_Qty]]-Table13[[#This Row],[System_Stock_Qty]]</f>
        <v>0</v>
      </c>
      <c r="J579" s="53" t="str" cm="1">
        <f t="array" ref="J579">_xlfn.IFS(I579=0,"Matched",I579&gt;0,"Excess",I579&lt;0,"Shortage")</f>
        <v>Matched</v>
      </c>
      <c r="K579" s="50">
        <f>ABS(Table13[[#This Row],[Stock Difference]])</f>
        <v>0</v>
      </c>
      <c r="L579" s="17">
        <f t="shared" si="24"/>
        <v>0</v>
      </c>
      <c r="M579" s="17">
        <f t="shared" si="25"/>
        <v>23500</v>
      </c>
      <c r="N579" s="17" t="str" cm="1">
        <f t="array" ref="N579">_xlfn.IFS(K579=0,"Matched", K579&gt;100,"High", K579&gt;=50,"Medium", K579&lt;50,"Low")</f>
        <v>Matched</v>
      </c>
      <c r="O579" s="17" t="str">
        <f t="shared" si="26"/>
        <v>No Match</v>
      </c>
    </row>
    <row r="580" spans="2:15" hidden="1" x14ac:dyDescent="0.3">
      <c r="B580" s="7">
        <v>578</v>
      </c>
      <c r="C580" s="3" t="s">
        <v>584</v>
      </c>
      <c r="D580" s="2" t="s">
        <v>1029</v>
      </c>
      <c r="E580" s="3" t="s">
        <v>1008</v>
      </c>
      <c r="F580" s="3">
        <v>78</v>
      </c>
      <c r="G580" s="3">
        <v>78</v>
      </c>
      <c r="H580" s="8">
        <v>3000</v>
      </c>
      <c r="I580" s="48">
        <f>Table13[[#This Row],[Physical_Stock_Qty]]-Table13[[#This Row],[System_Stock_Qty]]</f>
        <v>0</v>
      </c>
      <c r="J580" s="53" t="str" cm="1">
        <f t="array" ref="J580">_xlfn.IFS(I580=0,"Matched",I580&gt;0,"Excess",I580&lt;0,"Shortage")</f>
        <v>Matched</v>
      </c>
      <c r="K580" s="50">
        <f>ABS(Table13[[#This Row],[Stock Difference]])</f>
        <v>0</v>
      </c>
      <c r="L580" s="17">
        <f t="shared" ref="L580:L643" si="27">(K580*H580)</f>
        <v>0</v>
      </c>
      <c r="M580" s="17">
        <f t="shared" ref="M580:M643" si="28">F580*H580</f>
        <v>234000</v>
      </c>
      <c r="N580" s="17" t="str" cm="1">
        <f t="array" ref="N580">_xlfn.IFS(K580=0,"Matched", K580&gt;100,"High", K580&gt;=50,"Medium", K580&lt;50,"Low")</f>
        <v>Matched</v>
      </c>
      <c r="O580" s="17" t="str">
        <f t="shared" ref="O580:O643" si="29">IF(L580&gt;500000,"Yes",IF(L580=0,"No Match","No"))</f>
        <v>No Match</v>
      </c>
    </row>
    <row r="581" spans="2:15" hidden="1" x14ac:dyDescent="0.3">
      <c r="B581" s="7">
        <v>579</v>
      </c>
      <c r="C581" s="3" t="s">
        <v>585</v>
      </c>
      <c r="D581" s="2" t="s">
        <v>1079</v>
      </c>
      <c r="E581" s="3" t="s">
        <v>1011</v>
      </c>
      <c r="F581" s="3">
        <v>190</v>
      </c>
      <c r="G581" s="3">
        <v>190</v>
      </c>
      <c r="H581" s="8">
        <v>5000</v>
      </c>
      <c r="I581" s="48">
        <f>Table13[[#This Row],[Physical_Stock_Qty]]-Table13[[#This Row],[System_Stock_Qty]]</f>
        <v>0</v>
      </c>
      <c r="J581" s="53" t="str" cm="1">
        <f t="array" ref="J581">_xlfn.IFS(I581=0,"Matched",I581&gt;0,"Excess",I581&lt;0,"Shortage")</f>
        <v>Matched</v>
      </c>
      <c r="K581" s="50">
        <f>ABS(Table13[[#This Row],[Stock Difference]])</f>
        <v>0</v>
      </c>
      <c r="L581" s="17">
        <f t="shared" si="27"/>
        <v>0</v>
      </c>
      <c r="M581" s="17">
        <f t="shared" si="28"/>
        <v>950000</v>
      </c>
      <c r="N581" s="17" t="str" cm="1">
        <f t="array" ref="N581">_xlfn.IFS(K581=0,"Matched", K581&gt;100,"High", K581&gt;=50,"Medium", K581&lt;50,"Low")</f>
        <v>Matched</v>
      </c>
      <c r="O581" s="17" t="str">
        <f t="shared" si="29"/>
        <v>No Match</v>
      </c>
    </row>
    <row r="582" spans="2:15" hidden="1" x14ac:dyDescent="0.3">
      <c r="B582" s="7">
        <v>580</v>
      </c>
      <c r="C582" s="3" t="s">
        <v>586</v>
      </c>
      <c r="D582" s="2" t="s">
        <v>1036</v>
      </c>
      <c r="E582" s="3" t="s">
        <v>1007</v>
      </c>
      <c r="F582" s="3">
        <v>133</v>
      </c>
      <c r="G582" s="3">
        <v>133</v>
      </c>
      <c r="H582" s="8">
        <v>8000</v>
      </c>
      <c r="I582" s="48">
        <f>Table13[[#This Row],[Physical_Stock_Qty]]-Table13[[#This Row],[System_Stock_Qty]]</f>
        <v>0</v>
      </c>
      <c r="J582" s="53" t="str" cm="1">
        <f t="array" ref="J582">_xlfn.IFS(I582=0,"Matched",I582&gt;0,"Excess",I582&lt;0,"Shortage")</f>
        <v>Matched</v>
      </c>
      <c r="K582" s="50">
        <f>ABS(Table13[[#This Row],[Stock Difference]])</f>
        <v>0</v>
      </c>
      <c r="L582" s="17">
        <f t="shared" si="27"/>
        <v>0</v>
      </c>
      <c r="M582" s="17">
        <f t="shared" si="28"/>
        <v>1064000</v>
      </c>
      <c r="N582" s="17" t="str" cm="1">
        <f t="array" ref="N582">_xlfn.IFS(K582=0,"Matched", K582&gt;100,"High", K582&gt;=50,"Medium", K582&lt;50,"Low")</f>
        <v>Matched</v>
      </c>
      <c r="O582" s="17" t="str">
        <f t="shared" si="29"/>
        <v>No Match</v>
      </c>
    </row>
    <row r="583" spans="2:15" hidden="1" x14ac:dyDescent="0.3">
      <c r="B583" s="7">
        <v>581</v>
      </c>
      <c r="C583" s="3" t="s">
        <v>587</v>
      </c>
      <c r="D583" s="2" t="s">
        <v>1058</v>
      </c>
      <c r="E583" s="3" t="s">
        <v>1012</v>
      </c>
      <c r="F583" s="3">
        <v>63</v>
      </c>
      <c r="G583" s="3">
        <v>63</v>
      </c>
      <c r="H583" s="8">
        <v>500</v>
      </c>
      <c r="I583" s="48">
        <f>Table13[[#This Row],[Physical_Stock_Qty]]-Table13[[#This Row],[System_Stock_Qty]]</f>
        <v>0</v>
      </c>
      <c r="J583" s="53" t="str" cm="1">
        <f t="array" ref="J583">_xlfn.IFS(I583=0,"Matched",I583&gt;0,"Excess",I583&lt;0,"Shortage")</f>
        <v>Matched</v>
      </c>
      <c r="K583" s="50">
        <f>ABS(Table13[[#This Row],[Stock Difference]])</f>
        <v>0</v>
      </c>
      <c r="L583" s="17">
        <f t="shared" si="27"/>
        <v>0</v>
      </c>
      <c r="M583" s="17">
        <f t="shared" si="28"/>
        <v>31500</v>
      </c>
      <c r="N583" s="17" t="str" cm="1">
        <f t="array" ref="N583">_xlfn.IFS(K583=0,"Matched", K583&gt;100,"High", K583&gt;=50,"Medium", K583&lt;50,"Low")</f>
        <v>Matched</v>
      </c>
      <c r="O583" s="17" t="str">
        <f t="shared" si="29"/>
        <v>No Match</v>
      </c>
    </row>
    <row r="584" spans="2:15" hidden="1" x14ac:dyDescent="0.3">
      <c r="B584" s="7">
        <v>582</v>
      </c>
      <c r="C584" s="3" t="s">
        <v>588</v>
      </c>
      <c r="D584" s="2" t="s">
        <v>1082</v>
      </c>
      <c r="E584" s="3" t="s">
        <v>1011</v>
      </c>
      <c r="F584" s="3">
        <v>98</v>
      </c>
      <c r="G584" s="3">
        <v>98</v>
      </c>
      <c r="H584" s="8">
        <v>2000</v>
      </c>
      <c r="I584" s="48">
        <f>Table13[[#This Row],[Physical_Stock_Qty]]-Table13[[#This Row],[System_Stock_Qty]]</f>
        <v>0</v>
      </c>
      <c r="J584" s="53" t="str" cm="1">
        <f t="array" ref="J584">_xlfn.IFS(I584=0,"Matched",I584&gt;0,"Excess",I584&lt;0,"Shortage")</f>
        <v>Matched</v>
      </c>
      <c r="K584" s="50">
        <f>ABS(Table13[[#This Row],[Stock Difference]])</f>
        <v>0</v>
      </c>
      <c r="L584" s="17">
        <f t="shared" si="27"/>
        <v>0</v>
      </c>
      <c r="M584" s="17">
        <f t="shared" si="28"/>
        <v>196000</v>
      </c>
      <c r="N584" s="17" t="str" cm="1">
        <f t="array" ref="N584">_xlfn.IFS(K584=0,"Matched", K584&gt;100,"High", K584&gt;=50,"Medium", K584&lt;50,"Low")</f>
        <v>Matched</v>
      </c>
      <c r="O584" s="17" t="str">
        <f t="shared" si="29"/>
        <v>No Match</v>
      </c>
    </row>
    <row r="585" spans="2:15" hidden="1" x14ac:dyDescent="0.3">
      <c r="B585" s="7">
        <v>583</v>
      </c>
      <c r="C585" s="3" t="s">
        <v>589</v>
      </c>
      <c r="D585" s="2" t="s">
        <v>1046</v>
      </c>
      <c r="E585" s="3" t="s">
        <v>1010</v>
      </c>
      <c r="F585" s="3">
        <v>121</v>
      </c>
      <c r="G585" s="3">
        <v>121</v>
      </c>
      <c r="H585" s="8">
        <v>100</v>
      </c>
      <c r="I585" s="48">
        <f>Table13[[#This Row],[Physical_Stock_Qty]]-Table13[[#This Row],[System_Stock_Qty]]</f>
        <v>0</v>
      </c>
      <c r="J585" s="53" t="str" cm="1">
        <f t="array" ref="J585">_xlfn.IFS(I585=0,"Matched",I585&gt;0,"Excess",I585&lt;0,"Shortage")</f>
        <v>Matched</v>
      </c>
      <c r="K585" s="50">
        <f>ABS(Table13[[#This Row],[Stock Difference]])</f>
        <v>0</v>
      </c>
      <c r="L585" s="17">
        <f t="shared" si="27"/>
        <v>0</v>
      </c>
      <c r="M585" s="17">
        <f t="shared" si="28"/>
        <v>12100</v>
      </c>
      <c r="N585" s="17" t="str" cm="1">
        <f t="array" ref="N585">_xlfn.IFS(K585=0,"Matched", K585&gt;100,"High", K585&gt;=50,"Medium", K585&lt;50,"Low")</f>
        <v>Matched</v>
      </c>
      <c r="O585" s="17" t="str">
        <f t="shared" si="29"/>
        <v>No Match</v>
      </c>
    </row>
    <row r="586" spans="2:15" hidden="1" x14ac:dyDescent="0.3">
      <c r="B586" s="7">
        <v>584</v>
      </c>
      <c r="C586" s="3" t="s">
        <v>590</v>
      </c>
      <c r="D586" s="2" t="s">
        <v>1049</v>
      </c>
      <c r="E586" s="3" t="s">
        <v>1010</v>
      </c>
      <c r="F586" s="3">
        <v>37</v>
      </c>
      <c r="G586" s="3">
        <v>37</v>
      </c>
      <c r="H586" s="8">
        <v>20</v>
      </c>
      <c r="I586" s="48">
        <f>Table13[[#This Row],[Physical_Stock_Qty]]-Table13[[#This Row],[System_Stock_Qty]]</f>
        <v>0</v>
      </c>
      <c r="J586" s="53" t="str" cm="1">
        <f t="array" ref="J586">_xlfn.IFS(I586=0,"Matched",I586&gt;0,"Excess",I586&lt;0,"Shortage")</f>
        <v>Matched</v>
      </c>
      <c r="K586" s="50">
        <f>ABS(Table13[[#This Row],[Stock Difference]])</f>
        <v>0</v>
      </c>
      <c r="L586" s="17">
        <f t="shared" si="27"/>
        <v>0</v>
      </c>
      <c r="M586" s="17">
        <f t="shared" si="28"/>
        <v>740</v>
      </c>
      <c r="N586" s="17" t="str" cm="1">
        <f t="array" ref="N586">_xlfn.IFS(K586=0,"Matched", K586&gt;100,"High", K586&gt;=50,"Medium", K586&lt;50,"Low")</f>
        <v>Matched</v>
      </c>
      <c r="O586" s="17" t="str">
        <f t="shared" si="29"/>
        <v>No Match</v>
      </c>
    </row>
    <row r="587" spans="2:15" hidden="1" x14ac:dyDescent="0.3">
      <c r="B587" s="7">
        <v>585</v>
      </c>
      <c r="C587" s="3" t="s">
        <v>591</v>
      </c>
      <c r="D587" s="2" t="s">
        <v>1058</v>
      </c>
      <c r="E587" s="3" t="s">
        <v>1012</v>
      </c>
      <c r="F587" s="3">
        <v>133</v>
      </c>
      <c r="G587" s="3">
        <v>133</v>
      </c>
      <c r="H587" s="8">
        <v>500</v>
      </c>
      <c r="I587" s="48">
        <f>Table13[[#This Row],[Physical_Stock_Qty]]-Table13[[#This Row],[System_Stock_Qty]]</f>
        <v>0</v>
      </c>
      <c r="J587" s="53" t="str" cm="1">
        <f t="array" ref="J587">_xlfn.IFS(I587=0,"Matched",I587&gt;0,"Excess",I587&lt;0,"Shortage")</f>
        <v>Matched</v>
      </c>
      <c r="K587" s="50">
        <f>ABS(Table13[[#This Row],[Stock Difference]])</f>
        <v>0</v>
      </c>
      <c r="L587" s="17">
        <f t="shared" si="27"/>
        <v>0</v>
      </c>
      <c r="M587" s="17">
        <f t="shared" si="28"/>
        <v>66500</v>
      </c>
      <c r="N587" s="17" t="str" cm="1">
        <f t="array" ref="N587">_xlfn.IFS(K587=0,"Matched", K587&gt;100,"High", K587&gt;=50,"Medium", K587&lt;50,"Low")</f>
        <v>Matched</v>
      </c>
      <c r="O587" s="17" t="str">
        <f t="shared" si="29"/>
        <v>No Match</v>
      </c>
    </row>
    <row r="588" spans="2:15" hidden="1" x14ac:dyDescent="0.3">
      <c r="B588" s="7">
        <v>586</v>
      </c>
      <c r="C588" s="3" t="s">
        <v>592</v>
      </c>
      <c r="D588" s="2" t="s">
        <v>1039</v>
      </c>
      <c r="E588" s="3" t="s">
        <v>1007</v>
      </c>
      <c r="F588" s="3">
        <v>155</v>
      </c>
      <c r="G588" s="3">
        <v>155</v>
      </c>
      <c r="H588" s="8">
        <v>12000</v>
      </c>
      <c r="I588" s="48">
        <f>Table13[[#This Row],[Physical_Stock_Qty]]-Table13[[#This Row],[System_Stock_Qty]]</f>
        <v>0</v>
      </c>
      <c r="J588" s="53" t="str" cm="1">
        <f t="array" ref="J588">_xlfn.IFS(I588=0,"Matched",I588&gt;0,"Excess",I588&lt;0,"Shortage")</f>
        <v>Matched</v>
      </c>
      <c r="K588" s="50">
        <f>ABS(Table13[[#This Row],[Stock Difference]])</f>
        <v>0</v>
      </c>
      <c r="L588" s="17">
        <f t="shared" si="27"/>
        <v>0</v>
      </c>
      <c r="M588" s="17">
        <f t="shared" si="28"/>
        <v>1860000</v>
      </c>
      <c r="N588" s="17" t="str" cm="1">
        <f t="array" ref="N588">_xlfn.IFS(K588=0,"Matched", K588&gt;100,"High", K588&gt;=50,"Medium", K588&lt;50,"Low")</f>
        <v>Matched</v>
      </c>
      <c r="O588" s="17" t="str">
        <f t="shared" si="29"/>
        <v>No Match</v>
      </c>
    </row>
    <row r="589" spans="2:15" hidden="1" x14ac:dyDescent="0.3">
      <c r="B589" s="7">
        <v>587</v>
      </c>
      <c r="C589" s="3" t="s">
        <v>593</v>
      </c>
      <c r="D589" s="2" t="s">
        <v>1059</v>
      </c>
      <c r="E589" s="3" t="s">
        <v>1012</v>
      </c>
      <c r="F589" s="3">
        <v>60</v>
      </c>
      <c r="G589" s="3">
        <v>60</v>
      </c>
      <c r="H589" s="8">
        <v>200</v>
      </c>
      <c r="I589" s="48">
        <f>Table13[[#This Row],[Physical_Stock_Qty]]-Table13[[#This Row],[System_Stock_Qty]]</f>
        <v>0</v>
      </c>
      <c r="J589" s="53" t="str" cm="1">
        <f t="array" ref="J589">_xlfn.IFS(I589=0,"Matched",I589&gt;0,"Excess",I589&lt;0,"Shortage")</f>
        <v>Matched</v>
      </c>
      <c r="K589" s="50">
        <f>ABS(Table13[[#This Row],[Stock Difference]])</f>
        <v>0</v>
      </c>
      <c r="L589" s="17">
        <f t="shared" si="27"/>
        <v>0</v>
      </c>
      <c r="M589" s="17">
        <f t="shared" si="28"/>
        <v>12000</v>
      </c>
      <c r="N589" s="17" t="str" cm="1">
        <f t="array" ref="N589">_xlfn.IFS(K589=0,"Matched", K589&gt;100,"High", K589&gt;=50,"Medium", K589&lt;50,"Low")</f>
        <v>Matched</v>
      </c>
      <c r="O589" s="17" t="str">
        <f t="shared" si="29"/>
        <v>No Match</v>
      </c>
    </row>
    <row r="590" spans="2:15" hidden="1" x14ac:dyDescent="0.3">
      <c r="B590" s="7">
        <v>588</v>
      </c>
      <c r="C590" s="3" t="s">
        <v>594</v>
      </c>
      <c r="D590" s="2" t="s">
        <v>1059</v>
      </c>
      <c r="E590" s="3" t="s">
        <v>1012</v>
      </c>
      <c r="F590" s="3">
        <v>75</v>
      </c>
      <c r="G590" s="3">
        <v>75</v>
      </c>
      <c r="H590" s="8">
        <v>200</v>
      </c>
      <c r="I590" s="48">
        <f>Table13[[#This Row],[Physical_Stock_Qty]]-Table13[[#This Row],[System_Stock_Qty]]</f>
        <v>0</v>
      </c>
      <c r="J590" s="53" t="str" cm="1">
        <f t="array" ref="J590">_xlfn.IFS(I590=0,"Matched",I590&gt;0,"Excess",I590&lt;0,"Shortage")</f>
        <v>Matched</v>
      </c>
      <c r="K590" s="50">
        <f>ABS(Table13[[#This Row],[Stock Difference]])</f>
        <v>0</v>
      </c>
      <c r="L590" s="17">
        <f t="shared" si="27"/>
        <v>0</v>
      </c>
      <c r="M590" s="17">
        <f t="shared" si="28"/>
        <v>15000</v>
      </c>
      <c r="N590" s="17" t="str" cm="1">
        <f t="array" ref="N590">_xlfn.IFS(K590=0,"Matched", K590&gt;100,"High", K590&gt;=50,"Medium", K590&lt;50,"Low")</f>
        <v>Matched</v>
      </c>
      <c r="O590" s="17" t="str">
        <f t="shared" si="29"/>
        <v>No Match</v>
      </c>
    </row>
    <row r="591" spans="2:15" hidden="1" x14ac:dyDescent="0.3">
      <c r="B591" s="7">
        <v>589</v>
      </c>
      <c r="C591" s="3" t="s">
        <v>595</v>
      </c>
      <c r="D591" s="2" t="s">
        <v>1065</v>
      </c>
      <c r="E591" s="3" t="s">
        <v>1009</v>
      </c>
      <c r="F591" s="3">
        <v>130</v>
      </c>
      <c r="G591" s="3">
        <v>130</v>
      </c>
      <c r="H591" s="8">
        <v>200</v>
      </c>
      <c r="I591" s="48">
        <f>Table13[[#This Row],[Physical_Stock_Qty]]-Table13[[#This Row],[System_Stock_Qty]]</f>
        <v>0</v>
      </c>
      <c r="J591" s="53" t="str" cm="1">
        <f t="array" ref="J591">_xlfn.IFS(I591=0,"Matched",I591&gt;0,"Excess",I591&lt;0,"Shortage")</f>
        <v>Matched</v>
      </c>
      <c r="K591" s="50">
        <f>ABS(Table13[[#This Row],[Stock Difference]])</f>
        <v>0</v>
      </c>
      <c r="L591" s="17">
        <f t="shared" si="27"/>
        <v>0</v>
      </c>
      <c r="M591" s="17">
        <f t="shared" si="28"/>
        <v>26000</v>
      </c>
      <c r="N591" s="17" t="str" cm="1">
        <f t="array" ref="N591">_xlfn.IFS(K591=0,"Matched", K591&gt;100,"High", K591&gt;=50,"Medium", K591&lt;50,"Low")</f>
        <v>Matched</v>
      </c>
      <c r="O591" s="17" t="str">
        <f t="shared" si="29"/>
        <v>No Match</v>
      </c>
    </row>
    <row r="592" spans="2:15" hidden="1" x14ac:dyDescent="0.3">
      <c r="B592" s="7">
        <v>590</v>
      </c>
      <c r="C592" s="3" t="s">
        <v>596</v>
      </c>
      <c r="D592" s="2" t="s">
        <v>1035</v>
      </c>
      <c r="E592" s="3" t="s">
        <v>1007</v>
      </c>
      <c r="F592" s="3">
        <v>173</v>
      </c>
      <c r="G592" s="3">
        <v>173</v>
      </c>
      <c r="H592" s="8">
        <v>15000</v>
      </c>
      <c r="I592" s="48">
        <f>Table13[[#This Row],[Physical_Stock_Qty]]-Table13[[#This Row],[System_Stock_Qty]]</f>
        <v>0</v>
      </c>
      <c r="J592" s="53" t="str" cm="1">
        <f t="array" ref="J592">_xlfn.IFS(I592=0,"Matched",I592&gt;0,"Excess",I592&lt;0,"Shortage")</f>
        <v>Matched</v>
      </c>
      <c r="K592" s="50">
        <f>ABS(Table13[[#This Row],[Stock Difference]])</f>
        <v>0</v>
      </c>
      <c r="L592" s="17">
        <f t="shared" si="27"/>
        <v>0</v>
      </c>
      <c r="M592" s="17">
        <f t="shared" si="28"/>
        <v>2595000</v>
      </c>
      <c r="N592" s="17" t="str" cm="1">
        <f t="array" ref="N592">_xlfn.IFS(K592=0,"Matched", K592&gt;100,"High", K592&gt;=50,"Medium", K592&lt;50,"Low")</f>
        <v>Matched</v>
      </c>
      <c r="O592" s="17" t="str">
        <f t="shared" si="29"/>
        <v>No Match</v>
      </c>
    </row>
    <row r="593" spans="2:15" hidden="1" x14ac:dyDescent="0.3">
      <c r="B593" s="7">
        <v>591</v>
      </c>
      <c r="C593" s="3" t="s">
        <v>597</v>
      </c>
      <c r="D593" s="2" t="s">
        <v>1027</v>
      </c>
      <c r="E593" s="3" t="s">
        <v>1008</v>
      </c>
      <c r="F593" s="3">
        <v>133</v>
      </c>
      <c r="G593" s="3">
        <v>133</v>
      </c>
      <c r="H593" s="8">
        <v>30000</v>
      </c>
      <c r="I593" s="48">
        <f>Table13[[#This Row],[Physical_Stock_Qty]]-Table13[[#This Row],[System_Stock_Qty]]</f>
        <v>0</v>
      </c>
      <c r="J593" s="53" t="str" cm="1">
        <f t="array" ref="J593">_xlfn.IFS(I593=0,"Matched",I593&gt;0,"Excess",I593&lt;0,"Shortage")</f>
        <v>Matched</v>
      </c>
      <c r="K593" s="50">
        <f>ABS(Table13[[#This Row],[Stock Difference]])</f>
        <v>0</v>
      </c>
      <c r="L593" s="17">
        <f t="shared" si="27"/>
        <v>0</v>
      </c>
      <c r="M593" s="17">
        <f t="shared" si="28"/>
        <v>3990000</v>
      </c>
      <c r="N593" s="17" t="str" cm="1">
        <f t="array" ref="N593">_xlfn.IFS(K593=0,"Matched", K593&gt;100,"High", K593&gt;=50,"Medium", K593&lt;50,"Low")</f>
        <v>Matched</v>
      </c>
      <c r="O593" s="17" t="str">
        <f t="shared" si="29"/>
        <v>No Match</v>
      </c>
    </row>
    <row r="594" spans="2:15" hidden="1" x14ac:dyDescent="0.3">
      <c r="B594" s="7">
        <v>592</v>
      </c>
      <c r="C594" s="3" t="s">
        <v>598</v>
      </c>
      <c r="D594" s="2" t="s">
        <v>1022</v>
      </c>
      <c r="E594" s="3" t="s">
        <v>1008</v>
      </c>
      <c r="F594" s="3">
        <v>176</v>
      </c>
      <c r="G594" s="3">
        <v>176</v>
      </c>
      <c r="H594" s="8">
        <v>0</v>
      </c>
      <c r="I594" s="48">
        <f>Table13[[#This Row],[Physical_Stock_Qty]]-Table13[[#This Row],[System_Stock_Qty]]</f>
        <v>0</v>
      </c>
      <c r="J594" s="53" t="str" cm="1">
        <f t="array" ref="J594">_xlfn.IFS(I594=0,"Matched",I594&gt;0,"Excess",I594&lt;0,"Shortage")</f>
        <v>Matched</v>
      </c>
      <c r="K594" s="50">
        <f>ABS(Table13[[#This Row],[Stock Difference]])</f>
        <v>0</v>
      </c>
      <c r="L594" s="17">
        <f t="shared" si="27"/>
        <v>0</v>
      </c>
      <c r="M594" s="17">
        <f t="shared" si="28"/>
        <v>0</v>
      </c>
      <c r="N594" s="17" t="str" cm="1">
        <f t="array" ref="N594">_xlfn.IFS(K594=0,"Matched", K594&gt;100,"High", K594&gt;=50,"Medium", K594&lt;50,"Low")</f>
        <v>Matched</v>
      </c>
      <c r="O594" s="17" t="str">
        <f t="shared" si="29"/>
        <v>No Match</v>
      </c>
    </row>
    <row r="595" spans="2:15" hidden="1" x14ac:dyDescent="0.3">
      <c r="B595" s="7">
        <v>593</v>
      </c>
      <c r="C595" s="3" t="s">
        <v>599</v>
      </c>
      <c r="D595" s="2" t="s">
        <v>1084</v>
      </c>
      <c r="E595" s="3" t="s">
        <v>1011</v>
      </c>
      <c r="F595" s="3">
        <v>36</v>
      </c>
      <c r="G595" s="3">
        <v>36</v>
      </c>
      <c r="H595" s="8">
        <v>2000</v>
      </c>
      <c r="I595" s="48">
        <f>Table13[[#This Row],[Physical_Stock_Qty]]-Table13[[#This Row],[System_Stock_Qty]]</f>
        <v>0</v>
      </c>
      <c r="J595" s="53" t="str" cm="1">
        <f t="array" ref="J595">_xlfn.IFS(I595=0,"Matched",I595&gt;0,"Excess",I595&lt;0,"Shortage")</f>
        <v>Matched</v>
      </c>
      <c r="K595" s="50">
        <f>ABS(Table13[[#This Row],[Stock Difference]])</f>
        <v>0</v>
      </c>
      <c r="L595" s="17">
        <f t="shared" si="27"/>
        <v>0</v>
      </c>
      <c r="M595" s="17">
        <f t="shared" si="28"/>
        <v>72000</v>
      </c>
      <c r="N595" s="17" t="str" cm="1">
        <f t="array" ref="N595">_xlfn.IFS(K595=0,"Matched", K595&gt;100,"High", K595&gt;=50,"Medium", K595&lt;50,"Low")</f>
        <v>Matched</v>
      </c>
      <c r="O595" s="17" t="str">
        <f t="shared" si="29"/>
        <v>No Match</v>
      </c>
    </row>
    <row r="596" spans="2:15" hidden="1" x14ac:dyDescent="0.3">
      <c r="B596" s="7">
        <v>594</v>
      </c>
      <c r="C596" s="3" t="s">
        <v>600</v>
      </c>
      <c r="D596" s="2" t="s">
        <v>1024</v>
      </c>
      <c r="E596" s="3" t="s">
        <v>1008</v>
      </c>
      <c r="F596" s="3">
        <v>132</v>
      </c>
      <c r="G596" s="3">
        <v>132</v>
      </c>
      <c r="H596" s="8">
        <v>150000</v>
      </c>
      <c r="I596" s="48">
        <f>Table13[[#This Row],[Physical_Stock_Qty]]-Table13[[#This Row],[System_Stock_Qty]]</f>
        <v>0</v>
      </c>
      <c r="J596" s="53" t="str" cm="1">
        <f t="array" ref="J596">_xlfn.IFS(I596=0,"Matched",I596&gt;0,"Excess",I596&lt;0,"Shortage")</f>
        <v>Matched</v>
      </c>
      <c r="K596" s="50">
        <f>ABS(Table13[[#This Row],[Stock Difference]])</f>
        <v>0</v>
      </c>
      <c r="L596" s="17">
        <f t="shared" si="27"/>
        <v>0</v>
      </c>
      <c r="M596" s="17">
        <f t="shared" si="28"/>
        <v>19800000</v>
      </c>
      <c r="N596" s="17" t="str" cm="1">
        <f t="array" ref="N596">_xlfn.IFS(K596=0,"Matched", K596&gt;100,"High", K596&gt;=50,"Medium", K596&lt;50,"Low")</f>
        <v>Matched</v>
      </c>
      <c r="O596" s="17" t="str">
        <f t="shared" si="29"/>
        <v>No Match</v>
      </c>
    </row>
    <row r="597" spans="2:15" hidden="1" x14ac:dyDescent="0.3">
      <c r="B597" s="7">
        <v>595</v>
      </c>
      <c r="C597" s="3" t="s">
        <v>601</v>
      </c>
      <c r="D597" s="2" t="s">
        <v>1047</v>
      </c>
      <c r="E597" s="3" t="s">
        <v>1010</v>
      </c>
      <c r="F597" s="3">
        <v>41</v>
      </c>
      <c r="G597" s="3">
        <v>41</v>
      </c>
      <c r="H597" s="8">
        <v>500</v>
      </c>
      <c r="I597" s="48">
        <f>Table13[[#This Row],[Physical_Stock_Qty]]-Table13[[#This Row],[System_Stock_Qty]]</f>
        <v>0</v>
      </c>
      <c r="J597" s="53" t="str" cm="1">
        <f t="array" ref="J597">_xlfn.IFS(I597=0,"Matched",I597&gt;0,"Excess",I597&lt;0,"Shortage")</f>
        <v>Matched</v>
      </c>
      <c r="K597" s="50">
        <f>ABS(Table13[[#This Row],[Stock Difference]])</f>
        <v>0</v>
      </c>
      <c r="L597" s="17">
        <f t="shared" si="27"/>
        <v>0</v>
      </c>
      <c r="M597" s="17">
        <f t="shared" si="28"/>
        <v>20500</v>
      </c>
      <c r="N597" s="17" t="str" cm="1">
        <f t="array" ref="N597">_xlfn.IFS(K597=0,"Matched", K597&gt;100,"High", K597&gt;=50,"Medium", K597&lt;50,"Low")</f>
        <v>Matched</v>
      </c>
      <c r="O597" s="17" t="str">
        <f t="shared" si="29"/>
        <v>No Match</v>
      </c>
    </row>
    <row r="598" spans="2:15" hidden="1" x14ac:dyDescent="0.3">
      <c r="B598" s="7">
        <v>596</v>
      </c>
      <c r="C598" s="3" t="s">
        <v>602</v>
      </c>
      <c r="D598" s="2" t="s">
        <v>1025</v>
      </c>
      <c r="E598" s="3" t="s">
        <v>1008</v>
      </c>
      <c r="F598" s="3">
        <v>106</v>
      </c>
      <c r="G598" s="3">
        <v>106</v>
      </c>
      <c r="H598" s="8">
        <v>30000</v>
      </c>
      <c r="I598" s="48">
        <f>Table13[[#This Row],[Physical_Stock_Qty]]-Table13[[#This Row],[System_Stock_Qty]]</f>
        <v>0</v>
      </c>
      <c r="J598" s="53" t="str" cm="1">
        <f t="array" ref="J598">_xlfn.IFS(I598=0,"Matched",I598&gt;0,"Excess",I598&lt;0,"Shortage")</f>
        <v>Matched</v>
      </c>
      <c r="K598" s="50">
        <f>ABS(Table13[[#This Row],[Stock Difference]])</f>
        <v>0</v>
      </c>
      <c r="L598" s="17">
        <f t="shared" si="27"/>
        <v>0</v>
      </c>
      <c r="M598" s="17">
        <f t="shared" si="28"/>
        <v>3180000</v>
      </c>
      <c r="N598" s="17" t="str" cm="1">
        <f t="array" ref="N598">_xlfn.IFS(K598=0,"Matched", K598&gt;100,"High", K598&gt;=50,"Medium", K598&lt;50,"Low")</f>
        <v>Matched</v>
      </c>
      <c r="O598" s="17" t="str">
        <f t="shared" si="29"/>
        <v>No Match</v>
      </c>
    </row>
    <row r="599" spans="2:15" hidden="1" x14ac:dyDescent="0.3">
      <c r="B599" s="7">
        <v>597</v>
      </c>
      <c r="C599" s="3" t="s">
        <v>603</v>
      </c>
      <c r="D599" s="2" t="s">
        <v>1028</v>
      </c>
      <c r="E599" s="3" t="s">
        <v>1008</v>
      </c>
      <c r="F599" s="3">
        <v>108</v>
      </c>
      <c r="G599" s="3">
        <v>108</v>
      </c>
      <c r="H599" s="8">
        <v>15000</v>
      </c>
      <c r="I599" s="48">
        <f>Table13[[#This Row],[Physical_Stock_Qty]]-Table13[[#This Row],[System_Stock_Qty]]</f>
        <v>0</v>
      </c>
      <c r="J599" s="53" t="str" cm="1">
        <f t="array" ref="J599">_xlfn.IFS(I599=0,"Matched",I599&gt;0,"Excess",I599&lt;0,"Shortage")</f>
        <v>Matched</v>
      </c>
      <c r="K599" s="50">
        <f>ABS(Table13[[#This Row],[Stock Difference]])</f>
        <v>0</v>
      </c>
      <c r="L599" s="17">
        <f t="shared" si="27"/>
        <v>0</v>
      </c>
      <c r="M599" s="17">
        <f t="shared" si="28"/>
        <v>1620000</v>
      </c>
      <c r="N599" s="17" t="str" cm="1">
        <f t="array" ref="N599">_xlfn.IFS(K599=0,"Matched", K599&gt;100,"High", K599&gt;=50,"Medium", K599&lt;50,"Low")</f>
        <v>Matched</v>
      </c>
      <c r="O599" s="17" t="str">
        <f t="shared" si="29"/>
        <v>No Match</v>
      </c>
    </row>
    <row r="600" spans="2:15" hidden="1" x14ac:dyDescent="0.3">
      <c r="B600" s="7">
        <v>598</v>
      </c>
      <c r="C600" s="3" t="s">
        <v>604</v>
      </c>
      <c r="D600" s="2" t="s">
        <v>1040</v>
      </c>
      <c r="E600" s="3" t="s">
        <v>1007</v>
      </c>
      <c r="F600" s="3">
        <v>50</v>
      </c>
      <c r="G600" s="3">
        <v>50</v>
      </c>
      <c r="H600" s="8">
        <v>5000</v>
      </c>
      <c r="I600" s="48">
        <f>Table13[[#This Row],[Physical_Stock_Qty]]-Table13[[#This Row],[System_Stock_Qty]]</f>
        <v>0</v>
      </c>
      <c r="J600" s="53" t="str" cm="1">
        <f t="array" ref="J600">_xlfn.IFS(I600=0,"Matched",I600&gt;0,"Excess",I600&lt;0,"Shortage")</f>
        <v>Matched</v>
      </c>
      <c r="K600" s="50">
        <f>ABS(Table13[[#This Row],[Stock Difference]])</f>
        <v>0</v>
      </c>
      <c r="L600" s="17">
        <f t="shared" si="27"/>
        <v>0</v>
      </c>
      <c r="M600" s="17">
        <f t="shared" si="28"/>
        <v>250000</v>
      </c>
      <c r="N600" s="17" t="str" cm="1">
        <f t="array" ref="N600">_xlfn.IFS(K600=0,"Matched", K600&gt;100,"High", K600&gt;=50,"Medium", K600&lt;50,"Low")</f>
        <v>Matched</v>
      </c>
      <c r="O600" s="17" t="str">
        <f t="shared" si="29"/>
        <v>No Match</v>
      </c>
    </row>
    <row r="601" spans="2:15" hidden="1" x14ac:dyDescent="0.3">
      <c r="B601" s="7">
        <v>599</v>
      </c>
      <c r="C601" s="3" t="s">
        <v>605</v>
      </c>
      <c r="D601" s="2" t="s">
        <v>1044</v>
      </c>
      <c r="E601" s="3" t="s">
        <v>1010</v>
      </c>
      <c r="F601" s="3">
        <v>144</v>
      </c>
      <c r="G601" s="3">
        <v>144</v>
      </c>
      <c r="H601" s="8">
        <v>100</v>
      </c>
      <c r="I601" s="48">
        <f>Table13[[#This Row],[Physical_Stock_Qty]]-Table13[[#This Row],[System_Stock_Qty]]</f>
        <v>0</v>
      </c>
      <c r="J601" s="53" t="str" cm="1">
        <f t="array" ref="J601">_xlfn.IFS(I601=0,"Matched",I601&gt;0,"Excess",I601&lt;0,"Shortage")</f>
        <v>Matched</v>
      </c>
      <c r="K601" s="50">
        <f>ABS(Table13[[#This Row],[Stock Difference]])</f>
        <v>0</v>
      </c>
      <c r="L601" s="17">
        <f t="shared" si="27"/>
        <v>0</v>
      </c>
      <c r="M601" s="17">
        <f t="shared" si="28"/>
        <v>14400</v>
      </c>
      <c r="N601" s="17" t="str" cm="1">
        <f t="array" ref="N601">_xlfn.IFS(K601=0,"Matched", K601&gt;100,"High", K601&gt;=50,"Medium", K601&lt;50,"Low")</f>
        <v>Matched</v>
      </c>
      <c r="O601" s="17" t="str">
        <f t="shared" si="29"/>
        <v>No Match</v>
      </c>
    </row>
    <row r="602" spans="2:15" hidden="1" x14ac:dyDescent="0.3">
      <c r="B602" s="7">
        <v>600</v>
      </c>
      <c r="C602" s="3" t="s">
        <v>606</v>
      </c>
      <c r="D602" s="2" t="s">
        <v>1042</v>
      </c>
      <c r="E602" s="3" t="s">
        <v>1007</v>
      </c>
      <c r="F602" s="3">
        <v>75</v>
      </c>
      <c r="G602" s="3">
        <v>75</v>
      </c>
      <c r="H602" s="8">
        <v>3000</v>
      </c>
      <c r="I602" s="48">
        <f>Table13[[#This Row],[Physical_Stock_Qty]]-Table13[[#This Row],[System_Stock_Qty]]</f>
        <v>0</v>
      </c>
      <c r="J602" s="53" t="str" cm="1">
        <f t="array" ref="J602">_xlfn.IFS(I602=0,"Matched",I602&gt;0,"Excess",I602&lt;0,"Shortage")</f>
        <v>Matched</v>
      </c>
      <c r="K602" s="50">
        <f>ABS(Table13[[#This Row],[Stock Difference]])</f>
        <v>0</v>
      </c>
      <c r="L602" s="17">
        <f t="shared" si="27"/>
        <v>0</v>
      </c>
      <c r="M602" s="17">
        <f t="shared" si="28"/>
        <v>225000</v>
      </c>
      <c r="N602" s="17" t="str" cm="1">
        <f t="array" ref="N602">_xlfn.IFS(K602=0,"Matched", K602&gt;100,"High", K602&gt;=50,"Medium", K602&lt;50,"Low")</f>
        <v>Matched</v>
      </c>
      <c r="O602" s="17" t="str">
        <f t="shared" si="29"/>
        <v>No Match</v>
      </c>
    </row>
    <row r="603" spans="2:15" hidden="1" x14ac:dyDescent="0.3">
      <c r="B603" s="7">
        <v>601</v>
      </c>
      <c r="C603" s="3" t="s">
        <v>607</v>
      </c>
      <c r="D603" s="2" t="s">
        <v>1022</v>
      </c>
      <c r="E603" s="3" t="s">
        <v>1008</v>
      </c>
      <c r="F603" s="3">
        <v>112</v>
      </c>
      <c r="G603" s="3">
        <v>112</v>
      </c>
      <c r="H603" s="8">
        <v>0</v>
      </c>
      <c r="I603" s="48">
        <f>Table13[[#This Row],[Physical_Stock_Qty]]-Table13[[#This Row],[System_Stock_Qty]]</f>
        <v>0</v>
      </c>
      <c r="J603" s="53" t="str" cm="1">
        <f t="array" ref="J603">_xlfn.IFS(I603=0,"Matched",I603&gt;0,"Excess",I603&lt;0,"Shortage")</f>
        <v>Matched</v>
      </c>
      <c r="K603" s="50">
        <f>ABS(Table13[[#This Row],[Stock Difference]])</f>
        <v>0</v>
      </c>
      <c r="L603" s="17">
        <f t="shared" si="27"/>
        <v>0</v>
      </c>
      <c r="M603" s="17">
        <f t="shared" si="28"/>
        <v>0</v>
      </c>
      <c r="N603" s="17" t="str" cm="1">
        <f t="array" ref="N603">_xlfn.IFS(K603=0,"Matched", K603&gt;100,"High", K603&gt;=50,"Medium", K603&lt;50,"Low")</f>
        <v>Matched</v>
      </c>
      <c r="O603" s="17" t="str">
        <f t="shared" si="29"/>
        <v>No Match</v>
      </c>
    </row>
    <row r="604" spans="2:15" hidden="1" x14ac:dyDescent="0.3">
      <c r="B604" s="7">
        <v>602</v>
      </c>
      <c r="C604" s="3" t="s">
        <v>608</v>
      </c>
      <c r="D604" s="2" t="s">
        <v>1085</v>
      </c>
      <c r="E604" s="3" t="s">
        <v>1011</v>
      </c>
      <c r="F604" s="3">
        <v>49</v>
      </c>
      <c r="G604" s="3">
        <v>49</v>
      </c>
      <c r="H604" s="8">
        <v>1500</v>
      </c>
      <c r="I604" s="48">
        <f>Table13[[#This Row],[Physical_Stock_Qty]]-Table13[[#This Row],[System_Stock_Qty]]</f>
        <v>0</v>
      </c>
      <c r="J604" s="53" t="str" cm="1">
        <f t="array" ref="J604">_xlfn.IFS(I604=0,"Matched",I604&gt;0,"Excess",I604&lt;0,"Shortage")</f>
        <v>Matched</v>
      </c>
      <c r="K604" s="50">
        <f>ABS(Table13[[#This Row],[Stock Difference]])</f>
        <v>0</v>
      </c>
      <c r="L604" s="17">
        <f t="shared" si="27"/>
        <v>0</v>
      </c>
      <c r="M604" s="17">
        <f t="shared" si="28"/>
        <v>73500</v>
      </c>
      <c r="N604" s="17" t="str" cm="1">
        <f t="array" ref="N604">_xlfn.IFS(K604=0,"Matched", K604&gt;100,"High", K604&gt;=50,"Medium", K604&lt;50,"Low")</f>
        <v>Matched</v>
      </c>
      <c r="O604" s="17" t="str">
        <f t="shared" si="29"/>
        <v>No Match</v>
      </c>
    </row>
    <row r="605" spans="2:15" hidden="1" x14ac:dyDescent="0.3">
      <c r="B605" s="7">
        <v>603</v>
      </c>
      <c r="C605" s="3" t="s">
        <v>609</v>
      </c>
      <c r="D605" s="2" t="s">
        <v>1056</v>
      </c>
      <c r="E605" s="3" t="s">
        <v>1012</v>
      </c>
      <c r="F605" s="3">
        <v>52</v>
      </c>
      <c r="G605" s="3">
        <v>52</v>
      </c>
      <c r="H605" s="8">
        <v>100</v>
      </c>
      <c r="I605" s="48">
        <f>Table13[[#This Row],[Physical_Stock_Qty]]-Table13[[#This Row],[System_Stock_Qty]]</f>
        <v>0</v>
      </c>
      <c r="J605" s="53" t="str" cm="1">
        <f t="array" ref="J605">_xlfn.IFS(I605=0,"Matched",I605&gt;0,"Excess",I605&lt;0,"Shortage")</f>
        <v>Matched</v>
      </c>
      <c r="K605" s="50">
        <f>ABS(Table13[[#This Row],[Stock Difference]])</f>
        <v>0</v>
      </c>
      <c r="L605" s="17">
        <f t="shared" si="27"/>
        <v>0</v>
      </c>
      <c r="M605" s="17">
        <f t="shared" si="28"/>
        <v>5200</v>
      </c>
      <c r="N605" s="17" t="str" cm="1">
        <f t="array" ref="N605">_xlfn.IFS(K605=0,"Matched", K605&gt;100,"High", K605&gt;=50,"Medium", K605&lt;50,"Low")</f>
        <v>Matched</v>
      </c>
      <c r="O605" s="17" t="str">
        <f t="shared" si="29"/>
        <v>No Match</v>
      </c>
    </row>
    <row r="606" spans="2:15" hidden="1" x14ac:dyDescent="0.3">
      <c r="B606" s="7">
        <v>604</v>
      </c>
      <c r="C606" s="3" t="s">
        <v>610</v>
      </c>
      <c r="D606" s="2" t="s">
        <v>1076</v>
      </c>
      <c r="E606" s="3" t="s">
        <v>1009</v>
      </c>
      <c r="F606" s="3">
        <v>40</v>
      </c>
      <c r="G606" s="3">
        <v>40</v>
      </c>
      <c r="H606" s="8">
        <v>100</v>
      </c>
      <c r="I606" s="48">
        <f>Table13[[#This Row],[Physical_Stock_Qty]]-Table13[[#This Row],[System_Stock_Qty]]</f>
        <v>0</v>
      </c>
      <c r="J606" s="53" t="str" cm="1">
        <f t="array" ref="J606">_xlfn.IFS(I606=0,"Matched",I606&gt;0,"Excess",I606&lt;0,"Shortage")</f>
        <v>Matched</v>
      </c>
      <c r="K606" s="50">
        <f>ABS(Table13[[#This Row],[Stock Difference]])</f>
        <v>0</v>
      </c>
      <c r="L606" s="17">
        <f t="shared" si="27"/>
        <v>0</v>
      </c>
      <c r="M606" s="17">
        <f t="shared" si="28"/>
        <v>4000</v>
      </c>
      <c r="N606" s="17" t="str" cm="1">
        <f t="array" ref="N606">_xlfn.IFS(K606=0,"Matched", K606&gt;100,"High", K606&gt;=50,"Medium", K606&lt;50,"Low")</f>
        <v>Matched</v>
      </c>
      <c r="O606" s="17" t="str">
        <f t="shared" si="29"/>
        <v>No Match</v>
      </c>
    </row>
    <row r="607" spans="2:15" x14ac:dyDescent="0.3">
      <c r="B607" s="7">
        <v>605</v>
      </c>
      <c r="C607" s="3" t="s">
        <v>611</v>
      </c>
      <c r="D607" s="2" t="s">
        <v>1051</v>
      </c>
      <c r="E607" s="3" t="s">
        <v>1010</v>
      </c>
      <c r="F607" s="3">
        <v>164</v>
      </c>
      <c r="G607" s="3">
        <v>62</v>
      </c>
      <c r="H607" s="8">
        <v>50</v>
      </c>
      <c r="I607" s="48">
        <f>Table13[[#This Row],[Physical_Stock_Qty]]-Table13[[#This Row],[System_Stock_Qty]]</f>
        <v>-102</v>
      </c>
      <c r="J607" s="53" t="str" cm="1">
        <f t="array" ref="J607">_xlfn.IFS(I607=0,"Matched",I607&gt;0,"Excess",I607&lt;0,"Shortage")</f>
        <v>Shortage</v>
      </c>
      <c r="K607" s="50">
        <f>ABS(Table13[[#This Row],[Stock Difference]])</f>
        <v>102</v>
      </c>
      <c r="L607" s="17">
        <f t="shared" si="27"/>
        <v>5100</v>
      </c>
      <c r="M607" s="17">
        <f t="shared" si="28"/>
        <v>8200</v>
      </c>
      <c r="N607" s="17" t="str" cm="1">
        <f t="array" ref="N607">_xlfn.IFS(K607=0,"Matched", K607&gt;100,"High", K607&gt;=50,"Medium", K607&lt;50,"Low")</f>
        <v>High</v>
      </c>
      <c r="O607" s="17" t="str">
        <f t="shared" si="29"/>
        <v>No</v>
      </c>
    </row>
    <row r="608" spans="2:15" x14ac:dyDescent="0.3">
      <c r="B608" s="7">
        <v>606</v>
      </c>
      <c r="C608" s="3" t="s">
        <v>612</v>
      </c>
      <c r="D608" s="2" t="s">
        <v>1086</v>
      </c>
      <c r="E608" s="3" t="s">
        <v>1011</v>
      </c>
      <c r="F608" s="3">
        <v>123</v>
      </c>
      <c r="G608" s="3">
        <v>52</v>
      </c>
      <c r="H608" s="8">
        <v>4500</v>
      </c>
      <c r="I608" s="48">
        <f>Table13[[#This Row],[Physical_Stock_Qty]]-Table13[[#This Row],[System_Stock_Qty]]</f>
        <v>-71</v>
      </c>
      <c r="J608" s="53" t="str" cm="1">
        <f t="array" ref="J608">_xlfn.IFS(I608=0,"Matched",I608&gt;0,"Excess",I608&lt;0,"Shortage")</f>
        <v>Shortage</v>
      </c>
      <c r="K608" s="50">
        <f>ABS(Table13[[#This Row],[Stock Difference]])</f>
        <v>71</v>
      </c>
      <c r="L608" s="17">
        <f t="shared" si="27"/>
        <v>319500</v>
      </c>
      <c r="M608" s="17">
        <f t="shared" si="28"/>
        <v>553500</v>
      </c>
      <c r="N608" s="17" t="str" cm="1">
        <f t="array" ref="N608">_xlfn.IFS(K608=0,"Matched", K608&gt;100,"High", K608&gt;=50,"Medium", K608&lt;50,"Low")</f>
        <v>Medium</v>
      </c>
      <c r="O608" s="17" t="str">
        <f t="shared" si="29"/>
        <v>No</v>
      </c>
    </row>
    <row r="609" spans="2:15" x14ac:dyDescent="0.3">
      <c r="B609" s="7">
        <v>607</v>
      </c>
      <c r="C609" s="3" t="s">
        <v>613</v>
      </c>
      <c r="D609" s="2" t="s">
        <v>1029</v>
      </c>
      <c r="E609" s="3" t="s">
        <v>1008</v>
      </c>
      <c r="F609" s="3">
        <v>174</v>
      </c>
      <c r="G609" s="3">
        <v>124</v>
      </c>
      <c r="H609" s="8">
        <v>3000</v>
      </c>
      <c r="I609" s="48">
        <f>Table13[[#This Row],[Physical_Stock_Qty]]-Table13[[#This Row],[System_Stock_Qty]]</f>
        <v>-50</v>
      </c>
      <c r="J609" s="53" t="str" cm="1">
        <f t="array" ref="J609">_xlfn.IFS(I609=0,"Matched",I609&gt;0,"Excess",I609&lt;0,"Shortage")</f>
        <v>Shortage</v>
      </c>
      <c r="K609" s="50">
        <f>ABS(Table13[[#This Row],[Stock Difference]])</f>
        <v>50</v>
      </c>
      <c r="L609" s="17">
        <f t="shared" si="27"/>
        <v>150000</v>
      </c>
      <c r="M609" s="17">
        <f t="shared" si="28"/>
        <v>522000</v>
      </c>
      <c r="N609" s="17" t="str" cm="1">
        <f t="array" ref="N609">_xlfn.IFS(K609=0,"Matched", K609&gt;100,"High", K609&gt;=50,"Medium", K609&lt;50,"Low")</f>
        <v>Medium</v>
      </c>
      <c r="O609" s="17" t="str">
        <f t="shared" si="29"/>
        <v>No</v>
      </c>
    </row>
    <row r="610" spans="2:15" x14ac:dyDescent="0.3">
      <c r="B610" s="7">
        <v>608</v>
      </c>
      <c r="C610" s="3" t="s">
        <v>614</v>
      </c>
      <c r="D610" s="2" t="s">
        <v>1066</v>
      </c>
      <c r="E610" s="3" t="s">
        <v>1009</v>
      </c>
      <c r="F610" s="3">
        <v>39</v>
      </c>
      <c r="G610" s="3">
        <v>103</v>
      </c>
      <c r="H610" s="8">
        <v>800</v>
      </c>
      <c r="I610" s="48">
        <f>Table13[[#This Row],[Physical_Stock_Qty]]-Table13[[#This Row],[System_Stock_Qty]]</f>
        <v>64</v>
      </c>
      <c r="J610" s="53" t="str" cm="1">
        <f t="array" ref="J610">_xlfn.IFS(I610=0,"Matched",I610&gt;0,"Excess",I610&lt;0,"Shortage")</f>
        <v>Excess</v>
      </c>
      <c r="K610" s="50">
        <f>ABS(Table13[[#This Row],[Stock Difference]])</f>
        <v>64</v>
      </c>
      <c r="L610" s="17">
        <f t="shared" si="27"/>
        <v>51200</v>
      </c>
      <c r="M610" s="17">
        <f t="shared" si="28"/>
        <v>31200</v>
      </c>
      <c r="N610" s="17" t="str" cm="1">
        <f t="array" ref="N610">_xlfn.IFS(K610=0,"Matched", K610&gt;100,"High", K610&gt;=50,"Medium", K610&lt;50,"Low")</f>
        <v>Medium</v>
      </c>
      <c r="O610" s="17" t="str">
        <f t="shared" si="29"/>
        <v>No</v>
      </c>
    </row>
    <row r="611" spans="2:15" x14ac:dyDescent="0.3">
      <c r="B611" s="7">
        <v>609</v>
      </c>
      <c r="C611" s="3" t="s">
        <v>615</v>
      </c>
      <c r="D611" s="2" t="s">
        <v>1018</v>
      </c>
      <c r="E611" s="3" t="s">
        <v>1012</v>
      </c>
      <c r="F611" s="3">
        <v>196</v>
      </c>
      <c r="G611" s="3">
        <v>32</v>
      </c>
      <c r="H611" s="8">
        <v>3000</v>
      </c>
      <c r="I611" s="48">
        <f>Table13[[#This Row],[Physical_Stock_Qty]]-Table13[[#This Row],[System_Stock_Qty]]</f>
        <v>-164</v>
      </c>
      <c r="J611" s="53" t="str" cm="1">
        <f t="array" ref="J611">_xlfn.IFS(I611=0,"Matched",I611&gt;0,"Excess",I611&lt;0,"Shortage")</f>
        <v>Shortage</v>
      </c>
      <c r="K611" s="50">
        <f>ABS(Table13[[#This Row],[Stock Difference]])</f>
        <v>164</v>
      </c>
      <c r="L611" s="17">
        <f t="shared" si="27"/>
        <v>492000</v>
      </c>
      <c r="M611" s="17">
        <f t="shared" si="28"/>
        <v>588000</v>
      </c>
      <c r="N611" s="17" t="str" cm="1">
        <f t="array" ref="N611">_xlfn.IFS(K611=0,"Matched", K611&gt;100,"High", K611&gt;=50,"Medium", K611&lt;50,"Low")</f>
        <v>High</v>
      </c>
      <c r="O611" s="17" t="str">
        <f t="shared" si="29"/>
        <v>No</v>
      </c>
    </row>
    <row r="612" spans="2:15" x14ac:dyDescent="0.3">
      <c r="B612" s="7">
        <v>610</v>
      </c>
      <c r="C612" s="3" t="s">
        <v>616</v>
      </c>
      <c r="D612" s="2" t="s">
        <v>1081</v>
      </c>
      <c r="E612" s="3" t="s">
        <v>1011</v>
      </c>
      <c r="F612" s="3">
        <v>198</v>
      </c>
      <c r="G612" s="3">
        <v>156</v>
      </c>
      <c r="H612" s="8">
        <v>1000</v>
      </c>
      <c r="I612" s="48">
        <f>Table13[[#This Row],[Physical_Stock_Qty]]-Table13[[#This Row],[System_Stock_Qty]]</f>
        <v>-42</v>
      </c>
      <c r="J612" s="53" t="str" cm="1">
        <f t="array" ref="J612">_xlfn.IFS(I612=0,"Matched",I612&gt;0,"Excess",I612&lt;0,"Shortage")</f>
        <v>Shortage</v>
      </c>
      <c r="K612" s="50">
        <f>ABS(Table13[[#This Row],[Stock Difference]])</f>
        <v>42</v>
      </c>
      <c r="L612" s="17">
        <f t="shared" si="27"/>
        <v>42000</v>
      </c>
      <c r="M612" s="17">
        <f t="shared" si="28"/>
        <v>198000</v>
      </c>
      <c r="N612" s="17" t="str" cm="1">
        <f t="array" ref="N612">_xlfn.IFS(K612=0,"Matched", K612&gt;100,"High", K612&gt;=50,"Medium", K612&lt;50,"Low")</f>
        <v>Low</v>
      </c>
      <c r="O612" s="17" t="str">
        <f t="shared" si="29"/>
        <v>No</v>
      </c>
    </row>
    <row r="613" spans="2:15" x14ac:dyDescent="0.3">
      <c r="B613" s="7">
        <v>611</v>
      </c>
      <c r="C613" s="3" t="s">
        <v>617</v>
      </c>
      <c r="D613" s="2" t="s">
        <v>1040</v>
      </c>
      <c r="E613" s="3" t="s">
        <v>1007</v>
      </c>
      <c r="F613" s="3">
        <v>132</v>
      </c>
      <c r="G613" s="3">
        <v>195</v>
      </c>
      <c r="H613" s="8">
        <v>5000</v>
      </c>
      <c r="I613" s="48">
        <f>Table13[[#This Row],[Physical_Stock_Qty]]-Table13[[#This Row],[System_Stock_Qty]]</f>
        <v>63</v>
      </c>
      <c r="J613" s="53" t="str" cm="1">
        <f t="array" ref="J613">_xlfn.IFS(I613=0,"Matched",I613&gt;0,"Excess",I613&lt;0,"Shortage")</f>
        <v>Excess</v>
      </c>
      <c r="K613" s="50">
        <f>ABS(Table13[[#This Row],[Stock Difference]])</f>
        <v>63</v>
      </c>
      <c r="L613" s="17">
        <f t="shared" si="27"/>
        <v>315000</v>
      </c>
      <c r="M613" s="17">
        <f t="shared" si="28"/>
        <v>660000</v>
      </c>
      <c r="N613" s="17" t="str" cm="1">
        <f t="array" ref="N613">_xlfn.IFS(K613=0,"Matched", K613&gt;100,"High", K613&gt;=50,"Medium", K613&lt;50,"Low")</f>
        <v>Medium</v>
      </c>
      <c r="O613" s="17" t="str">
        <f t="shared" si="29"/>
        <v>No</v>
      </c>
    </row>
    <row r="614" spans="2:15" x14ac:dyDescent="0.3">
      <c r="B614" s="7">
        <v>612</v>
      </c>
      <c r="C614" s="3" t="s">
        <v>618</v>
      </c>
      <c r="D614" s="2" t="s">
        <v>1039</v>
      </c>
      <c r="E614" s="3" t="s">
        <v>1007</v>
      </c>
      <c r="F614" s="3">
        <v>126</v>
      </c>
      <c r="G614" s="3">
        <v>50</v>
      </c>
      <c r="H614" s="8">
        <v>12000</v>
      </c>
      <c r="I614" s="48">
        <f>Table13[[#This Row],[Physical_Stock_Qty]]-Table13[[#This Row],[System_Stock_Qty]]</f>
        <v>-76</v>
      </c>
      <c r="J614" s="53" t="str" cm="1">
        <f t="array" ref="J614">_xlfn.IFS(I614=0,"Matched",I614&gt;0,"Excess",I614&lt;0,"Shortage")</f>
        <v>Shortage</v>
      </c>
      <c r="K614" s="50">
        <f>ABS(Table13[[#This Row],[Stock Difference]])</f>
        <v>76</v>
      </c>
      <c r="L614" s="17">
        <f t="shared" si="27"/>
        <v>912000</v>
      </c>
      <c r="M614" s="17">
        <f t="shared" si="28"/>
        <v>1512000</v>
      </c>
      <c r="N614" s="17" t="str" cm="1">
        <f t="array" ref="N614">_xlfn.IFS(K614=0,"Matched", K614&gt;100,"High", K614&gt;=50,"Medium", K614&lt;50,"Low")</f>
        <v>Medium</v>
      </c>
      <c r="O614" s="17" t="str">
        <f t="shared" si="29"/>
        <v>Yes</v>
      </c>
    </row>
    <row r="615" spans="2:15" x14ac:dyDescent="0.3">
      <c r="B615" s="7">
        <v>613</v>
      </c>
      <c r="C615" s="3" t="s">
        <v>619</v>
      </c>
      <c r="D615" s="2" t="s">
        <v>1042</v>
      </c>
      <c r="E615" s="3" t="s">
        <v>1007</v>
      </c>
      <c r="F615" s="3">
        <v>74</v>
      </c>
      <c r="G615" s="3">
        <v>124</v>
      </c>
      <c r="H615" s="8">
        <v>3000</v>
      </c>
      <c r="I615" s="48">
        <f>Table13[[#This Row],[Physical_Stock_Qty]]-Table13[[#This Row],[System_Stock_Qty]]</f>
        <v>50</v>
      </c>
      <c r="J615" s="53" t="str" cm="1">
        <f t="array" ref="J615">_xlfn.IFS(I615=0,"Matched",I615&gt;0,"Excess",I615&lt;0,"Shortage")</f>
        <v>Excess</v>
      </c>
      <c r="K615" s="50">
        <f>ABS(Table13[[#This Row],[Stock Difference]])</f>
        <v>50</v>
      </c>
      <c r="L615" s="17">
        <f t="shared" si="27"/>
        <v>150000</v>
      </c>
      <c r="M615" s="17">
        <f t="shared" si="28"/>
        <v>222000</v>
      </c>
      <c r="N615" s="17" t="str" cm="1">
        <f t="array" ref="N615">_xlfn.IFS(K615=0,"Matched", K615&gt;100,"High", K615&gt;=50,"Medium", K615&lt;50,"Low")</f>
        <v>Medium</v>
      </c>
      <c r="O615" s="17" t="str">
        <f t="shared" si="29"/>
        <v>No</v>
      </c>
    </row>
    <row r="616" spans="2:15" x14ac:dyDescent="0.3">
      <c r="B616" s="7">
        <v>614</v>
      </c>
      <c r="C616" s="3" t="s">
        <v>620</v>
      </c>
      <c r="D616" s="2" t="s">
        <v>1040</v>
      </c>
      <c r="E616" s="3" t="s">
        <v>1007</v>
      </c>
      <c r="F616" s="3">
        <v>177</v>
      </c>
      <c r="G616" s="3">
        <v>181</v>
      </c>
      <c r="H616" s="8">
        <v>5000</v>
      </c>
      <c r="I616" s="48">
        <f>Table13[[#This Row],[Physical_Stock_Qty]]-Table13[[#This Row],[System_Stock_Qty]]</f>
        <v>4</v>
      </c>
      <c r="J616" s="53" t="str" cm="1">
        <f t="array" ref="J616">_xlfn.IFS(I616=0,"Matched",I616&gt;0,"Excess",I616&lt;0,"Shortage")</f>
        <v>Excess</v>
      </c>
      <c r="K616" s="50">
        <f>ABS(Table13[[#This Row],[Stock Difference]])</f>
        <v>4</v>
      </c>
      <c r="L616" s="17">
        <f t="shared" si="27"/>
        <v>20000</v>
      </c>
      <c r="M616" s="17">
        <f t="shared" si="28"/>
        <v>885000</v>
      </c>
      <c r="N616" s="17" t="str" cm="1">
        <f t="array" ref="N616">_xlfn.IFS(K616=0,"Matched", K616&gt;100,"High", K616&gt;=50,"Medium", K616&lt;50,"Low")</f>
        <v>Low</v>
      </c>
      <c r="O616" s="17" t="str">
        <f t="shared" si="29"/>
        <v>No</v>
      </c>
    </row>
    <row r="617" spans="2:15" x14ac:dyDescent="0.3">
      <c r="B617" s="7">
        <v>615</v>
      </c>
      <c r="C617" s="3" t="s">
        <v>621</v>
      </c>
      <c r="D617" s="2" t="s">
        <v>1073</v>
      </c>
      <c r="E617" s="3" t="s">
        <v>1009</v>
      </c>
      <c r="F617" s="3">
        <v>189</v>
      </c>
      <c r="G617" s="3">
        <v>41</v>
      </c>
      <c r="H617" s="8">
        <v>100</v>
      </c>
      <c r="I617" s="48">
        <f>Table13[[#This Row],[Physical_Stock_Qty]]-Table13[[#This Row],[System_Stock_Qty]]</f>
        <v>-148</v>
      </c>
      <c r="J617" s="53" t="str" cm="1">
        <f t="array" ref="J617">_xlfn.IFS(I617=0,"Matched",I617&gt;0,"Excess",I617&lt;0,"Shortage")</f>
        <v>Shortage</v>
      </c>
      <c r="K617" s="50">
        <f>ABS(Table13[[#This Row],[Stock Difference]])</f>
        <v>148</v>
      </c>
      <c r="L617" s="17">
        <f t="shared" si="27"/>
        <v>14800</v>
      </c>
      <c r="M617" s="17">
        <f t="shared" si="28"/>
        <v>18900</v>
      </c>
      <c r="N617" s="17" t="str" cm="1">
        <f t="array" ref="N617">_xlfn.IFS(K617=0,"Matched", K617&gt;100,"High", K617&gt;=50,"Medium", K617&lt;50,"Low")</f>
        <v>High</v>
      </c>
      <c r="O617" s="17" t="str">
        <f t="shared" si="29"/>
        <v>No</v>
      </c>
    </row>
    <row r="618" spans="2:15" hidden="1" x14ac:dyDescent="0.3">
      <c r="B618" s="7">
        <v>616</v>
      </c>
      <c r="C618" s="3" t="s">
        <v>622</v>
      </c>
      <c r="D618" s="2" t="s">
        <v>1060</v>
      </c>
      <c r="E618" s="3" t="s">
        <v>1012</v>
      </c>
      <c r="F618" s="3">
        <v>113</v>
      </c>
      <c r="G618" s="3">
        <v>113</v>
      </c>
      <c r="H618" s="8">
        <v>1500</v>
      </c>
      <c r="I618" s="48">
        <f>Table13[[#This Row],[Physical_Stock_Qty]]-Table13[[#This Row],[System_Stock_Qty]]</f>
        <v>0</v>
      </c>
      <c r="J618" s="53" t="str" cm="1">
        <f t="array" ref="J618">_xlfn.IFS(I618=0,"Matched",I618&gt;0,"Excess",I618&lt;0,"Shortage")</f>
        <v>Matched</v>
      </c>
      <c r="K618" s="50">
        <f>ABS(Table13[[#This Row],[Stock Difference]])</f>
        <v>0</v>
      </c>
      <c r="L618" s="17">
        <f t="shared" si="27"/>
        <v>0</v>
      </c>
      <c r="M618" s="17">
        <f t="shared" si="28"/>
        <v>169500</v>
      </c>
      <c r="N618" s="17" t="str" cm="1">
        <f t="array" ref="N618">_xlfn.IFS(K618=0,"Matched", K618&gt;100,"High", K618&gt;=50,"Medium", K618&lt;50,"Low")</f>
        <v>Matched</v>
      </c>
      <c r="O618" s="17" t="str">
        <f t="shared" si="29"/>
        <v>No Match</v>
      </c>
    </row>
    <row r="619" spans="2:15" hidden="1" x14ac:dyDescent="0.3">
      <c r="B619" s="7">
        <v>617</v>
      </c>
      <c r="C619" s="3" t="s">
        <v>623</v>
      </c>
      <c r="D619" s="2" t="s">
        <v>1067</v>
      </c>
      <c r="E619" s="3" t="s">
        <v>1009</v>
      </c>
      <c r="F619" s="3">
        <v>133</v>
      </c>
      <c r="G619" s="3">
        <v>133</v>
      </c>
      <c r="H619" s="8">
        <v>100</v>
      </c>
      <c r="I619" s="48">
        <f>Table13[[#This Row],[Physical_Stock_Qty]]-Table13[[#This Row],[System_Stock_Qty]]</f>
        <v>0</v>
      </c>
      <c r="J619" s="53" t="str" cm="1">
        <f t="array" ref="J619">_xlfn.IFS(I619=0,"Matched",I619&gt;0,"Excess",I619&lt;0,"Shortage")</f>
        <v>Matched</v>
      </c>
      <c r="K619" s="50">
        <f>ABS(Table13[[#This Row],[Stock Difference]])</f>
        <v>0</v>
      </c>
      <c r="L619" s="17">
        <f t="shared" si="27"/>
        <v>0</v>
      </c>
      <c r="M619" s="17">
        <f t="shared" si="28"/>
        <v>13300</v>
      </c>
      <c r="N619" s="17" t="str" cm="1">
        <f t="array" ref="N619">_xlfn.IFS(K619=0,"Matched", K619&gt;100,"High", K619&gt;=50,"Medium", K619&lt;50,"Low")</f>
        <v>Matched</v>
      </c>
      <c r="O619" s="17" t="str">
        <f t="shared" si="29"/>
        <v>No Match</v>
      </c>
    </row>
    <row r="620" spans="2:15" hidden="1" x14ac:dyDescent="0.3">
      <c r="B620" s="7">
        <v>618</v>
      </c>
      <c r="C620" s="3" t="s">
        <v>624</v>
      </c>
      <c r="D620" s="2" t="s">
        <v>1033</v>
      </c>
      <c r="E620" s="3" t="s">
        <v>1008</v>
      </c>
      <c r="F620" s="3">
        <v>175</v>
      </c>
      <c r="G620" s="3">
        <v>175</v>
      </c>
      <c r="H620" s="8">
        <v>4000</v>
      </c>
      <c r="I620" s="48">
        <f>Table13[[#This Row],[Physical_Stock_Qty]]-Table13[[#This Row],[System_Stock_Qty]]</f>
        <v>0</v>
      </c>
      <c r="J620" s="53" t="str" cm="1">
        <f t="array" ref="J620">_xlfn.IFS(I620=0,"Matched",I620&gt;0,"Excess",I620&lt;0,"Shortage")</f>
        <v>Matched</v>
      </c>
      <c r="K620" s="50">
        <f>ABS(Table13[[#This Row],[Stock Difference]])</f>
        <v>0</v>
      </c>
      <c r="L620" s="17">
        <f t="shared" si="27"/>
        <v>0</v>
      </c>
      <c r="M620" s="17">
        <f t="shared" si="28"/>
        <v>700000</v>
      </c>
      <c r="N620" s="17" t="str" cm="1">
        <f t="array" ref="N620">_xlfn.IFS(K620=0,"Matched", K620&gt;100,"High", K620&gt;=50,"Medium", K620&lt;50,"Low")</f>
        <v>Matched</v>
      </c>
      <c r="O620" s="17" t="str">
        <f t="shared" si="29"/>
        <v>No Match</v>
      </c>
    </row>
    <row r="621" spans="2:15" hidden="1" x14ac:dyDescent="0.3">
      <c r="B621" s="7">
        <v>619</v>
      </c>
      <c r="C621" s="3" t="s">
        <v>625</v>
      </c>
      <c r="D621" s="2" t="s">
        <v>1071</v>
      </c>
      <c r="E621" s="3" t="s">
        <v>1009</v>
      </c>
      <c r="F621" s="3">
        <v>59</v>
      </c>
      <c r="G621" s="3">
        <v>59</v>
      </c>
      <c r="H621" s="8">
        <v>200</v>
      </c>
      <c r="I621" s="48">
        <f>Table13[[#This Row],[Physical_Stock_Qty]]-Table13[[#This Row],[System_Stock_Qty]]</f>
        <v>0</v>
      </c>
      <c r="J621" s="53" t="str" cm="1">
        <f t="array" ref="J621">_xlfn.IFS(I621=0,"Matched",I621&gt;0,"Excess",I621&lt;0,"Shortage")</f>
        <v>Matched</v>
      </c>
      <c r="K621" s="50">
        <f>ABS(Table13[[#This Row],[Stock Difference]])</f>
        <v>0</v>
      </c>
      <c r="L621" s="17">
        <f t="shared" si="27"/>
        <v>0</v>
      </c>
      <c r="M621" s="17">
        <f t="shared" si="28"/>
        <v>11800</v>
      </c>
      <c r="N621" s="17" t="str" cm="1">
        <f t="array" ref="N621">_xlfn.IFS(K621=0,"Matched", K621&gt;100,"High", K621&gt;=50,"Medium", K621&lt;50,"Low")</f>
        <v>Matched</v>
      </c>
      <c r="O621" s="17" t="str">
        <f t="shared" si="29"/>
        <v>No Match</v>
      </c>
    </row>
    <row r="622" spans="2:15" hidden="1" x14ac:dyDescent="0.3">
      <c r="B622" s="7">
        <v>620</v>
      </c>
      <c r="C622" s="3" t="s">
        <v>626</v>
      </c>
      <c r="D622" s="2" t="s">
        <v>1034</v>
      </c>
      <c r="E622" s="3" t="s">
        <v>1008</v>
      </c>
      <c r="F622" s="3">
        <v>66</v>
      </c>
      <c r="G622" s="3">
        <v>66</v>
      </c>
      <c r="H622" s="8">
        <v>50000</v>
      </c>
      <c r="I622" s="48">
        <f>Table13[[#This Row],[Physical_Stock_Qty]]-Table13[[#This Row],[System_Stock_Qty]]</f>
        <v>0</v>
      </c>
      <c r="J622" s="53" t="str" cm="1">
        <f t="array" ref="J622">_xlfn.IFS(I622=0,"Matched",I622&gt;0,"Excess",I622&lt;0,"Shortage")</f>
        <v>Matched</v>
      </c>
      <c r="K622" s="50">
        <f>ABS(Table13[[#This Row],[Stock Difference]])</f>
        <v>0</v>
      </c>
      <c r="L622" s="17">
        <f t="shared" si="27"/>
        <v>0</v>
      </c>
      <c r="M622" s="17">
        <f t="shared" si="28"/>
        <v>3300000</v>
      </c>
      <c r="N622" s="17" t="str" cm="1">
        <f t="array" ref="N622">_xlfn.IFS(K622=0,"Matched", K622&gt;100,"High", K622&gt;=50,"Medium", K622&lt;50,"Low")</f>
        <v>Matched</v>
      </c>
      <c r="O622" s="17" t="str">
        <f t="shared" si="29"/>
        <v>No Match</v>
      </c>
    </row>
    <row r="623" spans="2:15" hidden="1" x14ac:dyDescent="0.3">
      <c r="B623" s="7">
        <v>621</v>
      </c>
      <c r="C623" s="3" t="s">
        <v>627</v>
      </c>
      <c r="D623" s="2" t="s">
        <v>1059</v>
      </c>
      <c r="E623" s="3" t="s">
        <v>1012</v>
      </c>
      <c r="F623" s="3">
        <v>189</v>
      </c>
      <c r="G623" s="3">
        <v>189</v>
      </c>
      <c r="H623" s="8">
        <v>200</v>
      </c>
      <c r="I623" s="48">
        <f>Table13[[#This Row],[Physical_Stock_Qty]]-Table13[[#This Row],[System_Stock_Qty]]</f>
        <v>0</v>
      </c>
      <c r="J623" s="53" t="str" cm="1">
        <f t="array" ref="J623">_xlfn.IFS(I623=0,"Matched",I623&gt;0,"Excess",I623&lt;0,"Shortage")</f>
        <v>Matched</v>
      </c>
      <c r="K623" s="50">
        <f>ABS(Table13[[#This Row],[Stock Difference]])</f>
        <v>0</v>
      </c>
      <c r="L623" s="17">
        <f t="shared" si="27"/>
        <v>0</v>
      </c>
      <c r="M623" s="17">
        <f t="shared" si="28"/>
        <v>37800</v>
      </c>
      <c r="N623" s="17" t="str" cm="1">
        <f t="array" ref="N623">_xlfn.IFS(K623=0,"Matched", K623&gt;100,"High", K623&gt;=50,"Medium", K623&lt;50,"Low")</f>
        <v>Matched</v>
      </c>
      <c r="O623" s="17" t="str">
        <f t="shared" si="29"/>
        <v>No Match</v>
      </c>
    </row>
    <row r="624" spans="2:15" hidden="1" x14ac:dyDescent="0.3">
      <c r="B624" s="7">
        <v>622</v>
      </c>
      <c r="C624" s="3" t="s">
        <v>628</v>
      </c>
      <c r="D624" s="2" t="s">
        <v>1062</v>
      </c>
      <c r="E624" s="3" t="s">
        <v>1009</v>
      </c>
      <c r="F624" s="3">
        <v>174</v>
      </c>
      <c r="G624" s="3">
        <v>174</v>
      </c>
      <c r="H624" s="8">
        <v>100</v>
      </c>
      <c r="I624" s="48">
        <f>Table13[[#This Row],[Physical_Stock_Qty]]-Table13[[#This Row],[System_Stock_Qty]]</f>
        <v>0</v>
      </c>
      <c r="J624" s="53" t="str" cm="1">
        <f t="array" ref="J624">_xlfn.IFS(I624=0,"Matched",I624&gt;0,"Excess",I624&lt;0,"Shortage")</f>
        <v>Matched</v>
      </c>
      <c r="K624" s="50">
        <f>ABS(Table13[[#This Row],[Stock Difference]])</f>
        <v>0</v>
      </c>
      <c r="L624" s="17">
        <f t="shared" si="27"/>
        <v>0</v>
      </c>
      <c r="M624" s="17">
        <f t="shared" si="28"/>
        <v>17400</v>
      </c>
      <c r="N624" s="17" t="str" cm="1">
        <f t="array" ref="N624">_xlfn.IFS(K624=0,"Matched", K624&gt;100,"High", K624&gt;=50,"Medium", K624&lt;50,"Low")</f>
        <v>Matched</v>
      </c>
      <c r="O624" s="17" t="str">
        <f t="shared" si="29"/>
        <v>No Match</v>
      </c>
    </row>
    <row r="625" spans="2:15" hidden="1" x14ac:dyDescent="0.3">
      <c r="B625" s="7">
        <v>623</v>
      </c>
      <c r="C625" s="3" t="s">
        <v>629</v>
      </c>
      <c r="D625" s="2" t="s">
        <v>1036</v>
      </c>
      <c r="E625" s="3" t="s">
        <v>1007</v>
      </c>
      <c r="F625" s="3">
        <v>152</v>
      </c>
      <c r="G625" s="3">
        <v>152</v>
      </c>
      <c r="H625" s="8">
        <v>8000</v>
      </c>
      <c r="I625" s="48">
        <f>Table13[[#This Row],[Physical_Stock_Qty]]-Table13[[#This Row],[System_Stock_Qty]]</f>
        <v>0</v>
      </c>
      <c r="J625" s="53" t="str" cm="1">
        <f t="array" ref="J625">_xlfn.IFS(I625=0,"Matched",I625&gt;0,"Excess",I625&lt;0,"Shortage")</f>
        <v>Matched</v>
      </c>
      <c r="K625" s="50">
        <f>ABS(Table13[[#This Row],[Stock Difference]])</f>
        <v>0</v>
      </c>
      <c r="L625" s="17">
        <f t="shared" si="27"/>
        <v>0</v>
      </c>
      <c r="M625" s="17">
        <f t="shared" si="28"/>
        <v>1216000</v>
      </c>
      <c r="N625" s="17" t="str" cm="1">
        <f t="array" ref="N625">_xlfn.IFS(K625=0,"Matched", K625&gt;100,"High", K625&gt;=50,"Medium", K625&lt;50,"Low")</f>
        <v>Matched</v>
      </c>
      <c r="O625" s="17" t="str">
        <f t="shared" si="29"/>
        <v>No Match</v>
      </c>
    </row>
    <row r="626" spans="2:15" hidden="1" x14ac:dyDescent="0.3">
      <c r="B626" s="7">
        <v>624</v>
      </c>
      <c r="C626" s="3" t="s">
        <v>630</v>
      </c>
      <c r="D626" s="2" t="s">
        <v>1087</v>
      </c>
      <c r="E626" s="3" t="s">
        <v>1011</v>
      </c>
      <c r="F626" s="3">
        <v>98</v>
      </c>
      <c r="G626" s="3">
        <v>98</v>
      </c>
      <c r="H626" s="8">
        <v>5000</v>
      </c>
      <c r="I626" s="48">
        <f>Table13[[#This Row],[Physical_Stock_Qty]]-Table13[[#This Row],[System_Stock_Qty]]</f>
        <v>0</v>
      </c>
      <c r="J626" s="53" t="str" cm="1">
        <f t="array" ref="J626">_xlfn.IFS(I626=0,"Matched",I626&gt;0,"Excess",I626&lt;0,"Shortage")</f>
        <v>Matched</v>
      </c>
      <c r="K626" s="50">
        <f>ABS(Table13[[#This Row],[Stock Difference]])</f>
        <v>0</v>
      </c>
      <c r="L626" s="17">
        <f t="shared" si="27"/>
        <v>0</v>
      </c>
      <c r="M626" s="17">
        <f t="shared" si="28"/>
        <v>490000</v>
      </c>
      <c r="N626" s="17" t="str" cm="1">
        <f t="array" ref="N626">_xlfn.IFS(K626=0,"Matched", K626&gt;100,"High", K626&gt;=50,"Medium", K626&lt;50,"Low")</f>
        <v>Matched</v>
      </c>
      <c r="O626" s="17" t="str">
        <f t="shared" si="29"/>
        <v>No Match</v>
      </c>
    </row>
    <row r="627" spans="2:15" hidden="1" x14ac:dyDescent="0.3">
      <c r="B627" s="7">
        <v>625</v>
      </c>
      <c r="C627" s="3" t="s">
        <v>631</v>
      </c>
      <c r="D627" s="2" t="s">
        <v>1066</v>
      </c>
      <c r="E627" s="3" t="s">
        <v>1009</v>
      </c>
      <c r="F627" s="3">
        <v>124</v>
      </c>
      <c r="G627" s="3">
        <v>124</v>
      </c>
      <c r="H627" s="8">
        <v>800</v>
      </c>
      <c r="I627" s="48">
        <f>Table13[[#This Row],[Physical_Stock_Qty]]-Table13[[#This Row],[System_Stock_Qty]]</f>
        <v>0</v>
      </c>
      <c r="J627" s="53" t="str" cm="1">
        <f t="array" ref="J627">_xlfn.IFS(I627=0,"Matched",I627&gt;0,"Excess",I627&lt;0,"Shortage")</f>
        <v>Matched</v>
      </c>
      <c r="K627" s="50">
        <f>ABS(Table13[[#This Row],[Stock Difference]])</f>
        <v>0</v>
      </c>
      <c r="L627" s="17">
        <f t="shared" si="27"/>
        <v>0</v>
      </c>
      <c r="M627" s="17">
        <f t="shared" si="28"/>
        <v>99200</v>
      </c>
      <c r="N627" s="17" t="str" cm="1">
        <f t="array" ref="N627">_xlfn.IFS(K627=0,"Matched", K627&gt;100,"High", K627&gt;=50,"Medium", K627&lt;50,"Low")</f>
        <v>Matched</v>
      </c>
      <c r="O627" s="17" t="str">
        <f t="shared" si="29"/>
        <v>No Match</v>
      </c>
    </row>
    <row r="628" spans="2:15" hidden="1" x14ac:dyDescent="0.3">
      <c r="B628" s="7">
        <v>626</v>
      </c>
      <c r="C628" s="3" t="s">
        <v>632</v>
      </c>
      <c r="D628" s="2" t="s">
        <v>1025</v>
      </c>
      <c r="E628" s="3" t="s">
        <v>1008</v>
      </c>
      <c r="F628" s="3">
        <v>68</v>
      </c>
      <c r="G628" s="3">
        <v>68</v>
      </c>
      <c r="H628" s="8">
        <v>30000</v>
      </c>
      <c r="I628" s="48">
        <f>Table13[[#This Row],[Physical_Stock_Qty]]-Table13[[#This Row],[System_Stock_Qty]]</f>
        <v>0</v>
      </c>
      <c r="J628" s="53" t="str" cm="1">
        <f t="array" ref="J628">_xlfn.IFS(I628=0,"Matched",I628&gt;0,"Excess",I628&lt;0,"Shortage")</f>
        <v>Matched</v>
      </c>
      <c r="K628" s="50">
        <f>ABS(Table13[[#This Row],[Stock Difference]])</f>
        <v>0</v>
      </c>
      <c r="L628" s="17">
        <f t="shared" si="27"/>
        <v>0</v>
      </c>
      <c r="M628" s="17">
        <f t="shared" si="28"/>
        <v>2040000</v>
      </c>
      <c r="N628" s="17" t="str" cm="1">
        <f t="array" ref="N628">_xlfn.IFS(K628=0,"Matched", K628&gt;100,"High", K628&gt;=50,"Medium", K628&lt;50,"Low")</f>
        <v>Matched</v>
      </c>
      <c r="O628" s="17" t="str">
        <f t="shared" si="29"/>
        <v>No Match</v>
      </c>
    </row>
    <row r="629" spans="2:15" hidden="1" x14ac:dyDescent="0.3">
      <c r="B629" s="7">
        <v>627</v>
      </c>
      <c r="C629" s="3" t="s">
        <v>633</v>
      </c>
      <c r="D629" s="2" t="s">
        <v>1080</v>
      </c>
      <c r="E629" s="3" t="s">
        <v>1011</v>
      </c>
      <c r="F629" s="3">
        <v>30</v>
      </c>
      <c r="G629" s="3">
        <v>30</v>
      </c>
      <c r="H629" s="8">
        <v>2500</v>
      </c>
      <c r="I629" s="48">
        <f>Table13[[#This Row],[Physical_Stock_Qty]]-Table13[[#This Row],[System_Stock_Qty]]</f>
        <v>0</v>
      </c>
      <c r="J629" s="53" t="str" cm="1">
        <f t="array" ref="J629">_xlfn.IFS(I629=0,"Matched",I629&gt;0,"Excess",I629&lt;0,"Shortage")</f>
        <v>Matched</v>
      </c>
      <c r="K629" s="50">
        <f>ABS(Table13[[#This Row],[Stock Difference]])</f>
        <v>0</v>
      </c>
      <c r="L629" s="17">
        <f t="shared" si="27"/>
        <v>0</v>
      </c>
      <c r="M629" s="17">
        <f t="shared" si="28"/>
        <v>75000</v>
      </c>
      <c r="N629" s="17" t="str" cm="1">
        <f t="array" ref="N629">_xlfn.IFS(K629=0,"Matched", K629&gt;100,"High", K629&gt;=50,"Medium", K629&lt;50,"Low")</f>
        <v>Matched</v>
      </c>
      <c r="O629" s="17" t="str">
        <f t="shared" si="29"/>
        <v>No Match</v>
      </c>
    </row>
    <row r="630" spans="2:15" hidden="1" x14ac:dyDescent="0.3">
      <c r="B630" s="7">
        <v>628</v>
      </c>
      <c r="C630" s="3" t="s">
        <v>634</v>
      </c>
      <c r="D630" s="2" t="s">
        <v>1077</v>
      </c>
      <c r="E630" s="3" t="s">
        <v>1011</v>
      </c>
      <c r="F630" s="3">
        <v>194</v>
      </c>
      <c r="G630" s="3">
        <v>194</v>
      </c>
      <c r="H630" s="8">
        <v>5000</v>
      </c>
      <c r="I630" s="48">
        <f>Table13[[#This Row],[Physical_Stock_Qty]]-Table13[[#This Row],[System_Stock_Qty]]</f>
        <v>0</v>
      </c>
      <c r="J630" s="53" t="str" cm="1">
        <f t="array" ref="J630">_xlfn.IFS(I630=0,"Matched",I630&gt;0,"Excess",I630&lt;0,"Shortage")</f>
        <v>Matched</v>
      </c>
      <c r="K630" s="50">
        <f>ABS(Table13[[#This Row],[Stock Difference]])</f>
        <v>0</v>
      </c>
      <c r="L630" s="17">
        <f t="shared" si="27"/>
        <v>0</v>
      </c>
      <c r="M630" s="17">
        <f t="shared" si="28"/>
        <v>970000</v>
      </c>
      <c r="N630" s="17" t="str" cm="1">
        <f t="array" ref="N630">_xlfn.IFS(K630=0,"Matched", K630&gt;100,"High", K630&gt;=50,"Medium", K630&lt;50,"Low")</f>
        <v>Matched</v>
      </c>
      <c r="O630" s="17" t="str">
        <f t="shared" si="29"/>
        <v>No Match</v>
      </c>
    </row>
    <row r="631" spans="2:15" hidden="1" x14ac:dyDescent="0.3">
      <c r="B631" s="7">
        <v>629</v>
      </c>
      <c r="C631" s="3" t="s">
        <v>635</v>
      </c>
      <c r="D631" s="2" t="s">
        <v>1047</v>
      </c>
      <c r="E631" s="3" t="s">
        <v>1010</v>
      </c>
      <c r="F631" s="3">
        <v>65</v>
      </c>
      <c r="G631" s="3">
        <v>65</v>
      </c>
      <c r="H631" s="8">
        <v>500</v>
      </c>
      <c r="I631" s="48">
        <f>Table13[[#This Row],[Physical_Stock_Qty]]-Table13[[#This Row],[System_Stock_Qty]]</f>
        <v>0</v>
      </c>
      <c r="J631" s="53" t="str" cm="1">
        <f t="array" ref="J631">_xlfn.IFS(I631=0,"Matched",I631&gt;0,"Excess",I631&lt;0,"Shortage")</f>
        <v>Matched</v>
      </c>
      <c r="K631" s="50">
        <f>ABS(Table13[[#This Row],[Stock Difference]])</f>
        <v>0</v>
      </c>
      <c r="L631" s="17">
        <f t="shared" si="27"/>
        <v>0</v>
      </c>
      <c r="M631" s="17">
        <f t="shared" si="28"/>
        <v>32500</v>
      </c>
      <c r="N631" s="17" t="str" cm="1">
        <f t="array" ref="N631">_xlfn.IFS(K631=0,"Matched", K631&gt;100,"High", K631&gt;=50,"Medium", K631&lt;50,"Low")</f>
        <v>Matched</v>
      </c>
      <c r="O631" s="17" t="str">
        <f t="shared" si="29"/>
        <v>No Match</v>
      </c>
    </row>
    <row r="632" spans="2:15" hidden="1" x14ac:dyDescent="0.3">
      <c r="B632" s="7">
        <v>630</v>
      </c>
      <c r="C632" s="3" t="s">
        <v>636</v>
      </c>
      <c r="D632" s="2" t="s">
        <v>1059</v>
      </c>
      <c r="E632" s="3" t="s">
        <v>1012</v>
      </c>
      <c r="F632" s="3">
        <v>167</v>
      </c>
      <c r="G632" s="3">
        <v>167</v>
      </c>
      <c r="H632" s="8">
        <v>200</v>
      </c>
      <c r="I632" s="48">
        <f>Table13[[#This Row],[Physical_Stock_Qty]]-Table13[[#This Row],[System_Stock_Qty]]</f>
        <v>0</v>
      </c>
      <c r="J632" s="53" t="str" cm="1">
        <f t="array" ref="J632">_xlfn.IFS(I632=0,"Matched",I632&gt;0,"Excess",I632&lt;0,"Shortage")</f>
        <v>Matched</v>
      </c>
      <c r="K632" s="50">
        <f>ABS(Table13[[#This Row],[Stock Difference]])</f>
        <v>0</v>
      </c>
      <c r="L632" s="17">
        <f t="shared" si="27"/>
        <v>0</v>
      </c>
      <c r="M632" s="17">
        <f t="shared" si="28"/>
        <v>33400</v>
      </c>
      <c r="N632" s="17" t="str" cm="1">
        <f t="array" ref="N632">_xlfn.IFS(K632=0,"Matched", K632&gt;100,"High", K632&gt;=50,"Medium", K632&lt;50,"Low")</f>
        <v>Matched</v>
      </c>
      <c r="O632" s="17" t="str">
        <f t="shared" si="29"/>
        <v>No Match</v>
      </c>
    </row>
    <row r="633" spans="2:15" hidden="1" x14ac:dyDescent="0.3">
      <c r="B633" s="7">
        <v>631</v>
      </c>
      <c r="C633" s="3" t="s">
        <v>637</v>
      </c>
      <c r="D633" s="2" t="s">
        <v>1071</v>
      </c>
      <c r="E633" s="3" t="s">
        <v>1009</v>
      </c>
      <c r="F633" s="3">
        <v>171</v>
      </c>
      <c r="G633" s="3">
        <v>171</v>
      </c>
      <c r="H633" s="8">
        <v>200</v>
      </c>
      <c r="I633" s="48">
        <f>Table13[[#This Row],[Physical_Stock_Qty]]-Table13[[#This Row],[System_Stock_Qty]]</f>
        <v>0</v>
      </c>
      <c r="J633" s="53" t="str" cm="1">
        <f t="array" ref="J633">_xlfn.IFS(I633=0,"Matched",I633&gt;0,"Excess",I633&lt;0,"Shortage")</f>
        <v>Matched</v>
      </c>
      <c r="K633" s="50">
        <f>ABS(Table13[[#This Row],[Stock Difference]])</f>
        <v>0</v>
      </c>
      <c r="L633" s="17">
        <f t="shared" si="27"/>
        <v>0</v>
      </c>
      <c r="M633" s="17">
        <f t="shared" si="28"/>
        <v>34200</v>
      </c>
      <c r="N633" s="17" t="str" cm="1">
        <f t="array" ref="N633">_xlfn.IFS(K633=0,"Matched", K633&gt;100,"High", K633&gt;=50,"Medium", K633&lt;50,"Low")</f>
        <v>Matched</v>
      </c>
      <c r="O633" s="17" t="str">
        <f t="shared" si="29"/>
        <v>No Match</v>
      </c>
    </row>
    <row r="634" spans="2:15" hidden="1" x14ac:dyDescent="0.3">
      <c r="B634" s="7">
        <v>632</v>
      </c>
      <c r="C634" s="3" t="s">
        <v>638</v>
      </c>
      <c r="D634" s="2" t="s">
        <v>1051</v>
      </c>
      <c r="E634" s="3" t="s">
        <v>1010</v>
      </c>
      <c r="F634" s="3">
        <v>153</v>
      </c>
      <c r="G634" s="3">
        <v>153</v>
      </c>
      <c r="H634" s="8">
        <v>50</v>
      </c>
      <c r="I634" s="48">
        <f>Table13[[#This Row],[Physical_Stock_Qty]]-Table13[[#This Row],[System_Stock_Qty]]</f>
        <v>0</v>
      </c>
      <c r="J634" s="53" t="str" cm="1">
        <f t="array" ref="J634">_xlfn.IFS(I634=0,"Matched",I634&gt;0,"Excess",I634&lt;0,"Shortage")</f>
        <v>Matched</v>
      </c>
      <c r="K634" s="50">
        <f>ABS(Table13[[#This Row],[Stock Difference]])</f>
        <v>0</v>
      </c>
      <c r="L634" s="17">
        <f t="shared" si="27"/>
        <v>0</v>
      </c>
      <c r="M634" s="17">
        <f t="shared" si="28"/>
        <v>7650</v>
      </c>
      <c r="N634" s="17" t="str" cm="1">
        <f t="array" ref="N634">_xlfn.IFS(K634=0,"Matched", K634&gt;100,"High", K634&gt;=50,"Medium", K634&lt;50,"Low")</f>
        <v>Matched</v>
      </c>
      <c r="O634" s="17" t="str">
        <f t="shared" si="29"/>
        <v>No Match</v>
      </c>
    </row>
    <row r="635" spans="2:15" hidden="1" x14ac:dyDescent="0.3">
      <c r="B635" s="7">
        <v>633</v>
      </c>
      <c r="C635" s="3" t="s">
        <v>639</v>
      </c>
      <c r="D635" s="2" t="s">
        <v>1063</v>
      </c>
      <c r="E635" s="3" t="s">
        <v>1009</v>
      </c>
      <c r="F635" s="3">
        <v>109</v>
      </c>
      <c r="G635" s="3">
        <v>109</v>
      </c>
      <c r="H635" s="8">
        <v>4500</v>
      </c>
      <c r="I635" s="48">
        <f>Table13[[#This Row],[Physical_Stock_Qty]]-Table13[[#This Row],[System_Stock_Qty]]</f>
        <v>0</v>
      </c>
      <c r="J635" s="53" t="str" cm="1">
        <f t="array" ref="J635">_xlfn.IFS(I635=0,"Matched",I635&gt;0,"Excess",I635&lt;0,"Shortage")</f>
        <v>Matched</v>
      </c>
      <c r="K635" s="50">
        <f>ABS(Table13[[#This Row],[Stock Difference]])</f>
        <v>0</v>
      </c>
      <c r="L635" s="17">
        <f t="shared" si="27"/>
        <v>0</v>
      </c>
      <c r="M635" s="17">
        <f t="shared" si="28"/>
        <v>490500</v>
      </c>
      <c r="N635" s="17" t="str" cm="1">
        <f t="array" ref="N635">_xlfn.IFS(K635=0,"Matched", K635&gt;100,"High", K635&gt;=50,"Medium", K635&lt;50,"Low")</f>
        <v>Matched</v>
      </c>
      <c r="O635" s="17" t="str">
        <f t="shared" si="29"/>
        <v>No Match</v>
      </c>
    </row>
    <row r="636" spans="2:15" hidden="1" x14ac:dyDescent="0.3">
      <c r="B636" s="7">
        <v>634</v>
      </c>
      <c r="C636" s="3" t="s">
        <v>640</v>
      </c>
      <c r="D636" s="2" t="s">
        <v>1039</v>
      </c>
      <c r="E636" s="3" t="s">
        <v>1007</v>
      </c>
      <c r="F636" s="3">
        <v>161</v>
      </c>
      <c r="G636" s="3">
        <v>161</v>
      </c>
      <c r="H636" s="8">
        <v>12000</v>
      </c>
      <c r="I636" s="48">
        <f>Table13[[#This Row],[Physical_Stock_Qty]]-Table13[[#This Row],[System_Stock_Qty]]</f>
        <v>0</v>
      </c>
      <c r="J636" s="53" t="str" cm="1">
        <f t="array" ref="J636">_xlfn.IFS(I636=0,"Matched",I636&gt;0,"Excess",I636&lt;0,"Shortage")</f>
        <v>Matched</v>
      </c>
      <c r="K636" s="50">
        <f>ABS(Table13[[#This Row],[Stock Difference]])</f>
        <v>0</v>
      </c>
      <c r="L636" s="17">
        <f t="shared" si="27"/>
        <v>0</v>
      </c>
      <c r="M636" s="17">
        <f t="shared" si="28"/>
        <v>1932000</v>
      </c>
      <c r="N636" s="17" t="str" cm="1">
        <f t="array" ref="N636">_xlfn.IFS(K636=0,"Matched", K636&gt;100,"High", K636&gt;=50,"Medium", K636&lt;50,"Low")</f>
        <v>Matched</v>
      </c>
      <c r="O636" s="17" t="str">
        <f t="shared" si="29"/>
        <v>No Match</v>
      </c>
    </row>
    <row r="637" spans="2:15" hidden="1" x14ac:dyDescent="0.3">
      <c r="B637" s="7">
        <v>635</v>
      </c>
      <c r="C637" s="3" t="s">
        <v>641</v>
      </c>
      <c r="D637" s="2" t="s">
        <v>1056</v>
      </c>
      <c r="E637" s="3" t="s">
        <v>1012</v>
      </c>
      <c r="F637" s="3">
        <v>55</v>
      </c>
      <c r="G637" s="3">
        <v>55</v>
      </c>
      <c r="H637" s="8">
        <v>100</v>
      </c>
      <c r="I637" s="48">
        <f>Table13[[#This Row],[Physical_Stock_Qty]]-Table13[[#This Row],[System_Stock_Qty]]</f>
        <v>0</v>
      </c>
      <c r="J637" s="53" t="str" cm="1">
        <f t="array" ref="J637">_xlfn.IFS(I637=0,"Matched",I637&gt;0,"Excess",I637&lt;0,"Shortage")</f>
        <v>Matched</v>
      </c>
      <c r="K637" s="50">
        <f>ABS(Table13[[#This Row],[Stock Difference]])</f>
        <v>0</v>
      </c>
      <c r="L637" s="17">
        <f t="shared" si="27"/>
        <v>0</v>
      </c>
      <c r="M637" s="17">
        <f t="shared" si="28"/>
        <v>5500</v>
      </c>
      <c r="N637" s="17" t="str" cm="1">
        <f t="array" ref="N637">_xlfn.IFS(K637=0,"Matched", K637&gt;100,"High", K637&gt;=50,"Medium", K637&lt;50,"Low")</f>
        <v>Matched</v>
      </c>
      <c r="O637" s="17" t="str">
        <f t="shared" si="29"/>
        <v>No Match</v>
      </c>
    </row>
    <row r="638" spans="2:15" hidden="1" x14ac:dyDescent="0.3">
      <c r="B638" s="7">
        <v>636</v>
      </c>
      <c r="C638" s="3" t="s">
        <v>642</v>
      </c>
      <c r="D638" s="2" t="s">
        <v>1067</v>
      </c>
      <c r="E638" s="3" t="s">
        <v>1009</v>
      </c>
      <c r="F638" s="3">
        <v>181</v>
      </c>
      <c r="G638" s="3">
        <v>181</v>
      </c>
      <c r="H638" s="8">
        <v>100</v>
      </c>
      <c r="I638" s="48">
        <f>Table13[[#This Row],[Physical_Stock_Qty]]-Table13[[#This Row],[System_Stock_Qty]]</f>
        <v>0</v>
      </c>
      <c r="J638" s="53" t="str" cm="1">
        <f t="array" ref="J638">_xlfn.IFS(I638=0,"Matched",I638&gt;0,"Excess",I638&lt;0,"Shortage")</f>
        <v>Matched</v>
      </c>
      <c r="K638" s="50">
        <f>ABS(Table13[[#This Row],[Stock Difference]])</f>
        <v>0</v>
      </c>
      <c r="L638" s="17">
        <f t="shared" si="27"/>
        <v>0</v>
      </c>
      <c r="M638" s="17">
        <f t="shared" si="28"/>
        <v>18100</v>
      </c>
      <c r="N638" s="17" t="str" cm="1">
        <f t="array" ref="N638">_xlfn.IFS(K638=0,"Matched", K638&gt;100,"High", K638&gt;=50,"Medium", K638&lt;50,"Low")</f>
        <v>Matched</v>
      </c>
      <c r="O638" s="17" t="str">
        <f t="shared" si="29"/>
        <v>No Match</v>
      </c>
    </row>
    <row r="639" spans="2:15" hidden="1" x14ac:dyDescent="0.3">
      <c r="B639" s="7">
        <v>637</v>
      </c>
      <c r="C639" s="3" t="s">
        <v>643</v>
      </c>
      <c r="D639" s="2" t="s">
        <v>1054</v>
      </c>
      <c r="E639" s="3" t="s">
        <v>1010</v>
      </c>
      <c r="F639" s="3">
        <v>155</v>
      </c>
      <c r="G639" s="3">
        <v>155</v>
      </c>
      <c r="H639" s="8">
        <v>30</v>
      </c>
      <c r="I639" s="48">
        <f>Table13[[#This Row],[Physical_Stock_Qty]]-Table13[[#This Row],[System_Stock_Qty]]</f>
        <v>0</v>
      </c>
      <c r="J639" s="53" t="str" cm="1">
        <f t="array" ref="J639">_xlfn.IFS(I639=0,"Matched",I639&gt;0,"Excess",I639&lt;0,"Shortage")</f>
        <v>Matched</v>
      </c>
      <c r="K639" s="50">
        <f>ABS(Table13[[#This Row],[Stock Difference]])</f>
        <v>0</v>
      </c>
      <c r="L639" s="17">
        <f t="shared" si="27"/>
        <v>0</v>
      </c>
      <c r="M639" s="17">
        <f t="shared" si="28"/>
        <v>4650</v>
      </c>
      <c r="N639" s="17" t="str" cm="1">
        <f t="array" ref="N639">_xlfn.IFS(K639=0,"Matched", K639&gt;100,"High", K639&gt;=50,"Medium", K639&lt;50,"Low")</f>
        <v>Matched</v>
      </c>
      <c r="O639" s="17" t="str">
        <f t="shared" si="29"/>
        <v>No Match</v>
      </c>
    </row>
    <row r="640" spans="2:15" hidden="1" x14ac:dyDescent="0.3">
      <c r="B640" s="7">
        <v>638</v>
      </c>
      <c r="C640" s="3" t="s">
        <v>644</v>
      </c>
      <c r="D640" s="2" t="s">
        <v>1082</v>
      </c>
      <c r="E640" s="3" t="s">
        <v>1011</v>
      </c>
      <c r="F640" s="3">
        <v>43</v>
      </c>
      <c r="G640" s="3">
        <v>43</v>
      </c>
      <c r="H640" s="8">
        <v>2000</v>
      </c>
      <c r="I640" s="48">
        <f>Table13[[#This Row],[Physical_Stock_Qty]]-Table13[[#This Row],[System_Stock_Qty]]</f>
        <v>0</v>
      </c>
      <c r="J640" s="53" t="str" cm="1">
        <f t="array" ref="J640">_xlfn.IFS(I640=0,"Matched",I640&gt;0,"Excess",I640&lt;0,"Shortage")</f>
        <v>Matched</v>
      </c>
      <c r="K640" s="50">
        <f>ABS(Table13[[#This Row],[Stock Difference]])</f>
        <v>0</v>
      </c>
      <c r="L640" s="17">
        <f t="shared" si="27"/>
        <v>0</v>
      </c>
      <c r="M640" s="17">
        <f t="shared" si="28"/>
        <v>86000</v>
      </c>
      <c r="N640" s="17" t="str" cm="1">
        <f t="array" ref="N640">_xlfn.IFS(K640=0,"Matched", K640&gt;100,"High", K640&gt;=50,"Medium", K640&lt;50,"Low")</f>
        <v>Matched</v>
      </c>
      <c r="O640" s="17" t="str">
        <f t="shared" si="29"/>
        <v>No Match</v>
      </c>
    </row>
    <row r="641" spans="2:15" hidden="1" x14ac:dyDescent="0.3">
      <c r="B641" s="7">
        <v>639</v>
      </c>
      <c r="C641" s="3" t="s">
        <v>645</v>
      </c>
      <c r="D641" s="2" t="s">
        <v>1025</v>
      </c>
      <c r="E641" s="3" t="s">
        <v>1008</v>
      </c>
      <c r="F641" s="3">
        <v>133</v>
      </c>
      <c r="G641" s="3">
        <v>133</v>
      </c>
      <c r="H641" s="8">
        <v>30000</v>
      </c>
      <c r="I641" s="48">
        <f>Table13[[#This Row],[Physical_Stock_Qty]]-Table13[[#This Row],[System_Stock_Qty]]</f>
        <v>0</v>
      </c>
      <c r="J641" s="53" t="str" cm="1">
        <f t="array" ref="J641">_xlfn.IFS(I641=0,"Matched",I641&gt;0,"Excess",I641&lt;0,"Shortage")</f>
        <v>Matched</v>
      </c>
      <c r="K641" s="50">
        <f>ABS(Table13[[#This Row],[Stock Difference]])</f>
        <v>0</v>
      </c>
      <c r="L641" s="17">
        <f t="shared" si="27"/>
        <v>0</v>
      </c>
      <c r="M641" s="17">
        <f t="shared" si="28"/>
        <v>3990000</v>
      </c>
      <c r="N641" s="17" t="str" cm="1">
        <f t="array" ref="N641">_xlfn.IFS(K641=0,"Matched", K641&gt;100,"High", K641&gt;=50,"Medium", K641&lt;50,"Low")</f>
        <v>Matched</v>
      </c>
      <c r="O641" s="17" t="str">
        <f t="shared" si="29"/>
        <v>No Match</v>
      </c>
    </row>
    <row r="642" spans="2:15" hidden="1" x14ac:dyDescent="0.3">
      <c r="B642" s="7">
        <v>640</v>
      </c>
      <c r="C642" s="3" t="s">
        <v>646</v>
      </c>
      <c r="D642" s="2" t="s">
        <v>1023</v>
      </c>
      <c r="E642" s="3" t="s">
        <v>1008</v>
      </c>
      <c r="F642" s="3">
        <v>122</v>
      </c>
      <c r="G642" s="3">
        <v>122</v>
      </c>
      <c r="H642" s="8">
        <v>20000</v>
      </c>
      <c r="I642" s="48">
        <f>Table13[[#This Row],[Physical_Stock_Qty]]-Table13[[#This Row],[System_Stock_Qty]]</f>
        <v>0</v>
      </c>
      <c r="J642" s="53" t="str" cm="1">
        <f t="array" ref="J642">_xlfn.IFS(I642=0,"Matched",I642&gt;0,"Excess",I642&lt;0,"Shortage")</f>
        <v>Matched</v>
      </c>
      <c r="K642" s="50">
        <f>ABS(Table13[[#This Row],[Stock Difference]])</f>
        <v>0</v>
      </c>
      <c r="L642" s="17">
        <f t="shared" si="27"/>
        <v>0</v>
      </c>
      <c r="M642" s="17">
        <f t="shared" si="28"/>
        <v>2440000</v>
      </c>
      <c r="N642" s="17" t="str" cm="1">
        <f t="array" ref="N642">_xlfn.IFS(K642=0,"Matched", K642&gt;100,"High", K642&gt;=50,"Medium", K642&lt;50,"Low")</f>
        <v>Matched</v>
      </c>
      <c r="O642" s="17" t="str">
        <f t="shared" si="29"/>
        <v>No Match</v>
      </c>
    </row>
    <row r="643" spans="2:15" hidden="1" x14ac:dyDescent="0.3">
      <c r="B643" s="7">
        <v>641</v>
      </c>
      <c r="C643" s="3" t="s">
        <v>647</v>
      </c>
      <c r="D643" s="2" t="s">
        <v>1049</v>
      </c>
      <c r="E643" s="3" t="s">
        <v>1010</v>
      </c>
      <c r="F643" s="3">
        <v>140</v>
      </c>
      <c r="G643" s="3">
        <v>140</v>
      </c>
      <c r="H643" s="8">
        <v>20</v>
      </c>
      <c r="I643" s="48">
        <f>Table13[[#This Row],[Physical_Stock_Qty]]-Table13[[#This Row],[System_Stock_Qty]]</f>
        <v>0</v>
      </c>
      <c r="J643" s="53" t="str" cm="1">
        <f t="array" ref="J643">_xlfn.IFS(I643=0,"Matched",I643&gt;0,"Excess",I643&lt;0,"Shortage")</f>
        <v>Matched</v>
      </c>
      <c r="K643" s="50">
        <f>ABS(Table13[[#This Row],[Stock Difference]])</f>
        <v>0</v>
      </c>
      <c r="L643" s="17">
        <f t="shared" si="27"/>
        <v>0</v>
      </c>
      <c r="M643" s="17">
        <f t="shared" si="28"/>
        <v>2800</v>
      </c>
      <c r="N643" s="17" t="str" cm="1">
        <f t="array" ref="N643">_xlfn.IFS(K643=0,"Matched", K643&gt;100,"High", K643&gt;=50,"Medium", K643&lt;50,"Low")</f>
        <v>Matched</v>
      </c>
      <c r="O643" s="17" t="str">
        <f t="shared" si="29"/>
        <v>No Match</v>
      </c>
    </row>
    <row r="644" spans="2:15" hidden="1" x14ac:dyDescent="0.3">
      <c r="B644" s="7">
        <v>642</v>
      </c>
      <c r="C644" s="3" t="s">
        <v>648</v>
      </c>
      <c r="D644" s="2" t="s">
        <v>1079</v>
      </c>
      <c r="E644" s="3" t="s">
        <v>1011</v>
      </c>
      <c r="F644" s="3">
        <v>164</v>
      </c>
      <c r="G644" s="3">
        <v>164</v>
      </c>
      <c r="H644" s="8">
        <v>5000</v>
      </c>
      <c r="I644" s="48">
        <f>Table13[[#This Row],[Physical_Stock_Qty]]-Table13[[#This Row],[System_Stock_Qty]]</f>
        <v>0</v>
      </c>
      <c r="J644" s="53" t="str" cm="1">
        <f t="array" ref="J644">_xlfn.IFS(I644=0,"Matched",I644&gt;0,"Excess",I644&lt;0,"Shortage")</f>
        <v>Matched</v>
      </c>
      <c r="K644" s="50">
        <f>ABS(Table13[[#This Row],[Stock Difference]])</f>
        <v>0</v>
      </c>
      <c r="L644" s="17">
        <f t="shared" ref="L644:L707" si="30">(K644*H644)</f>
        <v>0</v>
      </c>
      <c r="M644" s="17">
        <f t="shared" ref="M644:M707" si="31">F644*H644</f>
        <v>820000</v>
      </c>
      <c r="N644" s="17" t="str" cm="1">
        <f t="array" ref="N644">_xlfn.IFS(K644=0,"Matched", K644&gt;100,"High", K644&gt;=50,"Medium", K644&lt;50,"Low")</f>
        <v>Matched</v>
      </c>
      <c r="O644" s="17" t="str">
        <f t="shared" ref="O644:O707" si="32">IF(L644&gt;500000,"Yes",IF(L644=0,"No Match","No"))</f>
        <v>No Match</v>
      </c>
    </row>
    <row r="645" spans="2:15" hidden="1" x14ac:dyDescent="0.3">
      <c r="B645" s="7">
        <v>643</v>
      </c>
      <c r="C645" s="3" t="s">
        <v>649</v>
      </c>
      <c r="D645" s="2" t="s">
        <v>1075</v>
      </c>
      <c r="E645" s="3" t="s">
        <v>1009</v>
      </c>
      <c r="F645" s="3">
        <v>105</v>
      </c>
      <c r="G645" s="3">
        <v>105</v>
      </c>
      <c r="H645" s="8">
        <v>2000</v>
      </c>
      <c r="I645" s="48">
        <f>Table13[[#This Row],[Physical_Stock_Qty]]-Table13[[#This Row],[System_Stock_Qty]]</f>
        <v>0</v>
      </c>
      <c r="J645" s="53" t="str" cm="1">
        <f t="array" ref="J645">_xlfn.IFS(I645=0,"Matched",I645&gt;0,"Excess",I645&lt;0,"Shortage")</f>
        <v>Matched</v>
      </c>
      <c r="K645" s="50">
        <f>ABS(Table13[[#This Row],[Stock Difference]])</f>
        <v>0</v>
      </c>
      <c r="L645" s="17">
        <f t="shared" si="30"/>
        <v>0</v>
      </c>
      <c r="M645" s="17">
        <f t="shared" si="31"/>
        <v>210000</v>
      </c>
      <c r="N645" s="17" t="str" cm="1">
        <f t="array" ref="N645">_xlfn.IFS(K645=0,"Matched", K645&gt;100,"High", K645&gt;=50,"Medium", K645&lt;50,"Low")</f>
        <v>Matched</v>
      </c>
      <c r="O645" s="17" t="str">
        <f t="shared" si="32"/>
        <v>No Match</v>
      </c>
    </row>
    <row r="646" spans="2:15" hidden="1" x14ac:dyDescent="0.3">
      <c r="B646" s="7">
        <v>644</v>
      </c>
      <c r="C646" s="3" t="s">
        <v>650</v>
      </c>
      <c r="D646" s="2" t="s">
        <v>1064</v>
      </c>
      <c r="E646" s="3" t="s">
        <v>1009</v>
      </c>
      <c r="F646" s="3">
        <v>63</v>
      </c>
      <c r="G646" s="3">
        <v>63</v>
      </c>
      <c r="H646" s="8">
        <v>15000</v>
      </c>
      <c r="I646" s="48">
        <f>Table13[[#This Row],[Physical_Stock_Qty]]-Table13[[#This Row],[System_Stock_Qty]]</f>
        <v>0</v>
      </c>
      <c r="J646" s="53" t="str" cm="1">
        <f t="array" ref="J646">_xlfn.IFS(I646=0,"Matched",I646&gt;0,"Excess",I646&lt;0,"Shortage")</f>
        <v>Matched</v>
      </c>
      <c r="K646" s="50">
        <f>ABS(Table13[[#This Row],[Stock Difference]])</f>
        <v>0</v>
      </c>
      <c r="L646" s="17">
        <f t="shared" si="30"/>
        <v>0</v>
      </c>
      <c r="M646" s="17">
        <f t="shared" si="31"/>
        <v>945000</v>
      </c>
      <c r="N646" s="17" t="str" cm="1">
        <f t="array" ref="N646">_xlfn.IFS(K646=0,"Matched", K646&gt;100,"High", K646&gt;=50,"Medium", K646&lt;50,"Low")</f>
        <v>Matched</v>
      </c>
      <c r="O646" s="17" t="str">
        <f t="shared" si="32"/>
        <v>No Match</v>
      </c>
    </row>
    <row r="647" spans="2:15" hidden="1" x14ac:dyDescent="0.3">
      <c r="B647" s="7">
        <v>645</v>
      </c>
      <c r="C647" s="3" t="s">
        <v>651</v>
      </c>
      <c r="D647" s="2" t="s">
        <v>1024</v>
      </c>
      <c r="E647" s="3" t="s">
        <v>1008</v>
      </c>
      <c r="F647" s="3">
        <v>156</v>
      </c>
      <c r="G647" s="3">
        <v>156</v>
      </c>
      <c r="H647" s="8">
        <v>150000</v>
      </c>
      <c r="I647" s="48">
        <f>Table13[[#This Row],[Physical_Stock_Qty]]-Table13[[#This Row],[System_Stock_Qty]]</f>
        <v>0</v>
      </c>
      <c r="J647" s="53" t="str" cm="1">
        <f t="array" ref="J647">_xlfn.IFS(I647=0,"Matched",I647&gt;0,"Excess",I647&lt;0,"Shortage")</f>
        <v>Matched</v>
      </c>
      <c r="K647" s="50">
        <f>ABS(Table13[[#This Row],[Stock Difference]])</f>
        <v>0</v>
      </c>
      <c r="L647" s="17">
        <f t="shared" si="30"/>
        <v>0</v>
      </c>
      <c r="M647" s="17">
        <f t="shared" si="31"/>
        <v>23400000</v>
      </c>
      <c r="N647" s="17" t="str" cm="1">
        <f t="array" ref="N647">_xlfn.IFS(K647=0,"Matched", K647&gt;100,"High", K647&gt;=50,"Medium", K647&lt;50,"Low")</f>
        <v>Matched</v>
      </c>
      <c r="O647" s="17" t="str">
        <f t="shared" si="32"/>
        <v>No Match</v>
      </c>
    </row>
    <row r="648" spans="2:15" hidden="1" x14ac:dyDescent="0.3">
      <c r="B648" s="7">
        <v>646</v>
      </c>
      <c r="C648" s="3" t="s">
        <v>652</v>
      </c>
      <c r="D648" s="2" t="s">
        <v>1071</v>
      </c>
      <c r="E648" s="3" t="s">
        <v>1009</v>
      </c>
      <c r="F648" s="3">
        <v>138</v>
      </c>
      <c r="G648" s="3">
        <v>138</v>
      </c>
      <c r="H648" s="8">
        <v>200</v>
      </c>
      <c r="I648" s="48">
        <f>Table13[[#This Row],[Physical_Stock_Qty]]-Table13[[#This Row],[System_Stock_Qty]]</f>
        <v>0</v>
      </c>
      <c r="J648" s="53" t="str" cm="1">
        <f t="array" ref="J648">_xlfn.IFS(I648=0,"Matched",I648&gt;0,"Excess",I648&lt;0,"Shortage")</f>
        <v>Matched</v>
      </c>
      <c r="K648" s="50">
        <f>ABS(Table13[[#This Row],[Stock Difference]])</f>
        <v>0</v>
      </c>
      <c r="L648" s="17">
        <f t="shared" si="30"/>
        <v>0</v>
      </c>
      <c r="M648" s="17">
        <f t="shared" si="31"/>
        <v>27600</v>
      </c>
      <c r="N648" s="17" t="str" cm="1">
        <f t="array" ref="N648">_xlfn.IFS(K648=0,"Matched", K648&gt;100,"High", K648&gt;=50,"Medium", K648&lt;50,"Low")</f>
        <v>Matched</v>
      </c>
      <c r="O648" s="17" t="str">
        <f t="shared" si="32"/>
        <v>No Match</v>
      </c>
    </row>
    <row r="649" spans="2:15" hidden="1" x14ac:dyDescent="0.3">
      <c r="B649" s="7">
        <v>647</v>
      </c>
      <c r="C649" s="3" t="s">
        <v>653</v>
      </c>
      <c r="D649" s="2" t="s">
        <v>1069</v>
      </c>
      <c r="E649" s="3" t="s">
        <v>1009</v>
      </c>
      <c r="F649" s="3">
        <v>108</v>
      </c>
      <c r="G649" s="3">
        <v>108</v>
      </c>
      <c r="H649" s="8">
        <v>200</v>
      </c>
      <c r="I649" s="48">
        <f>Table13[[#This Row],[Physical_Stock_Qty]]-Table13[[#This Row],[System_Stock_Qty]]</f>
        <v>0</v>
      </c>
      <c r="J649" s="53" t="str" cm="1">
        <f t="array" ref="J649">_xlfn.IFS(I649=0,"Matched",I649&gt;0,"Excess",I649&lt;0,"Shortage")</f>
        <v>Matched</v>
      </c>
      <c r="K649" s="50">
        <f>ABS(Table13[[#This Row],[Stock Difference]])</f>
        <v>0</v>
      </c>
      <c r="L649" s="17">
        <f t="shared" si="30"/>
        <v>0</v>
      </c>
      <c r="M649" s="17">
        <f t="shared" si="31"/>
        <v>21600</v>
      </c>
      <c r="N649" s="17" t="str" cm="1">
        <f t="array" ref="N649">_xlfn.IFS(K649=0,"Matched", K649&gt;100,"High", K649&gt;=50,"Medium", K649&lt;50,"Low")</f>
        <v>Matched</v>
      </c>
      <c r="O649" s="17" t="str">
        <f t="shared" si="32"/>
        <v>No Match</v>
      </c>
    </row>
    <row r="650" spans="2:15" hidden="1" x14ac:dyDescent="0.3">
      <c r="B650" s="7">
        <v>648</v>
      </c>
      <c r="C650" s="3" t="s">
        <v>654</v>
      </c>
      <c r="D650" s="2" t="s">
        <v>1047</v>
      </c>
      <c r="E650" s="3" t="s">
        <v>1010</v>
      </c>
      <c r="F650" s="3">
        <v>160</v>
      </c>
      <c r="G650" s="3">
        <v>160</v>
      </c>
      <c r="H650" s="8">
        <v>500</v>
      </c>
      <c r="I650" s="48">
        <f>Table13[[#This Row],[Physical_Stock_Qty]]-Table13[[#This Row],[System_Stock_Qty]]</f>
        <v>0</v>
      </c>
      <c r="J650" s="53" t="str" cm="1">
        <f t="array" ref="J650">_xlfn.IFS(I650=0,"Matched",I650&gt;0,"Excess",I650&lt;0,"Shortage")</f>
        <v>Matched</v>
      </c>
      <c r="K650" s="50">
        <f>ABS(Table13[[#This Row],[Stock Difference]])</f>
        <v>0</v>
      </c>
      <c r="L650" s="17">
        <f t="shared" si="30"/>
        <v>0</v>
      </c>
      <c r="M650" s="17">
        <f t="shared" si="31"/>
        <v>80000</v>
      </c>
      <c r="N650" s="17" t="str" cm="1">
        <f t="array" ref="N650">_xlfn.IFS(K650=0,"Matched", K650&gt;100,"High", K650&gt;=50,"Medium", K650&lt;50,"Low")</f>
        <v>Matched</v>
      </c>
      <c r="O650" s="17" t="str">
        <f t="shared" si="32"/>
        <v>No Match</v>
      </c>
    </row>
    <row r="651" spans="2:15" hidden="1" x14ac:dyDescent="0.3">
      <c r="B651" s="7">
        <v>649</v>
      </c>
      <c r="C651" s="3" t="s">
        <v>655</v>
      </c>
      <c r="D651" s="2" t="s">
        <v>1057</v>
      </c>
      <c r="E651" s="3" t="s">
        <v>1012</v>
      </c>
      <c r="F651" s="3">
        <v>41</v>
      </c>
      <c r="G651" s="3">
        <v>41</v>
      </c>
      <c r="H651" s="8">
        <v>500</v>
      </c>
      <c r="I651" s="48">
        <f>Table13[[#This Row],[Physical_Stock_Qty]]-Table13[[#This Row],[System_Stock_Qty]]</f>
        <v>0</v>
      </c>
      <c r="J651" s="53" t="str" cm="1">
        <f t="array" ref="J651">_xlfn.IFS(I651=0,"Matched",I651&gt;0,"Excess",I651&lt;0,"Shortage")</f>
        <v>Matched</v>
      </c>
      <c r="K651" s="50">
        <f>ABS(Table13[[#This Row],[Stock Difference]])</f>
        <v>0</v>
      </c>
      <c r="L651" s="17">
        <f t="shared" si="30"/>
        <v>0</v>
      </c>
      <c r="M651" s="17">
        <f t="shared" si="31"/>
        <v>20500</v>
      </c>
      <c r="N651" s="17" t="str" cm="1">
        <f t="array" ref="N651">_xlfn.IFS(K651=0,"Matched", K651&gt;100,"High", K651&gt;=50,"Medium", K651&lt;50,"Low")</f>
        <v>Matched</v>
      </c>
      <c r="O651" s="17" t="str">
        <f t="shared" si="32"/>
        <v>No Match</v>
      </c>
    </row>
    <row r="652" spans="2:15" hidden="1" x14ac:dyDescent="0.3">
      <c r="B652" s="7">
        <v>650</v>
      </c>
      <c r="C652" s="3" t="s">
        <v>656</v>
      </c>
      <c r="D652" s="2" t="s">
        <v>1025</v>
      </c>
      <c r="E652" s="3" t="s">
        <v>1008</v>
      </c>
      <c r="F652" s="3">
        <v>200</v>
      </c>
      <c r="G652" s="3">
        <v>200</v>
      </c>
      <c r="H652" s="8">
        <v>30000</v>
      </c>
      <c r="I652" s="48">
        <f>Table13[[#This Row],[Physical_Stock_Qty]]-Table13[[#This Row],[System_Stock_Qty]]</f>
        <v>0</v>
      </c>
      <c r="J652" s="53" t="str" cm="1">
        <f t="array" ref="J652">_xlfn.IFS(I652=0,"Matched",I652&gt;0,"Excess",I652&lt;0,"Shortage")</f>
        <v>Matched</v>
      </c>
      <c r="K652" s="50">
        <f>ABS(Table13[[#This Row],[Stock Difference]])</f>
        <v>0</v>
      </c>
      <c r="L652" s="17">
        <f t="shared" si="30"/>
        <v>0</v>
      </c>
      <c r="M652" s="17">
        <f t="shared" si="31"/>
        <v>6000000</v>
      </c>
      <c r="N652" s="17" t="str" cm="1">
        <f t="array" ref="N652">_xlfn.IFS(K652=0,"Matched", K652&gt;100,"High", K652&gt;=50,"Medium", K652&lt;50,"Low")</f>
        <v>Matched</v>
      </c>
      <c r="O652" s="17" t="str">
        <f t="shared" si="32"/>
        <v>No Match</v>
      </c>
    </row>
    <row r="653" spans="2:15" hidden="1" x14ac:dyDescent="0.3">
      <c r="B653" s="7">
        <v>651</v>
      </c>
      <c r="C653" s="3" t="s">
        <v>657</v>
      </c>
      <c r="D653" s="2" t="s">
        <v>1052</v>
      </c>
      <c r="E653" s="3" t="s">
        <v>1010</v>
      </c>
      <c r="F653" s="3">
        <v>159</v>
      </c>
      <c r="G653" s="3">
        <v>159</v>
      </c>
      <c r="H653" s="8">
        <v>100</v>
      </c>
      <c r="I653" s="48">
        <f>Table13[[#This Row],[Physical_Stock_Qty]]-Table13[[#This Row],[System_Stock_Qty]]</f>
        <v>0</v>
      </c>
      <c r="J653" s="53" t="str" cm="1">
        <f t="array" ref="J653">_xlfn.IFS(I653=0,"Matched",I653&gt;0,"Excess",I653&lt;0,"Shortage")</f>
        <v>Matched</v>
      </c>
      <c r="K653" s="50">
        <f>ABS(Table13[[#This Row],[Stock Difference]])</f>
        <v>0</v>
      </c>
      <c r="L653" s="17">
        <f t="shared" si="30"/>
        <v>0</v>
      </c>
      <c r="M653" s="17">
        <f t="shared" si="31"/>
        <v>15900</v>
      </c>
      <c r="N653" s="17" t="str" cm="1">
        <f t="array" ref="N653">_xlfn.IFS(K653=0,"Matched", K653&gt;100,"High", K653&gt;=50,"Medium", K653&lt;50,"Low")</f>
        <v>Matched</v>
      </c>
      <c r="O653" s="17" t="str">
        <f t="shared" si="32"/>
        <v>No Match</v>
      </c>
    </row>
    <row r="654" spans="2:15" hidden="1" x14ac:dyDescent="0.3">
      <c r="B654" s="7">
        <v>652</v>
      </c>
      <c r="C654" s="3" t="s">
        <v>658</v>
      </c>
      <c r="D654" s="2" t="s">
        <v>1064</v>
      </c>
      <c r="E654" s="3" t="s">
        <v>1009</v>
      </c>
      <c r="F654" s="3">
        <v>80</v>
      </c>
      <c r="G654" s="3">
        <v>80</v>
      </c>
      <c r="H654" s="8">
        <v>15000</v>
      </c>
      <c r="I654" s="48">
        <f>Table13[[#This Row],[Physical_Stock_Qty]]-Table13[[#This Row],[System_Stock_Qty]]</f>
        <v>0</v>
      </c>
      <c r="J654" s="53" t="str" cm="1">
        <f t="array" ref="J654">_xlfn.IFS(I654=0,"Matched",I654&gt;0,"Excess",I654&lt;0,"Shortage")</f>
        <v>Matched</v>
      </c>
      <c r="K654" s="50">
        <f>ABS(Table13[[#This Row],[Stock Difference]])</f>
        <v>0</v>
      </c>
      <c r="L654" s="17">
        <f t="shared" si="30"/>
        <v>0</v>
      </c>
      <c r="M654" s="17">
        <f t="shared" si="31"/>
        <v>1200000</v>
      </c>
      <c r="N654" s="17" t="str" cm="1">
        <f t="array" ref="N654">_xlfn.IFS(K654=0,"Matched", K654&gt;100,"High", K654&gt;=50,"Medium", K654&lt;50,"Low")</f>
        <v>Matched</v>
      </c>
      <c r="O654" s="17" t="str">
        <f t="shared" si="32"/>
        <v>No Match</v>
      </c>
    </row>
    <row r="655" spans="2:15" hidden="1" x14ac:dyDescent="0.3">
      <c r="B655" s="7">
        <v>653</v>
      </c>
      <c r="C655" s="3" t="s">
        <v>659</v>
      </c>
      <c r="D655" s="2" t="s">
        <v>1083</v>
      </c>
      <c r="E655" s="3" t="s">
        <v>1011</v>
      </c>
      <c r="F655" s="3">
        <v>42</v>
      </c>
      <c r="G655" s="3">
        <v>42</v>
      </c>
      <c r="H655" s="8">
        <v>3000</v>
      </c>
      <c r="I655" s="48">
        <f>Table13[[#This Row],[Physical_Stock_Qty]]-Table13[[#This Row],[System_Stock_Qty]]</f>
        <v>0</v>
      </c>
      <c r="J655" s="53" t="str" cm="1">
        <f t="array" ref="J655">_xlfn.IFS(I655=0,"Matched",I655&gt;0,"Excess",I655&lt;0,"Shortage")</f>
        <v>Matched</v>
      </c>
      <c r="K655" s="50">
        <f>ABS(Table13[[#This Row],[Stock Difference]])</f>
        <v>0</v>
      </c>
      <c r="L655" s="17">
        <f t="shared" si="30"/>
        <v>0</v>
      </c>
      <c r="M655" s="17">
        <f t="shared" si="31"/>
        <v>126000</v>
      </c>
      <c r="N655" s="17" t="str" cm="1">
        <f t="array" ref="N655">_xlfn.IFS(K655=0,"Matched", K655&gt;100,"High", K655&gt;=50,"Medium", K655&lt;50,"Low")</f>
        <v>Matched</v>
      </c>
      <c r="O655" s="17" t="str">
        <f t="shared" si="32"/>
        <v>No Match</v>
      </c>
    </row>
    <row r="656" spans="2:15" hidden="1" x14ac:dyDescent="0.3">
      <c r="B656" s="7">
        <v>654</v>
      </c>
      <c r="C656" s="3" t="s">
        <v>660</v>
      </c>
      <c r="D656" s="2" t="s">
        <v>1041</v>
      </c>
      <c r="E656" s="3" t="s">
        <v>1007</v>
      </c>
      <c r="F656" s="3">
        <v>34</v>
      </c>
      <c r="G656" s="3">
        <v>34</v>
      </c>
      <c r="H656" s="8">
        <v>2000</v>
      </c>
      <c r="I656" s="48">
        <f>Table13[[#This Row],[Physical_Stock_Qty]]-Table13[[#This Row],[System_Stock_Qty]]</f>
        <v>0</v>
      </c>
      <c r="J656" s="53" t="str" cm="1">
        <f t="array" ref="J656">_xlfn.IFS(I656=0,"Matched",I656&gt;0,"Excess",I656&lt;0,"Shortage")</f>
        <v>Matched</v>
      </c>
      <c r="K656" s="50">
        <f>ABS(Table13[[#This Row],[Stock Difference]])</f>
        <v>0</v>
      </c>
      <c r="L656" s="17">
        <f t="shared" si="30"/>
        <v>0</v>
      </c>
      <c r="M656" s="17">
        <f t="shared" si="31"/>
        <v>68000</v>
      </c>
      <c r="N656" s="17" t="str" cm="1">
        <f t="array" ref="N656">_xlfn.IFS(K656=0,"Matched", K656&gt;100,"High", K656&gt;=50,"Medium", K656&lt;50,"Low")</f>
        <v>Matched</v>
      </c>
      <c r="O656" s="17" t="str">
        <f t="shared" si="32"/>
        <v>No Match</v>
      </c>
    </row>
    <row r="657" spans="2:15" hidden="1" x14ac:dyDescent="0.3">
      <c r="B657" s="7">
        <v>655</v>
      </c>
      <c r="C657" s="3" t="s">
        <v>661</v>
      </c>
      <c r="D657" s="2" t="s">
        <v>1083</v>
      </c>
      <c r="E657" s="3" t="s">
        <v>1011</v>
      </c>
      <c r="F657" s="3">
        <v>73</v>
      </c>
      <c r="G657" s="3">
        <v>73</v>
      </c>
      <c r="H657" s="8">
        <v>3000</v>
      </c>
      <c r="I657" s="48">
        <f>Table13[[#This Row],[Physical_Stock_Qty]]-Table13[[#This Row],[System_Stock_Qty]]</f>
        <v>0</v>
      </c>
      <c r="J657" s="53" t="str" cm="1">
        <f t="array" ref="J657">_xlfn.IFS(I657=0,"Matched",I657&gt;0,"Excess",I657&lt;0,"Shortage")</f>
        <v>Matched</v>
      </c>
      <c r="K657" s="50">
        <f>ABS(Table13[[#This Row],[Stock Difference]])</f>
        <v>0</v>
      </c>
      <c r="L657" s="17">
        <f t="shared" si="30"/>
        <v>0</v>
      </c>
      <c r="M657" s="17">
        <f t="shared" si="31"/>
        <v>219000</v>
      </c>
      <c r="N657" s="17" t="str" cm="1">
        <f t="array" ref="N657">_xlfn.IFS(K657=0,"Matched", K657&gt;100,"High", K657&gt;=50,"Medium", K657&lt;50,"Low")</f>
        <v>Matched</v>
      </c>
      <c r="O657" s="17" t="str">
        <f t="shared" si="32"/>
        <v>No Match</v>
      </c>
    </row>
    <row r="658" spans="2:15" hidden="1" x14ac:dyDescent="0.3">
      <c r="B658" s="7">
        <v>656</v>
      </c>
      <c r="C658" s="3" t="s">
        <v>662</v>
      </c>
      <c r="D658" s="2" t="s">
        <v>1069</v>
      </c>
      <c r="E658" s="3" t="s">
        <v>1009</v>
      </c>
      <c r="F658" s="3">
        <v>120</v>
      </c>
      <c r="G658" s="3">
        <v>120</v>
      </c>
      <c r="H658" s="8">
        <v>200</v>
      </c>
      <c r="I658" s="48">
        <f>Table13[[#This Row],[Physical_Stock_Qty]]-Table13[[#This Row],[System_Stock_Qty]]</f>
        <v>0</v>
      </c>
      <c r="J658" s="53" t="str" cm="1">
        <f t="array" ref="J658">_xlfn.IFS(I658=0,"Matched",I658&gt;0,"Excess",I658&lt;0,"Shortage")</f>
        <v>Matched</v>
      </c>
      <c r="K658" s="50">
        <f>ABS(Table13[[#This Row],[Stock Difference]])</f>
        <v>0</v>
      </c>
      <c r="L658" s="17">
        <f t="shared" si="30"/>
        <v>0</v>
      </c>
      <c r="M658" s="17">
        <f t="shared" si="31"/>
        <v>24000</v>
      </c>
      <c r="N658" s="17" t="str" cm="1">
        <f t="array" ref="N658">_xlfn.IFS(K658=0,"Matched", K658&gt;100,"High", K658&gt;=50,"Medium", K658&lt;50,"Low")</f>
        <v>Matched</v>
      </c>
      <c r="O658" s="17" t="str">
        <f t="shared" si="32"/>
        <v>No Match</v>
      </c>
    </row>
    <row r="659" spans="2:15" hidden="1" x14ac:dyDescent="0.3">
      <c r="B659" s="7">
        <v>657</v>
      </c>
      <c r="C659" s="3" t="s">
        <v>663</v>
      </c>
      <c r="D659" s="2" t="s">
        <v>1028</v>
      </c>
      <c r="E659" s="3" t="s">
        <v>1008</v>
      </c>
      <c r="F659" s="3">
        <v>71</v>
      </c>
      <c r="G659" s="3">
        <v>71</v>
      </c>
      <c r="H659" s="8">
        <v>15000</v>
      </c>
      <c r="I659" s="48">
        <f>Table13[[#This Row],[Physical_Stock_Qty]]-Table13[[#This Row],[System_Stock_Qty]]</f>
        <v>0</v>
      </c>
      <c r="J659" s="53" t="str" cm="1">
        <f t="array" ref="J659">_xlfn.IFS(I659=0,"Matched",I659&gt;0,"Excess",I659&lt;0,"Shortage")</f>
        <v>Matched</v>
      </c>
      <c r="K659" s="50">
        <f>ABS(Table13[[#This Row],[Stock Difference]])</f>
        <v>0</v>
      </c>
      <c r="L659" s="17">
        <f t="shared" si="30"/>
        <v>0</v>
      </c>
      <c r="M659" s="17">
        <f t="shared" si="31"/>
        <v>1065000</v>
      </c>
      <c r="N659" s="17" t="str" cm="1">
        <f t="array" ref="N659">_xlfn.IFS(K659=0,"Matched", K659&gt;100,"High", K659&gt;=50,"Medium", K659&lt;50,"Low")</f>
        <v>Matched</v>
      </c>
      <c r="O659" s="17" t="str">
        <f t="shared" si="32"/>
        <v>No Match</v>
      </c>
    </row>
    <row r="660" spans="2:15" hidden="1" x14ac:dyDescent="0.3">
      <c r="B660" s="7">
        <v>658</v>
      </c>
      <c r="C660" s="3" t="s">
        <v>664</v>
      </c>
      <c r="D660" s="2" t="s">
        <v>1031</v>
      </c>
      <c r="E660" s="3" t="s">
        <v>1008</v>
      </c>
      <c r="F660" s="3">
        <v>71</v>
      </c>
      <c r="G660" s="3">
        <v>71</v>
      </c>
      <c r="H660" s="8">
        <v>40000</v>
      </c>
      <c r="I660" s="48">
        <f>Table13[[#This Row],[Physical_Stock_Qty]]-Table13[[#This Row],[System_Stock_Qty]]</f>
        <v>0</v>
      </c>
      <c r="J660" s="53" t="str" cm="1">
        <f t="array" ref="J660">_xlfn.IFS(I660=0,"Matched",I660&gt;0,"Excess",I660&lt;0,"Shortage")</f>
        <v>Matched</v>
      </c>
      <c r="K660" s="50">
        <f>ABS(Table13[[#This Row],[Stock Difference]])</f>
        <v>0</v>
      </c>
      <c r="L660" s="17">
        <f t="shared" si="30"/>
        <v>0</v>
      </c>
      <c r="M660" s="17">
        <f t="shared" si="31"/>
        <v>2840000</v>
      </c>
      <c r="N660" s="17" t="str" cm="1">
        <f t="array" ref="N660">_xlfn.IFS(K660=0,"Matched", K660&gt;100,"High", K660&gt;=50,"Medium", K660&lt;50,"Low")</f>
        <v>Matched</v>
      </c>
      <c r="O660" s="17" t="str">
        <f t="shared" si="32"/>
        <v>No Match</v>
      </c>
    </row>
    <row r="661" spans="2:15" hidden="1" x14ac:dyDescent="0.3">
      <c r="B661" s="7">
        <v>659</v>
      </c>
      <c r="C661" s="3" t="s">
        <v>665</v>
      </c>
      <c r="D661" s="2" t="s">
        <v>1054</v>
      </c>
      <c r="E661" s="3" t="s">
        <v>1010</v>
      </c>
      <c r="F661" s="3">
        <v>107</v>
      </c>
      <c r="G661" s="3">
        <v>107</v>
      </c>
      <c r="H661" s="8">
        <v>30</v>
      </c>
      <c r="I661" s="48">
        <f>Table13[[#This Row],[Physical_Stock_Qty]]-Table13[[#This Row],[System_Stock_Qty]]</f>
        <v>0</v>
      </c>
      <c r="J661" s="53" t="str" cm="1">
        <f t="array" ref="J661">_xlfn.IFS(I661=0,"Matched",I661&gt;0,"Excess",I661&lt;0,"Shortage")</f>
        <v>Matched</v>
      </c>
      <c r="K661" s="50">
        <f>ABS(Table13[[#This Row],[Stock Difference]])</f>
        <v>0</v>
      </c>
      <c r="L661" s="17">
        <f t="shared" si="30"/>
        <v>0</v>
      </c>
      <c r="M661" s="17">
        <f t="shared" si="31"/>
        <v>3210</v>
      </c>
      <c r="N661" s="17" t="str" cm="1">
        <f t="array" ref="N661">_xlfn.IFS(K661=0,"Matched", K661&gt;100,"High", K661&gt;=50,"Medium", K661&lt;50,"Low")</f>
        <v>Matched</v>
      </c>
      <c r="O661" s="17" t="str">
        <f t="shared" si="32"/>
        <v>No Match</v>
      </c>
    </row>
    <row r="662" spans="2:15" hidden="1" x14ac:dyDescent="0.3">
      <c r="B662" s="7">
        <v>660</v>
      </c>
      <c r="C662" s="3" t="s">
        <v>666</v>
      </c>
      <c r="D662" s="2" t="s">
        <v>1071</v>
      </c>
      <c r="E662" s="3" t="s">
        <v>1009</v>
      </c>
      <c r="F662" s="3">
        <v>125</v>
      </c>
      <c r="G662" s="3">
        <v>125</v>
      </c>
      <c r="H662" s="8">
        <v>200</v>
      </c>
      <c r="I662" s="48">
        <f>Table13[[#This Row],[Physical_Stock_Qty]]-Table13[[#This Row],[System_Stock_Qty]]</f>
        <v>0</v>
      </c>
      <c r="J662" s="53" t="str" cm="1">
        <f t="array" ref="J662">_xlfn.IFS(I662=0,"Matched",I662&gt;0,"Excess",I662&lt;0,"Shortage")</f>
        <v>Matched</v>
      </c>
      <c r="K662" s="50">
        <f>ABS(Table13[[#This Row],[Stock Difference]])</f>
        <v>0</v>
      </c>
      <c r="L662" s="17">
        <f t="shared" si="30"/>
        <v>0</v>
      </c>
      <c r="M662" s="17">
        <f t="shared" si="31"/>
        <v>25000</v>
      </c>
      <c r="N662" s="17" t="str" cm="1">
        <f t="array" ref="N662">_xlfn.IFS(K662=0,"Matched", K662&gt;100,"High", K662&gt;=50,"Medium", K662&lt;50,"Low")</f>
        <v>Matched</v>
      </c>
      <c r="O662" s="17" t="str">
        <f t="shared" si="32"/>
        <v>No Match</v>
      </c>
    </row>
    <row r="663" spans="2:15" hidden="1" x14ac:dyDescent="0.3">
      <c r="B663" s="7">
        <v>661</v>
      </c>
      <c r="C663" s="3" t="s">
        <v>667</v>
      </c>
      <c r="D663" s="2" t="s">
        <v>1073</v>
      </c>
      <c r="E663" s="3" t="s">
        <v>1009</v>
      </c>
      <c r="F663" s="3">
        <v>65</v>
      </c>
      <c r="G663" s="3">
        <v>65</v>
      </c>
      <c r="H663" s="8">
        <v>100</v>
      </c>
      <c r="I663" s="48">
        <f>Table13[[#This Row],[Physical_Stock_Qty]]-Table13[[#This Row],[System_Stock_Qty]]</f>
        <v>0</v>
      </c>
      <c r="J663" s="53" t="str" cm="1">
        <f t="array" ref="J663">_xlfn.IFS(I663=0,"Matched",I663&gt;0,"Excess",I663&lt;0,"Shortage")</f>
        <v>Matched</v>
      </c>
      <c r="K663" s="50">
        <f>ABS(Table13[[#This Row],[Stock Difference]])</f>
        <v>0</v>
      </c>
      <c r="L663" s="17">
        <f t="shared" si="30"/>
        <v>0</v>
      </c>
      <c r="M663" s="17">
        <f t="shared" si="31"/>
        <v>6500</v>
      </c>
      <c r="N663" s="17" t="str" cm="1">
        <f t="array" ref="N663">_xlfn.IFS(K663=0,"Matched", K663&gt;100,"High", K663&gt;=50,"Medium", K663&lt;50,"Low")</f>
        <v>Matched</v>
      </c>
      <c r="O663" s="17" t="str">
        <f t="shared" si="32"/>
        <v>No Match</v>
      </c>
    </row>
    <row r="664" spans="2:15" hidden="1" x14ac:dyDescent="0.3">
      <c r="B664" s="7">
        <v>662</v>
      </c>
      <c r="C664" s="3" t="s">
        <v>668</v>
      </c>
      <c r="D664" s="2" t="s">
        <v>1037</v>
      </c>
      <c r="E664" s="3" t="s">
        <v>1007</v>
      </c>
      <c r="F664" s="3">
        <v>94</v>
      </c>
      <c r="G664" s="3">
        <v>94</v>
      </c>
      <c r="H664" s="8">
        <v>10000</v>
      </c>
      <c r="I664" s="48">
        <f>Table13[[#This Row],[Physical_Stock_Qty]]-Table13[[#This Row],[System_Stock_Qty]]</f>
        <v>0</v>
      </c>
      <c r="J664" s="53" t="str" cm="1">
        <f t="array" ref="J664">_xlfn.IFS(I664=0,"Matched",I664&gt;0,"Excess",I664&lt;0,"Shortage")</f>
        <v>Matched</v>
      </c>
      <c r="K664" s="50">
        <f>ABS(Table13[[#This Row],[Stock Difference]])</f>
        <v>0</v>
      </c>
      <c r="L664" s="17">
        <f t="shared" si="30"/>
        <v>0</v>
      </c>
      <c r="M664" s="17">
        <f t="shared" si="31"/>
        <v>940000</v>
      </c>
      <c r="N664" s="17" t="str" cm="1">
        <f t="array" ref="N664">_xlfn.IFS(K664=0,"Matched", K664&gt;100,"High", K664&gt;=50,"Medium", K664&lt;50,"Low")</f>
        <v>Matched</v>
      </c>
      <c r="O664" s="17" t="str">
        <f t="shared" si="32"/>
        <v>No Match</v>
      </c>
    </row>
    <row r="665" spans="2:15" hidden="1" x14ac:dyDescent="0.3">
      <c r="B665" s="7">
        <v>663</v>
      </c>
      <c r="C665" s="3" t="s">
        <v>669</v>
      </c>
      <c r="D665" s="2" t="s">
        <v>1017</v>
      </c>
      <c r="E665" s="3" t="s">
        <v>1012</v>
      </c>
      <c r="F665" s="3">
        <v>179</v>
      </c>
      <c r="G665" s="3">
        <v>179</v>
      </c>
      <c r="H665" s="8">
        <v>200</v>
      </c>
      <c r="I665" s="48">
        <f>Table13[[#This Row],[Physical_Stock_Qty]]-Table13[[#This Row],[System_Stock_Qty]]</f>
        <v>0</v>
      </c>
      <c r="J665" s="53" t="str" cm="1">
        <f t="array" ref="J665">_xlfn.IFS(I665=0,"Matched",I665&gt;0,"Excess",I665&lt;0,"Shortage")</f>
        <v>Matched</v>
      </c>
      <c r="K665" s="50">
        <f>ABS(Table13[[#This Row],[Stock Difference]])</f>
        <v>0</v>
      </c>
      <c r="L665" s="17">
        <f t="shared" si="30"/>
        <v>0</v>
      </c>
      <c r="M665" s="17">
        <f t="shared" si="31"/>
        <v>35800</v>
      </c>
      <c r="N665" s="17" t="str" cm="1">
        <f t="array" ref="N665">_xlfn.IFS(K665=0,"Matched", K665&gt;100,"High", K665&gt;=50,"Medium", K665&lt;50,"Low")</f>
        <v>Matched</v>
      </c>
      <c r="O665" s="17" t="str">
        <f t="shared" si="32"/>
        <v>No Match</v>
      </c>
    </row>
    <row r="666" spans="2:15" hidden="1" x14ac:dyDescent="0.3">
      <c r="B666" s="7">
        <v>664</v>
      </c>
      <c r="C666" s="3" t="s">
        <v>670</v>
      </c>
      <c r="D666" s="2" t="s">
        <v>1054</v>
      </c>
      <c r="E666" s="3" t="s">
        <v>1010</v>
      </c>
      <c r="F666" s="3">
        <v>76</v>
      </c>
      <c r="G666" s="3">
        <v>76</v>
      </c>
      <c r="H666" s="8">
        <v>30</v>
      </c>
      <c r="I666" s="48">
        <f>Table13[[#This Row],[Physical_Stock_Qty]]-Table13[[#This Row],[System_Stock_Qty]]</f>
        <v>0</v>
      </c>
      <c r="J666" s="53" t="str" cm="1">
        <f t="array" ref="J666">_xlfn.IFS(I666=0,"Matched",I666&gt;0,"Excess",I666&lt;0,"Shortage")</f>
        <v>Matched</v>
      </c>
      <c r="K666" s="50">
        <f>ABS(Table13[[#This Row],[Stock Difference]])</f>
        <v>0</v>
      </c>
      <c r="L666" s="17">
        <f t="shared" si="30"/>
        <v>0</v>
      </c>
      <c r="M666" s="17">
        <f t="shared" si="31"/>
        <v>2280</v>
      </c>
      <c r="N666" s="17" t="str" cm="1">
        <f t="array" ref="N666">_xlfn.IFS(K666=0,"Matched", K666&gt;100,"High", K666&gt;=50,"Medium", K666&lt;50,"Low")</f>
        <v>Matched</v>
      </c>
      <c r="O666" s="17" t="str">
        <f t="shared" si="32"/>
        <v>No Match</v>
      </c>
    </row>
    <row r="667" spans="2:15" hidden="1" x14ac:dyDescent="0.3">
      <c r="B667" s="7">
        <v>665</v>
      </c>
      <c r="C667" s="3" t="s">
        <v>671</v>
      </c>
      <c r="D667" s="2" t="s">
        <v>1084</v>
      </c>
      <c r="E667" s="3" t="s">
        <v>1011</v>
      </c>
      <c r="F667" s="3">
        <v>60</v>
      </c>
      <c r="G667" s="3">
        <v>60</v>
      </c>
      <c r="H667" s="8">
        <v>2000</v>
      </c>
      <c r="I667" s="48">
        <f>Table13[[#This Row],[Physical_Stock_Qty]]-Table13[[#This Row],[System_Stock_Qty]]</f>
        <v>0</v>
      </c>
      <c r="J667" s="53" t="str" cm="1">
        <f t="array" ref="J667">_xlfn.IFS(I667=0,"Matched",I667&gt;0,"Excess",I667&lt;0,"Shortage")</f>
        <v>Matched</v>
      </c>
      <c r="K667" s="50">
        <f>ABS(Table13[[#This Row],[Stock Difference]])</f>
        <v>0</v>
      </c>
      <c r="L667" s="17">
        <f t="shared" si="30"/>
        <v>0</v>
      </c>
      <c r="M667" s="17">
        <f t="shared" si="31"/>
        <v>120000</v>
      </c>
      <c r="N667" s="17" t="str" cm="1">
        <f t="array" ref="N667">_xlfn.IFS(K667=0,"Matched", K667&gt;100,"High", K667&gt;=50,"Medium", K667&lt;50,"Low")</f>
        <v>Matched</v>
      </c>
      <c r="O667" s="17" t="str">
        <f t="shared" si="32"/>
        <v>No Match</v>
      </c>
    </row>
    <row r="668" spans="2:15" hidden="1" x14ac:dyDescent="0.3">
      <c r="B668" s="7">
        <v>666</v>
      </c>
      <c r="C668" s="3" t="s">
        <v>672</v>
      </c>
      <c r="D668" s="2" t="s">
        <v>1056</v>
      </c>
      <c r="E668" s="3" t="s">
        <v>1012</v>
      </c>
      <c r="F668" s="3">
        <v>122</v>
      </c>
      <c r="G668" s="3">
        <v>122</v>
      </c>
      <c r="H668" s="8">
        <v>100</v>
      </c>
      <c r="I668" s="48">
        <f>Table13[[#This Row],[Physical_Stock_Qty]]-Table13[[#This Row],[System_Stock_Qty]]</f>
        <v>0</v>
      </c>
      <c r="J668" s="53" t="str" cm="1">
        <f t="array" ref="J668">_xlfn.IFS(I668=0,"Matched",I668&gt;0,"Excess",I668&lt;0,"Shortage")</f>
        <v>Matched</v>
      </c>
      <c r="K668" s="50">
        <f>ABS(Table13[[#This Row],[Stock Difference]])</f>
        <v>0</v>
      </c>
      <c r="L668" s="17">
        <f t="shared" si="30"/>
        <v>0</v>
      </c>
      <c r="M668" s="17">
        <f t="shared" si="31"/>
        <v>12200</v>
      </c>
      <c r="N668" s="17" t="str" cm="1">
        <f t="array" ref="N668">_xlfn.IFS(K668=0,"Matched", K668&gt;100,"High", K668&gt;=50,"Medium", K668&lt;50,"Low")</f>
        <v>Matched</v>
      </c>
      <c r="O668" s="17" t="str">
        <f t="shared" si="32"/>
        <v>No Match</v>
      </c>
    </row>
    <row r="669" spans="2:15" hidden="1" x14ac:dyDescent="0.3">
      <c r="B669" s="7">
        <v>667</v>
      </c>
      <c r="C669" s="3" t="s">
        <v>673</v>
      </c>
      <c r="D669" s="2" t="s">
        <v>1057</v>
      </c>
      <c r="E669" s="3" t="s">
        <v>1012</v>
      </c>
      <c r="F669" s="3">
        <v>52</v>
      </c>
      <c r="G669" s="3">
        <v>52</v>
      </c>
      <c r="H669" s="8">
        <v>500</v>
      </c>
      <c r="I669" s="48">
        <f>Table13[[#This Row],[Physical_Stock_Qty]]-Table13[[#This Row],[System_Stock_Qty]]</f>
        <v>0</v>
      </c>
      <c r="J669" s="53" t="str" cm="1">
        <f t="array" ref="J669">_xlfn.IFS(I669=0,"Matched",I669&gt;0,"Excess",I669&lt;0,"Shortage")</f>
        <v>Matched</v>
      </c>
      <c r="K669" s="50">
        <f>ABS(Table13[[#This Row],[Stock Difference]])</f>
        <v>0</v>
      </c>
      <c r="L669" s="17">
        <f t="shared" si="30"/>
        <v>0</v>
      </c>
      <c r="M669" s="17">
        <f t="shared" si="31"/>
        <v>26000</v>
      </c>
      <c r="N669" s="17" t="str" cm="1">
        <f t="array" ref="N669">_xlfn.IFS(K669=0,"Matched", K669&gt;100,"High", K669&gt;=50,"Medium", K669&lt;50,"Low")</f>
        <v>Matched</v>
      </c>
      <c r="O669" s="17" t="str">
        <f t="shared" si="32"/>
        <v>No Match</v>
      </c>
    </row>
    <row r="670" spans="2:15" hidden="1" x14ac:dyDescent="0.3">
      <c r="B670" s="7">
        <v>668</v>
      </c>
      <c r="C670" s="3" t="s">
        <v>674</v>
      </c>
      <c r="D670" s="2" t="s">
        <v>1063</v>
      </c>
      <c r="E670" s="3" t="s">
        <v>1009</v>
      </c>
      <c r="F670" s="3">
        <v>44</v>
      </c>
      <c r="G670" s="3">
        <v>44</v>
      </c>
      <c r="H670" s="8">
        <v>4500</v>
      </c>
      <c r="I670" s="48">
        <f>Table13[[#This Row],[Physical_Stock_Qty]]-Table13[[#This Row],[System_Stock_Qty]]</f>
        <v>0</v>
      </c>
      <c r="J670" s="53" t="str" cm="1">
        <f t="array" ref="J670">_xlfn.IFS(I670=0,"Matched",I670&gt;0,"Excess",I670&lt;0,"Shortage")</f>
        <v>Matched</v>
      </c>
      <c r="K670" s="50">
        <f>ABS(Table13[[#This Row],[Stock Difference]])</f>
        <v>0</v>
      </c>
      <c r="L670" s="17">
        <f t="shared" si="30"/>
        <v>0</v>
      </c>
      <c r="M670" s="17">
        <f t="shared" si="31"/>
        <v>198000</v>
      </c>
      <c r="N670" s="17" t="str" cm="1">
        <f t="array" ref="N670">_xlfn.IFS(K670=0,"Matched", K670&gt;100,"High", K670&gt;=50,"Medium", K670&lt;50,"Low")</f>
        <v>Matched</v>
      </c>
      <c r="O670" s="17" t="str">
        <f t="shared" si="32"/>
        <v>No Match</v>
      </c>
    </row>
    <row r="671" spans="2:15" hidden="1" x14ac:dyDescent="0.3">
      <c r="B671" s="7">
        <v>669</v>
      </c>
      <c r="C671" s="3" t="s">
        <v>675</v>
      </c>
      <c r="D671" s="2" t="s">
        <v>1085</v>
      </c>
      <c r="E671" s="3" t="s">
        <v>1011</v>
      </c>
      <c r="F671" s="3">
        <v>88</v>
      </c>
      <c r="G671" s="3">
        <v>88</v>
      </c>
      <c r="H671" s="8">
        <v>1500</v>
      </c>
      <c r="I671" s="48">
        <f>Table13[[#This Row],[Physical_Stock_Qty]]-Table13[[#This Row],[System_Stock_Qty]]</f>
        <v>0</v>
      </c>
      <c r="J671" s="53" t="str" cm="1">
        <f t="array" ref="J671">_xlfn.IFS(I671=0,"Matched",I671&gt;0,"Excess",I671&lt;0,"Shortage")</f>
        <v>Matched</v>
      </c>
      <c r="K671" s="50">
        <f>ABS(Table13[[#This Row],[Stock Difference]])</f>
        <v>0</v>
      </c>
      <c r="L671" s="17">
        <f t="shared" si="30"/>
        <v>0</v>
      </c>
      <c r="M671" s="17">
        <f t="shared" si="31"/>
        <v>132000</v>
      </c>
      <c r="N671" s="17" t="str" cm="1">
        <f t="array" ref="N671">_xlfn.IFS(K671=0,"Matched", K671&gt;100,"High", K671&gt;=50,"Medium", K671&lt;50,"Low")</f>
        <v>Matched</v>
      </c>
      <c r="O671" s="17" t="str">
        <f t="shared" si="32"/>
        <v>No Match</v>
      </c>
    </row>
    <row r="672" spans="2:15" hidden="1" x14ac:dyDescent="0.3">
      <c r="B672" s="7">
        <v>670</v>
      </c>
      <c r="C672" s="3" t="s">
        <v>676</v>
      </c>
      <c r="D672" s="2" t="s">
        <v>1017</v>
      </c>
      <c r="E672" s="3" t="s">
        <v>1012</v>
      </c>
      <c r="F672" s="3">
        <v>100</v>
      </c>
      <c r="G672" s="3">
        <v>100</v>
      </c>
      <c r="H672" s="8">
        <v>200</v>
      </c>
      <c r="I672" s="48">
        <f>Table13[[#This Row],[Physical_Stock_Qty]]-Table13[[#This Row],[System_Stock_Qty]]</f>
        <v>0</v>
      </c>
      <c r="J672" s="53" t="str" cm="1">
        <f t="array" ref="J672">_xlfn.IFS(I672=0,"Matched",I672&gt;0,"Excess",I672&lt;0,"Shortage")</f>
        <v>Matched</v>
      </c>
      <c r="K672" s="50">
        <f>ABS(Table13[[#This Row],[Stock Difference]])</f>
        <v>0</v>
      </c>
      <c r="L672" s="17">
        <f t="shared" si="30"/>
        <v>0</v>
      </c>
      <c r="M672" s="17">
        <f t="shared" si="31"/>
        <v>20000</v>
      </c>
      <c r="N672" s="17" t="str" cm="1">
        <f t="array" ref="N672">_xlfn.IFS(K672=0,"Matched", K672&gt;100,"High", K672&gt;=50,"Medium", K672&lt;50,"Low")</f>
        <v>Matched</v>
      </c>
      <c r="O672" s="17" t="str">
        <f t="shared" si="32"/>
        <v>No Match</v>
      </c>
    </row>
    <row r="673" spans="2:15" hidden="1" x14ac:dyDescent="0.3">
      <c r="B673" s="7">
        <v>671</v>
      </c>
      <c r="C673" s="3" t="s">
        <v>677</v>
      </c>
      <c r="D673" s="2" t="s">
        <v>1056</v>
      </c>
      <c r="E673" s="3" t="s">
        <v>1012</v>
      </c>
      <c r="F673" s="3">
        <v>152</v>
      </c>
      <c r="G673" s="3">
        <v>152</v>
      </c>
      <c r="H673" s="8">
        <v>100</v>
      </c>
      <c r="I673" s="48">
        <f>Table13[[#This Row],[Physical_Stock_Qty]]-Table13[[#This Row],[System_Stock_Qty]]</f>
        <v>0</v>
      </c>
      <c r="J673" s="53" t="str" cm="1">
        <f t="array" ref="J673">_xlfn.IFS(I673=0,"Matched",I673&gt;0,"Excess",I673&lt;0,"Shortage")</f>
        <v>Matched</v>
      </c>
      <c r="K673" s="50">
        <f>ABS(Table13[[#This Row],[Stock Difference]])</f>
        <v>0</v>
      </c>
      <c r="L673" s="17">
        <f t="shared" si="30"/>
        <v>0</v>
      </c>
      <c r="M673" s="17">
        <f t="shared" si="31"/>
        <v>15200</v>
      </c>
      <c r="N673" s="17" t="str" cm="1">
        <f t="array" ref="N673">_xlfn.IFS(K673=0,"Matched", K673&gt;100,"High", K673&gt;=50,"Medium", K673&lt;50,"Low")</f>
        <v>Matched</v>
      </c>
      <c r="O673" s="17" t="str">
        <f t="shared" si="32"/>
        <v>No Match</v>
      </c>
    </row>
    <row r="674" spans="2:15" hidden="1" x14ac:dyDescent="0.3">
      <c r="B674" s="7">
        <v>672</v>
      </c>
      <c r="C674" s="3" t="s">
        <v>678</v>
      </c>
      <c r="D674" s="2" t="s">
        <v>1041</v>
      </c>
      <c r="E674" s="3" t="s">
        <v>1007</v>
      </c>
      <c r="F674" s="3">
        <v>91</v>
      </c>
      <c r="G674" s="3">
        <v>91</v>
      </c>
      <c r="H674" s="8">
        <v>2000</v>
      </c>
      <c r="I674" s="48">
        <f>Table13[[#This Row],[Physical_Stock_Qty]]-Table13[[#This Row],[System_Stock_Qty]]</f>
        <v>0</v>
      </c>
      <c r="J674" s="53" t="str" cm="1">
        <f t="array" ref="J674">_xlfn.IFS(I674=0,"Matched",I674&gt;0,"Excess",I674&lt;0,"Shortage")</f>
        <v>Matched</v>
      </c>
      <c r="K674" s="50">
        <f>ABS(Table13[[#This Row],[Stock Difference]])</f>
        <v>0</v>
      </c>
      <c r="L674" s="17">
        <f t="shared" si="30"/>
        <v>0</v>
      </c>
      <c r="M674" s="17">
        <f t="shared" si="31"/>
        <v>182000</v>
      </c>
      <c r="N674" s="17" t="str" cm="1">
        <f t="array" ref="N674">_xlfn.IFS(K674=0,"Matched", K674&gt;100,"High", K674&gt;=50,"Medium", K674&lt;50,"Low")</f>
        <v>Matched</v>
      </c>
      <c r="O674" s="17" t="str">
        <f t="shared" si="32"/>
        <v>No Match</v>
      </c>
    </row>
    <row r="675" spans="2:15" hidden="1" x14ac:dyDescent="0.3">
      <c r="B675" s="7">
        <v>673</v>
      </c>
      <c r="C675" s="3" t="s">
        <v>679</v>
      </c>
      <c r="D675" s="2" t="s">
        <v>1030</v>
      </c>
      <c r="E675" s="3" t="s">
        <v>1008</v>
      </c>
      <c r="F675" s="3">
        <v>85</v>
      </c>
      <c r="G675" s="3">
        <v>85</v>
      </c>
      <c r="H675" s="8">
        <v>70000</v>
      </c>
      <c r="I675" s="48">
        <f>Table13[[#This Row],[Physical_Stock_Qty]]-Table13[[#This Row],[System_Stock_Qty]]</f>
        <v>0</v>
      </c>
      <c r="J675" s="53" t="str" cm="1">
        <f t="array" ref="J675">_xlfn.IFS(I675=0,"Matched",I675&gt;0,"Excess",I675&lt;0,"Shortage")</f>
        <v>Matched</v>
      </c>
      <c r="K675" s="50">
        <f>ABS(Table13[[#This Row],[Stock Difference]])</f>
        <v>0</v>
      </c>
      <c r="L675" s="17">
        <f t="shared" si="30"/>
        <v>0</v>
      </c>
      <c r="M675" s="17">
        <f t="shared" si="31"/>
        <v>5950000</v>
      </c>
      <c r="N675" s="17" t="str" cm="1">
        <f t="array" ref="N675">_xlfn.IFS(K675=0,"Matched", K675&gt;100,"High", K675&gt;=50,"Medium", K675&lt;50,"Low")</f>
        <v>Matched</v>
      </c>
      <c r="O675" s="17" t="str">
        <f t="shared" si="32"/>
        <v>No Match</v>
      </c>
    </row>
    <row r="676" spans="2:15" hidden="1" x14ac:dyDescent="0.3">
      <c r="B676" s="7">
        <v>674</v>
      </c>
      <c r="C676" s="3" t="s">
        <v>680</v>
      </c>
      <c r="D676" s="2" t="s">
        <v>1066</v>
      </c>
      <c r="E676" s="3" t="s">
        <v>1009</v>
      </c>
      <c r="F676" s="3">
        <v>176</v>
      </c>
      <c r="G676" s="3">
        <v>176</v>
      </c>
      <c r="H676" s="8">
        <v>800</v>
      </c>
      <c r="I676" s="48">
        <f>Table13[[#This Row],[Physical_Stock_Qty]]-Table13[[#This Row],[System_Stock_Qty]]</f>
        <v>0</v>
      </c>
      <c r="J676" s="53" t="str" cm="1">
        <f t="array" ref="J676">_xlfn.IFS(I676=0,"Matched",I676&gt;0,"Excess",I676&lt;0,"Shortage")</f>
        <v>Matched</v>
      </c>
      <c r="K676" s="50">
        <f>ABS(Table13[[#This Row],[Stock Difference]])</f>
        <v>0</v>
      </c>
      <c r="L676" s="17">
        <f t="shared" si="30"/>
        <v>0</v>
      </c>
      <c r="M676" s="17">
        <f t="shared" si="31"/>
        <v>140800</v>
      </c>
      <c r="N676" s="17" t="str" cm="1">
        <f t="array" ref="N676">_xlfn.IFS(K676=0,"Matched", K676&gt;100,"High", K676&gt;=50,"Medium", K676&lt;50,"Low")</f>
        <v>Matched</v>
      </c>
      <c r="O676" s="17" t="str">
        <f t="shared" si="32"/>
        <v>No Match</v>
      </c>
    </row>
    <row r="677" spans="2:15" hidden="1" x14ac:dyDescent="0.3">
      <c r="B677" s="7">
        <v>675</v>
      </c>
      <c r="C677" s="3" t="s">
        <v>681</v>
      </c>
      <c r="D677" s="2" t="s">
        <v>1031</v>
      </c>
      <c r="E677" s="3" t="s">
        <v>1008</v>
      </c>
      <c r="F677" s="3">
        <v>186</v>
      </c>
      <c r="G677" s="3">
        <v>186</v>
      </c>
      <c r="H677" s="8">
        <v>40000</v>
      </c>
      <c r="I677" s="48">
        <f>Table13[[#This Row],[Physical_Stock_Qty]]-Table13[[#This Row],[System_Stock_Qty]]</f>
        <v>0</v>
      </c>
      <c r="J677" s="53" t="str" cm="1">
        <f t="array" ref="J677">_xlfn.IFS(I677=0,"Matched",I677&gt;0,"Excess",I677&lt;0,"Shortage")</f>
        <v>Matched</v>
      </c>
      <c r="K677" s="50">
        <f>ABS(Table13[[#This Row],[Stock Difference]])</f>
        <v>0</v>
      </c>
      <c r="L677" s="17">
        <f t="shared" si="30"/>
        <v>0</v>
      </c>
      <c r="M677" s="17">
        <f t="shared" si="31"/>
        <v>7440000</v>
      </c>
      <c r="N677" s="17" t="str" cm="1">
        <f t="array" ref="N677">_xlfn.IFS(K677=0,"Matched", K677&gt;100,"High", K677&gt;=50,"Medium", K677&lt;50,"Low")</f>
        <v>Matched</v>
      </c>
      <c r="O677" s="17" t="str">
        <f t="shared" si="32"/>
        <v>No Match</v>
      </c>
    </row>
    <row r="678" spans="2:15" hidden="1" x14ac:dyDescent="0.3">
      <c r="B678" s="7">
        <v>676</v>
      </c>
      <c r="C678" s="3" t="s">
        <v>682</v>
      </c>
      <c r="D678" s="2" t="s">
        <v>1033</v>
      </c>
      <c r="E678" s="3" t="s">
        <v>1008</v>
      </c>
      <c r="F678" s="3">
        <v>51</v>
      </c>
      <c r="G678" s="3">
        <v>51</v>
      </c>
      <c r="H678" s="8">
        <v>4000</v>
      </c>
      <c r="I678" s="48">
        <f>Table13[[#This Row],[Physical_Stock_Qty]]-Table13[[#This Row],[System_Stock_Qty]]</f>
        <v>0</v>
      </c>
      <c r="J678" s="53" t="str" cm="1">
        <f t="array" ref="J678">_xlfn.IFS(I678=0,"Matched",I678&gt;0,"Excess",I678&lt;0,"Shortage")</f>
        <v>Matched</v>
      </c>
      <c r="K678" s="50">
        <f>ABS(Table13[[#This Row],[Stock Difference]])</f>
        <v>0</v>
      </c>
      <c r="L678" s="17">
        <f t="shared" si="30"/>
        <v>0</v>
      </c>
      <c r="M678" s="17">
        <f t="shared" si="31"/>
        <v>204000</v>
      </c>
      <c r="N678" s="17" t="str" cm="1">
        <f t="array" ref="N678">_xlfn.IFS(K678=0,"Matched", K678&gt;100,"High", K678&gt;=50,"Medium", K678&lt;50,"Low")</f>
        <v>Matched</v>
      </c>
      <c r="O678" s="17" t="str">
        <f t="shared" si="32"/>
        <v>No Match</v>
      </c>
    </row>
    <row r="679" spans="2:15" hidden="1" x14ac:dyDescent="0.3">
      <c r="B679" s="7">
        <v>677</v>
      </c>
      <c r="C679" s="3" t="s">
        <v>683</v>
      </c>
      <c r="D679" s="2" t="s">
        <v>1038</v>
      </c>
      <c r="E679" s="3" t="s">
        <v>1007</v>
      </c>
      <c r="F679" s="3">
        <v>58</v>
      </c>
      <c r="G679" s="3">
        <v>58</v>
      </c>
      <c r="H679" s="8">
        <v>5000</v>
      </c>
      <c r="I679" s="48">
        <f>Table13[[#This Row],[Physical_Stock_Qty]]-Table13[[#This Row],[System_Stock_Qty]]</f>
        <v>0</v>
      </c>
      <c r="J679" s="53" t="str" cm="1">
        <f t="array" ref="J679">_xlfn.IFS(I679=0,"Matched",I679&gt;0,"Excess",I679&lt;0,"Shortage")</f>
        <v>Matched</v>
      </c>
      <c r="K679" s="50">
        <f>ABS(Table13[[#This Row],[Stock Difference]])</f>
        <v>0</v>
      </c>
      <c r="L679" s="17">
        <f t="shared" si="30"/>
        <v>0</v>
      </c>
      <c r="M679" s="17">
        <f t="shared" si="31"/>
        <v>290000</v>
      </c>
      <c r="N679" s="17" t="str" cm="1">
        <f t="array" ref="N679">_xlfn.IFS(K679=0,"Matched", K679&gt;100,"High", K679&gt;=50,"Medium", K679&lt;50,"Low")</f>
        <v>Matched</v>
      </c>
      <c r="O679" s="17" t="str">
        <f t="shared" si="32"/>
        <v>No Match</v>
      </c>
    </row>
    <row r="680" spans="2:15" hidden="1" x14ac:dyDescent="0.3">
      <c r="B680" s="7">
        <v>678</v>
      </c>
      <c r="C680" s="3" t="s">
        <v>684</v>
      </c>
      <c r="D680" s="2" t="s">
        <v>1026</v>
      </c>
      <c r="E680" s="3" t="s">
        <v>1008</v>
      </c>
      <c r="F680" s="3">
        <v>120</v>
      </c>
      <c r="G680" s="3">
        <v>120</v>
      </c>
      <c r="H680" s="8">
        <v>6000</v>
      </c>
      <c r="I680" s="48">
        <f>Table13[[#This Row],[Physical_Stock_Qty]]-Table13[[#This Row],[System_Stock_Qty]]</f>
        <v>0</v>
      </c>
      <c r="J680" s="53" t="str" cm="1">
        <f t="array" ref="J680">_xlfn.IFS(I680=0,"Matched",I680&gt;0,"Excess",I680&lt;0,"Shortage")</f>
        <v>Matched</v>
      </c>
      <c r="K680" s="50">
        <f>ABS(Table13[[#This Row],[Stock Difference]])</f>
        <v>0</v>
      </c>
      <c r="L680" s="17">
        <f t="shared" si="30"/>
        <v>0</v>
      </c>
      <c r="M680" s="17">
        <f t="shared" si="31"/>
        <v>720000</v>
      </c>
      <c r="N680" s="17" t="str" cm="1">
        <f t="array" ref="N680">_xlfn.IFS(K680=0,"Matched", K680&gt;100,"High", K680&gt;=50,"Medium", K680&lt;50,"Low")</f>
        <v>Matched</v>
      </c>
      <c r="O680" s="17" t="str">
        <f t="shared" si="32"/>
        <v>No Match</v>
      </c>
    </row>
    <row r="681" spans="2:15" hidden="1" x14ac:dyDescent="0.3">
      <c r="B681" s="7">
        <v>679</v>
      </c>
      <c r="C681" s="3" t="s">
        <v>685</v>
      </c>
      <c r="D681" s="2" t="s">
        <v>1077</v>
      </c>
      <c r="E681" s="3" t="s">
        <v>1011</v>
      </c>
      <c r="F681" s="3">
        <v>65</v>
      </c>
      <c r="G681" s="3">
        <v>65</v>
      </c>
      <c r="H681" s="8">
        <v>5000</v>
      </c>
      <c r="I681" s="48">
        <f>Table13[[#This Row],[Physical_Stock_Qty]]-Table13[[#This Row],[System_Stock_Qty]]</f>
        <v>0</v>
      </c>
      <c r="J681" s="53" t="str" cm="1">
        <f t="array" ref="J681">_xlfn.IFS(I681=0,"Matched",I681&gt;0,"Excess",I681&lt;0,"Shortage")</f>
        <v>Matched</v>
      </c>
      <c r="K681" s="50">
        <f>ABS(Table13[[#This Row],[Stock Difference]])</f>
        <v>0</v>
      </c>
      <c r="L681" s="17">
        <f t="shared" si="30"/>
        <v>0</v>
      </c>
      <c r="M681" s="17">
        <f t="shared" si="31"/>
        <v>325000</v>
      </c>
      <c r="N681" s="17" t="str" cm="1">
        <f t="array" ref="N681">_xlfn.IFS(K681=0,"Matched", K681&gt;100,"High", K681&gt;=50,"Medium", K681&lt;50,"Low")</f>
        <v>Matched</v>
      </c>
      <c r="O681" s="17" t="str">
        <f t="shared" si="32"/>
        <v>No Match</v>
      </c>
    </row>
    <row r="682" spans="2:15" hidden="1" x14ac:dyDescent="0.3">
      <c r="B682" s="7">
        <v>680</v>
      </c>
      <c r="C682" s="3" t="s">
        <v>686</v>
      </c>
      <c r="D682" s="2" t="s">
        <v>1055</v>
      </c>
      <c r="E682" s="3" t="s">
        <v>1010</v>
      </c>
      <c r="F682" s="3">
        <v>61</v>
      </c>
      <c r="G682" s="3">
        <v>61</v>
      </c>
      <c r="H682" s="8">
        <v>50</v>
      </c>
      <c r="I682" s="48">
        <f>Table13[[#This Row],[Physical_Stock_Qty]]-Table13[[#This Row],[System_Stock_Qty]]</f>
        <v>0</v>
      </c>
      <c r="J682" s="53" t="str" cm="1">
        <f t="array" ref="J682">_xlfn.IFS(I682=0,"Matched",I682&gt;0,"Excess",I682&lt;0,"Shortage")</f>
        <v>Matched</v>
      </c>
      <c r="K682" s="50">
        <f>ABS(Table13[[#This Row],[Stock Difference]])</f>
        <v>0</v>
      </c>
      <c r="L682" s="17">
        <f t="shared" si="30"/>
        <v>0</v>
      </c>
      <c r="M682" s="17">
        <f t="shared" si="31"/>
        <v>3050</v>
      </c>
      <c r="N682" s="17" t="str" cm="1">
        <f t="array" ref="N682">_xlfn.IFS(K682=0,"Matched", K682&gt;100,"High", K682&gt;=50,"Medium", K682&lt;50,"Low")</f>
        <v>Matched</v>
      </c>
      <c r="O682" s="17" t="str">
        <f t="shared" si="32"/>
        <v>No Match</v>
      </c>
    </row>
    <row r="683" spans="2:15" hidden="1" x14ac:dyDescent="0.3">
      <c r="B683" s="7">
        <v>681</v>
      </c>
      <c r="C683" s="3" t="s">
        <v>687</v>
      </c>
      <c r="D683" s="2" t="s">
        <v>1031</v>
      </c>
      <c r="E683" s="3" t="s">
        <v>1008</v>
      </c>
      <c r="F683" s="3">
        <v>56</v>
      </c>
      <c r="G683" s="3">
        <v>56</v>
      </c>
      <c r="H683" s="8">
        <v>40000</v>
      </c>
      <c r="I683" s="48">
        <f>Table13[[#This Row],[Physical_Stock_Qty]]-Table13[[#This Row],[System_Stock_Qty]]</f>
        <v>0</v>
      </c>
      <c r="J683" s="53" t="str" cm="1">
        <f t="array" ref="J683">_xlfn.IFS(I683=0,"Matched",I683&gt;0,"Excess",I683&lt;0,"Shortage")</f>
        <v>Matched</v>
      </c>
      <c r="K683" s="50">
        <f>ABS(Table13[[#This Row],[Stock Difference]])</f>
        <v>0</v>
      </c>
      <c r="L683" s="17">
        <f t="shared" si="30"/>
        <v>0</v>
      </c>
      <c r="M683" s="17">
        <f t="shared" si="31"/>
        <v>2240000</v>
      </c>
      <c r="N683" s="17" t="str" cm="1">
        <f t="array" ref="N683">_xlfn.IFS(K683=0,"Matched", K683&gt;100,"High", K683&gt;=50,"Medium", K683&lt;50,"Low")</f>
        <v>Matched</v>
      </c>
      <c r="O683" s="17" t="str">
        <f t="shared" si="32"/>
        <v>No Match</v>
      </c>
    </row>
    <row r="684" spans="2:15" hidden="1" x14ac:dyDescent="0.3">
      <c r="B684" s="7">
        <v>682</v>
      </c>
      <c r="C684" s="3" t="s">
        <v>688</v>
      </c>
      <c r="D684" s="2" t="s">
        <v>1068</v>
      </c>
      <c r="E684" s="3" t="s">
        <v>1009</v>
      </c>
      <c r="F684" s="3">
        <v>119</v>
      </c>
      <c r="G684" s="3">
        <v>119</v>
      </c>
      <c r="H684" s="8">
        <v>100</v>
      </c>
      <c r="I684" s="48">
        <f>Table13[[#This Row],[Physical_Stock_Qty]]-Table13[[#This Row],[System_Stock_Qty]]</f>
        <v>0</v>
      </c>
      <c r="J684" s="53" t="str" cm="1">
        <f t="array" ref="J684">_xlfn.IFS(I684=0,"Matched",I684&gt;0,"Excess",I684&lt;0,"Shortage")</f>
        <v>Matched</v>
      </c>
      <c r="K684" s="50">
        <f>ABS(Table13[[#This Row],[Stock Difference]])</f>
        <v>0</v>
      </c>
      <c r="L684" s="17">
        <f t="shared" si="30"/>
        <v>0</v>
      </c>
      <c r="M684" s="17">
        <f t="shared" si="31"/>
        <v>11900</v>
      </c>
      <c r="N684" s="17" t="str" cm="1">
        <f t="array" ref="N684">_xlfn.IFS(K684=0,"Matched", K684&gt;100,"High", K684&gt;=50,"Medium", K684&lt;50,"Low")</f>
        <v>Matched</v>
      </c>
      <c r="O684" s="17" t="str">
        <f t="shared" si="32"/>
        <v>No Match</v>
      </c>
    </row>
    <row r="685" spans="2:15" hidden="1" x14ac:dyDescent="0.3">
      <c r="B685" s="7">
        <v>683</v>
      </c>
      <c r="C685" s="3" t="s">
        <v>689</v>
      </c>
      <c r="D685" s="2" t="s">
        <v>1054</v>
      </c>
      <c r="E685" s="3" t="s">
        <v>1010</v>
      </c>
      <c r="F685" s="3">
        <v>38</v>
      </c>
      <c r="G685" s="3">
        <v>38</v>
      </c>
      <c r="H685" s="8">
        <v>30</v>
      </c>
      <c r="I685" s="48">
        <f>Table13[[#This Row],[Physical_Stock_Qty]]-Table13[[#This Row],[System_Stock_Qty]]</f>
        <v>0</v>
      </c>
      <c r="J685" s="53" t="str" cm="1">
        <f t="array" ref="J685">_xlfn.IFS(I685=0,"Matched",I685&gt;0,"Excess",I685&lt;0,"Shortage")</f>
        <v>Matched</v>
      </c>
      <c r="K685" s="50">
        <f>ABS(Table13[[#This Row],[Stock Difference]])</f>
        <v>0</v>
      </c>
      <c r="L685" s="17">
        <f t="shared" si="30"/>
        <v>0</v>
      </c>
      <c r="M685" s="17">
        <f t="shared" si="31"/>
        <v>1140</v>
      </c>
      <c r="N685" s="17" t="str" cm="1">
        <f t="array" ref="N685">_xlfn.IFS(K685=0,"Matched", K685&gt;100,"High", K685&gt;=50,"Medium", K685&lt;50,"Low")</f>
        <v>Matched</v>
      </c>
      <c r="O685" s="17" t="str">
        <f t="shared" si="32"/>
        <v>No Match</v>
      </c>
    </row>
    <row r="686" spans="2:15" hidden="1" x14ac:dyDescent="0.3">
      <c r="B686" s="7">
        <v>684</v>
      </c>
      <c r="C686" s="3" t="s">
        <v>690</v>
      </c>
      <c r="D686" s="2" t="s">
        <v>1042</v>
      </c>
      <c r="E686" s="3" t="s">
        <v>1007</v>
      </c>
      <c r="F686" s="3">
        <v>108</v>
      </c>
      <c r="G686" s="3">
        <v>108</v>
      </c>
      <c r="H686" s="8">
        <v>3000</v>
      </c>
      <c r="I686" s="48">
        <f>Table13[[#This Row],[Physical_Stock_Qty]]-Table13[[#This Row],[System_Stock_Qty]]</f>
        <v>0</v>
      </c>
      <c r="J686" s="53" t="str" cm="1">
        <f t="array" ref="J686">_xlfn.IFS(I686=0,"Matched",I686&gt;0,"Excess",I686&lt;0,"Shortage")</f>
        <v>Matched</v>
      </c>
      <c r="K686" s="50">
        <f>ABS(Table13[[#This Row],[Stock Difference]])</f>
        <v>0</v>
      </c>
      <c r="L686" s="17">
        <f t="shared" si="30"/>
        <v>0</v>
      </c>
      <c r="M686" s="17">
        <f t="shared" si="31"/>
        <v>324000</v>
      </c>
      <c r="N686" s="17" t="str" cm="1">
        <f t="array" ref="N686">_xlfn.IFS(K686=0,"Matched", K686&gt;100,"High", K686&gt;=50,"Medium", K686&lt;50,"Low")</f>
        <v>Matched</v>
      </c>
      <c r="O686" s="17" t="str">
        <f t="shared" si="32"/>
        <v>No Match</v>
      </c>
    </row>
    <row r="687" spans="2:15" hidden="1" x14ac:dyDescent="0.3">
      <c r="B687" s="7">
        <v>685</v>
      </c>
      <c r="C687" s="3" t="s">
        <v>691</v>
      </c>
      <c r="D687" s="2" t="s">
        <v>1060</v>
      </c>
      <c r="E687" s="3" t="s">
        <v>1012</v>
      </c>
      <c r="F687" s="3">
        <v>129</v>
      </c>
      <c r="G687" s="3">
        <v>129</v>
      </c>
      <c r="H687" s="8">
        <v>1500</v>
      </c>
      <c r="I687" s="48">
        <f>Table13[[#This Row],[Physical_Stock_Qty]]-Table13[[#This Row],[System_Stock_Qty]]</f>
        <v>0</v>
      </c>
      <c r="J687" s="53" t="str" cm="1">
        <f t="array" ref="J687">_xlfn.IFS(I687=0,"Matched",I687&gt;0,"Excess",I687&lt;0,"Shortage")</f>
        <v>Matched</v>
      </c>
      <c r="K687" s="50">
        <f>ABS(Table13[[#This Row],[Stock Difference]])</f>
        <v>0</v>
      </c>
      <c r="L687" s="17">
        <f t="shared" si="30"/>
        <v>0</v>
      </c>
      <c r="M687" s="17">
        <f t="shared" si="31"/>
        <v>193500</v>
      </c>
      <c r="N687" s="17" t="str" cm="1">
        <f t="array" ref="N687">_xlfn.IFS(K687=0,"Matched", K687&gt;100,"High", K687&gt;=50,"Medium", K687&lt;50,"Low")</f>
        <v>Matched</v>
      </c>
      <c r="O687" s="17" t="str">
        <f t="shared" si="32"/>
        <v>No Match</v>
      </c>
    </row>
    <row r="688" spans="2:15" hidden="1" x14ac:dyDescent="0.3">
      <c r="B688" s="7">
        <v>686</v>
      </c>
      <c r="C688" s="3" t="s">
        <v>692</v>
      </c>
      <c r="D688" s="2" t="s">
        <v>1037</v>
      </c>
      <c r="E688" s="3" t="s">
        <v>1007</v>
      </c>
      <c r="F688" s="3">
        <v>56</v>
      </c>
      <c r="G688" s="3">
        <v>56</v>
      </c>
      <c r="H688" s="8">
        <v>10000</v>
      </c>
      <c r="I688" s="48">
        <f>Table13[[#This Row],[Physical_Stock_Qty]]-Table13[[#This Row],[System_Stock_Qty]]</f>
        <v>0</v>
      </c>
      <c r="J688" s="53" t="str" cm="1">
        <f t="array" ref="J688">_xlfn.IFS(I688=0,"Matched",I688&gt;0,"Excess",I688&lt;0,"Shortage")</f>
        <v>Matched</v>
      </c>
      <c r="K688" s="50">
        <f>ABS(Table13[[#This Row],[Stock Difference]])</f>
        <v>0</v>
      </c>
      <c r="L688" s="17">
        <f t="shared" si="30"/>
        <v>0</v>
      </c>
      <c r="M688" s="17">
        <f t="shared" si="31"/>
        <v>560000</v>
      </c>
      <c r="N688" s="17" t="str" cm="1">
        <f t="array" ref="N688">_xlfn.IFS(K688=0,"Matched", K688&gt;100,"High", K688&gt;=50,"Medium", K688&lt;50,"Low")</f>
        <v>Matched</v>
      </c>
      <c r="O688" s="17" t="str">
        <f t="shared" si="32"/>
        <v>No Match</v>
      </c>
    </row>
    <row r="689" spans="2:15" hidden="1" x14ac:dyDescent="0.3">
      <c r="B689" s="7">
        <v>687</v>
      </c>
      <c r="C689" s="3" t="s">
        <v>693</v>
      </c>
      <c r="D689" s="2" t="s">
        <v>1023</v>
      </c>
      <c r="E689" s="3" t="s">
        <v>1008</v>
      </c>
      <c r="F689" s="3">
        <v>48</v>
      </c>
      <c r="G689" s="3">
        <v>48</v>
      </c>
      <c r="H689" s="8">
        <v>20000</v>
      </c>
      <c r="I689" s="48">
        <f>Table13[[#This Row],[Physical_Stock_Qty]]-Table13[[#This Row],[System_Stock_Qty]]</f>
        <v>0</v>
      </c>
      <c r="J689" s="53" t="str" cm="1">
        <f t="array" ref="J689">_xlfn.IFS(I689=0,"Matched",I689&gt;0,"Excess",I689&lt;0,"Shortage")</f>
        <v>Matched</v>
      </c>
      <c r="K689" s="50">
        <f>ABS(Table13[[#This Row],[Stock Difference]])</f>
        <v>0</v>
      </c>
      <c r="L689" s="17">
        <f t="shared" si="30"/>
        <v>0</v>
      </c>
      <c r="M689" s="17">
        <f t="shared" si="31"/>
        <v>960000</v>
      </c>
      <c r="N689" s="17" t="str" cm="1">
        <f t="array" ref="N689">_xlfn.IFS(K689=0,"Matched", K689&gt;100,"High", K689&gt;=50,"Medium", K689&lt;50,"Low")</f>
        <v>Matched</v>
      </c>
      <c r="O689" s="17" t="str">
        <f t="shared" si="32"/>
        <v>No Match</v>
      </c>
    </row>
    <row r="690" spans="2:15" hidden="1" x14ac:dyDescent="0.3">
      <c r="B690" s="7">
        <v>688</v>
      </c>
      <c r="C690" s="3" t="s">
        <v>694</v>
      </c>
      <c r="D690" s="2" t="s">
        <v>1060</v>
      </c>
      <c r="E690" s="3" t="s">
        <v>1012</v>
      </c>
      <c r="F690" s="3">
        <v>129</v>
      </c>
      <c r="G690" s="3">
        <v>129</v>
      </c>
      <c r="H690" s="8">
        <v>1500</v>
      </c>
      <c r="I690" s="48">
        <f>Table13[[#This Row],[Physical_Stock_Qty]]-Table13[[#This Row],[System_Stock_Qty]]</f>
        <v>0</v>
      </c>
      <c r="J690" s="53" t="str" cm="1">
        <f t="array" ref="J690">_xlfn.IFS(I690=0,"Matched",I690&gt;0,"Excess",I690&lt;0,"Shortage")</f>
        <v>Matched</v>
      </c>
      <c r="K690" s="50">
        <f>ABS(Table13[[#This Row],[Stock Difference]])</f>
        <v>0</v>
      </c>
      <c r="L690" s="17">
        <f t="shared" si="30"/>
        <v>0</v>
      </c>
      <c r="M690" s="17">
        <f t="shared" si="31"/>
        <v>193500</v>
      </c>
      <c r="N690" s="17" t="str" cm="1">
        <f t="array" ref="N690">_xlfn.IFS(K690=0,"Matched", K690&gt;100,"High", K690&gt;=50,"Medium", K690&lt;50,"Low")</f>
        <v>Matched</v>
      </c>
      <c r="O690" s="17" t="str">
        <f t="shared" si="32"/>
        <v>No Match</v>
      </c>
    </row>
    <row r="691" spans="2:15" hidden="1" x14ac:dyDescent="0.3">
      <c r="B691" s="7">
        <v>689</v>
      </c>
      <c r="C691" s="3" t="s">
        <v>695</v>
      </c>
      <c r="D691" s="2" t="s">
        <v>1081</v>
      </c>
      <c r="E691" s="3" t="s">
        <v>1011</v>
      </c>
      <c r="F691" s="3">
        <v>38</v>
      </c>
      <c r="G691" s="3">
        <v>38</v>
      </c>
      <c r="H691" s="8">
        <v>1000</v>
      </c>
      <c r="I691" s="48">
        <f>Table13[[#This Row],[Physical_Stock_Qty]]-Table13[[#This Row],[System_Stock_Qty]]</f>
        <v>0</v>
      </c>
      <c r="J691" s="53" t="str" cm="1">
        <f t="array" ref="J691">_xlfn.IFS(I691=0,"Matched",I691&gt;0,"Excess",I691&lt;0,"Shortage")</f>
        <v>Matched</v>
      </c>
      <c r="K691" s="50">
        <f>ABS(Table13[[#This Row],[Stock Difference]])</f>
        <v>0</v>
      </c>
      <c r="L691" s="17">
        <f t="shared" si="30"/>
        <v>0</v>
      </c>
      <c r="M691" s="17">
        <f t="shared" si="31"/>
        <v>38000</v>
      </c>
      <c r="N691" s="17" t="str" cm="1">
        <f t="array" ref="N691">_xlfn.IFS(K691=0,"Matched", K691&gt;100,"High", K691&gt;=50,"Medium", K691&lt;50,"Low")</f>
        <v>Matched</v>
      </c>
      <c r="O691" s="17" t="str">
        <f t="shared" si="32"/>
        <v>No Match</v>
      </c>
    </row>
    <row r="692" spans="2:15" hidden="1" x14ac:dyDescent="0.3">
      <c r="B692" s="7">
        <v>690</v>
      </c>
      <c r="C692" s="3" t="s">
        <v>696</v>
      </c>
      <c r="D692" s="2" t="s">
        <v>1025</v>
      </c>
      <c r="E692" s="3" t="s">
        <v>1008</v>
      </c>
      <c r="F692" s="3">
        <v>33</v>
      </c>
      <c r="G692" s="3">
        <v>33</v>
      </c>
      <c r="H692" s="8">
        <v>30000</v>
      </c>
      <c r="I692" s="48">
        <f>Table13[[#This Row],[Physical_Stock_Qty]]-Table13[[#This Row],[System_Stock_Qty]]</f>
        <v>0</v>
      </c>
      <c r="J692" s="53" t="str" cm="1">
        <f t="array" ref="J692">_xlfn.IFS(I692=0,"Matched",I692&gt;0,"Excess",I692&lt;0,"Shortage")</f>
        <v>Matched</v>
      </c>
      <c r="K692" s="50">
        <f>ABS(Table13[[#This Row],[Stock Difference]])</f>
        <v>0</v>
      </c>
      <c r="L692" s="17">
        <f t="shared" si="30"/>
        <v>0</v>
      </c>
      <c r="M692" s="17">
        <f t="shared" si="31"/>
        <v>990000</v>
      </c>
      <c r="N692" s="17" t="str" cm="1">
        <f t="array" ref="N692">_xlfn.IFS(K692=0,"Matched", K692&gt;100,"High", K692&gt;=50,"Medium", K692&lt;50,"Low")</f>
        <v>Matched</v>
      </c>
      <c r="O692" s="17" t="str">
        <f t="shared" si="32"/>
        <v>No Match</v>
      </c>
    </row>
    <row r="693" spans="2:15" hidden="1" x14ac:dyDescent="0.3">
      <c r="B693" s="7">
        <v>691</v>
      </c>
      <c r="C693" s="3" t="s">
        <v>697</v>
      </c>
      <c r="D693" s="2" t="s">
        <v>1039</v>
      </c>
      <c r="E693" s="3" t="s">
        <v>1007</v>
      </c>
      <c r="F693" s="3">
        <v>84</v>
      </c>
      <c r="G693" s="3">
        <v>84</v>
      </c>
      <c r="H693" s="8">
        <v>12000</v>
      </c>
      <c r="I693" s="48">
        <f>Table13[[#This Row],[Physical_Stock_Qty]]-Table13[[#This Row],[System_Stock_Qty]]</f>
        <v>0</v>
      </c>
      <c r="J693" s="53" t="str" cm="1">
        <f t="array" ref="J693">_xlfn.IFS(I693=0,"Matched",I693&gt;0,"Excess",I693&lt;0,"Shortage")</f>
        <v>Matched</v>
      </c>
      <c r="K693" s="50">
        <f>ABS(Table13[[#This Row],[Stock Difference]])</f>
        <v>0</v>
      </c>
      <c r="L693" s="17">
        <f t="shared" si="30"/>
        <v>0</v>
      </c>
      <c r="M693" s="17">
        <f t="shared" si="31"/>
        <v>1008000</v>
      </c>
      <c r="N693" s="17" t="str" cm="1">
        <f t="array" ref="N693">_xlfn.IFS(K693=0,"Matched", K693&gt;100,"High", K693&gt;=50,"Medium", K693&lt;50,"Low")</f>
        <v>Matched</v>
      </c>
      <c r="O693" s="17" t="str">
        <f t="shared" si="32"/>
        <v>No Match</v>
      </c>
    </row>
    <row r="694" spans="2:15" hidden="1" x14ac:dyDescent="0.3">
      <c r="B694" s="7">
        <v>692</v>
      </c>
      <c r="C694" s="3" t="s">
        <v>698</v>
      </c>
      <c r="D694" s="2" t="s">
        <v>1056</v>
      </c>
      <c r="E694" s="3" t="s">
        <v>1012</v>
      </c>
      <c r="F694" s="3">
        <v>98</v>
      </c>
      <c r="G694" s="3">
        <v>98</v>
      </c>
      <c r="H694" s="8">
        <v>100</v>
      </c>
      <c r="I694" s="48">
        <f>Table13[[#This Row],[Physical_Stock_Qty]]-Table13[[#This Row],[System_Stock_Qty]]</f>
        <v>0</v>
      </c>
      <c r="J694" s="53" t="str" cm="1">
        <f t="array" ref="J694">_xlfn.IFS(I694=0,"Matched",I694&gt;0,"Excess",I694&lt;0,"Shortage")</f>
        <v>Matched</v>
      </c>
      <c r="K694" s="50">
        <f>ABS(Table13[[#This Row],[Stock Difference]])</f>
        <v>0</v>
      </c>
      <c r="L694" s="17">
        <f t="shared" si="30"/>
        <v>0</v>
      </c>
      <c r="M694" s="17">
        <f t="shared" si="31"/>
        <v>9800</v>
      </c>
      <c r="N694" s="17" t="str" cm="1">
        <f t="array" ref="N694">_xlfn.IFS(K694=0,"Matched", K694&gt;100,"High", K694&gt;=50,"Medium", K694&lt;50,"Low")</f>
        <v>Matched</v>
      </c>
      <c r="O694" s="17" t="str">
        <f t="shared" si="32"/>
        <v>No Match</v>
      </c>
    </row>
    <row r="695" spans="2:15" hidden="1" x14ac:dyDescent="0.3">
      <c r="B695" s="7">
        <v>693</v>
      </c>
      <c r="C695" s="3" t="s">
        <v>699</v>
      </c>
      <c r="D695" s="2" t="s">
        <v>1028</v>
      </c>
      <c r="E695" s="3" t="s">
        <v>1008</v>
      </c>
      <c r="F695" s="3">
        <v>54</v>
      </c>
      <c r="G695" s="3">
        <v>54</v>
      </c>
      <c r="H695" s="8">
        <v>15000</v>
      </c>
      <c r="I695" s="48">
        <f>Table13[[#This Row],[Physical_Stock_Qty]]-Table13[[#This Row],[System_Stock_Qty]]</f>
        <v>0</v>
      </c>
      <c r="J695" s="53" t="str" cm="1">
        <f t="array" ref="J695">_xlfn.IFS(I695=0,"Matched",I695&gt;0,"Excess",I695&lt;0,"Shortage")</f>
        <v>Matched</v>
      </c>
      <c r="K695" s="50">
        <f>ABS(Table13[[#This Row],[Stock Difference]])</f>
        <v>0</v>
      </c>
      <c r="L695" s="17">
        <f t="shared" si="30"/>
        <v>0</v>
      </c>
      <c r="M695" s="17">
        <f t="shared" si="31"/>
        <v>810000</v>
      </c>
      <c r="N695" s="17" t="str" cm="1">
        <f t="array" ref="N695">_xlfn.IFS(K695=0,"Matched", K695&gt;100,"High", K695&gt;=50,"Medium", K695&lt;50,"Low")</f>
        <v>Matched</v>
      </c>
      <c r="O695" s="17" t="str">
        <f t="shared" si="32"/>
        <v>No Match</v>
      </c>
    </row>
    <row r="696" spans="2:15" hidden="1" x14ac:dyDescent="0.3">
      <c r="B696" s="7">
        <v>694</v>
      </c>
      <c r="C696" s="3" t="s">
        <v>700</v>
      </c>
      <c r="D696" s="2" t="s">
        <v>1034</v>
      </c>
      <c r="E696" s="3" t="s">
        <v>1008</v>
      </c>
      <c r="F696" s="3">
        <v>140</v>
      </c>
      <c r="G696" s="3">
        <v>140</v>
      </c>
      <c r="H696" s="8">
        <v>50000</v>
      </c>
      <c r="I696" s="48">
        <f>Table13[[#This Row],[Physical_Stock_Qty]]-Table13[[#This Row],[System_Stock_Qty]]</f>
        <v>0</v>
      </c>
      <c r="J696" s="53" t="str" cm="1">
        <f t="array" ref="J696">_xlfn.IFS(I696=0,"Matched",I696&gt;0,"Excess",I696&lt;0,"Shortage")</f>
        <v>Matched</v>
      </c>
      <c r="K696" s="50">
        <f>ABS(Table13[[#This Row],[Stock Difference]])</f>
        <v>0</v>
      </c>
      <c r="L696" s="17">
        <f t="shared" si="30"/>
        <v>0</v>
      </c>
      <c r="M696" s="17">
        <f t="shared" si="31"/>
        <v>7000000</v>
      </c>
      <c r="N696" s="17" t="str" cm="1">
        <f t="array" ref="N696">_xlfn.IFS(K696=0,"Matched", K696&gt;100,"High", K696&gt;=50,"Medium", K696&lt;50,"Low")</f>
        <v>Matched</v>
      </c>
      <c r="O696" s="17" t="str">
        <f t="shared" si="32"/>
        <v>No Match</v>
      </c>
    </row>
    <row r="697" spans="2:15" hidden="1" x14ac:dyDescent="0.3">
      <c r="B697" s="7">
        <v>695</v>
      </c>
      <c r="C697" s="3" t="s">
        <v>701</v>
      </c>
      <c r="D697" s="2" t="s">
        <v>1039</v>
      </c>
      <c r="E697" s="3" t="s">
        <v>1007</v>
      </c>
      <c r="F697" s="3">
        <v>51</v>
      </c>
      <c r="G697" s="3">
        <v>51</v>
      </c>
      <c r="H697" s="8">
        <v>12000</v>
      </c>
      <c r="I697" s="48">
        <f>Table13[[#This Row],[Physical_Stock_Qty]]-Table13[[#This Row],[System_Stock_Qty]]</f>
        <v>0</v>
      </c>
      <c r="J697" s="53" t="str" cm="1">
        <f t="array" ref="J697">_xlfn.IFS(I697=0,"Matched",I697&gt;0,"Excess",I697&lt;0,"Shortage")</f>
        <v>Matched</v>
      </c>
      <c r="K697" s="50">
        <f>ABS(Table13[[#This Row],[Stock Difference]])</f>
        <v>0</v>
      </c>
      <c r="L697" s="17">
        <f t="shared" si="30"/>
        <v>0</v>
      </c>
      <c r="M697" s="17">
        <f t="shared" si="31"/>
        <v>612000</v>
      </c>
      <c r="N697" s="17" t="str" cm="1">
        <f t="array" ref="N697">_xlfn.IFS(K697=0,"Matched", K697&gt;100,"High", K697&gt;=50,"Medium", K697&lt;50,"Low")</f>
        <v>Matched</v>
      </c>
      <c r="O697" s="17" t="str">
        <f t="shared" si="32"/>
        <v>No Match</v>
      </c>
    </row>
    <row r="698" spans="2:15" hidden="1" x14ac:dyDescent="0.3">
      <c r="B698" s="7">
        <v>696</v>
      </c>
      <c r="C698" s="3" t="s">
        <v>702</v>
      </c>
      <c r="D698" s="2" t="s">
        <v>1076</v>
      </c>
      <c r="E698" s="3" t="s">
        <v>1009</v>
      </c>
      <c r="F698" s="3">
        <v>72</v>
      </c>
      <c r="G698" s="3">
        <v>72</v>
      </c>
      <c r="H698" s="8">
        <v>100</v>
      </c>
      <c r="I698" s="48">
        <f>Table13[[#This Row],[Physical_Stock_Qty]]-Table13[[#This Row],[System_Stock_Qty]]</f>
        <v>0</v>
      </c>
      <c r="J698" s="53" t="str" cm="1">
        <f t="array" ref="J698">_xlfn.IFS(I698=0,"Matched",I698&gt;0,"Excess",I698&lt;0,"Shortage")</f>
        <v>Matched</v>
      </c>
      <c r="K698" s="50">
        <f>ABS(Table13[[#This Row],[Stock Difference]])</f>
        <v>0</v>
      </c>
      <c r="L698" s="17">
        <f t="shared" si="30"/>
        <v>0</v>
      </c>
      <c r="M698" s="17">
        <f t="shared" si="31"/>
        <v>7200</v>
      </c>
      <c r="N698" s="17" t="str" cm="1">
        <f t="array" ref="N698">_xlfn.IFS(K698=0,"Matched", K698&gt;100,"High", K698&gt;=50,"Medium", K698&lt;50,"Low")</f>
        <v>Matched</v>
      </c>
      <c r="O698" s="17" t="str">
        <f t="shared" si="32"/>
        <v>No Match</v>
      </c>
    </row>
    <row r="699" spans="2:15" hidden="1" x14ac:dyDescent="0.3">
      <c r="B699" s="7">
        <v>697</v>
      </c>
      <c r="C699" s="3" t="s">
        <v>703</v>
      </c>
      <c r="D699" s="2" t="s">
        <v>1071</v>
      </c>
      <c r="E699" s="3" t="s">
        <v>1009</v>
      </c>
      <c r="F699" s="3">
        <v>127</v>
      </c>
      <c r="G699" s="3">
        <v>127</v>
      </c>
      <c r="H699" s="8">
        <v>200</v>
      </c>
      <c r="I699" s="48">
        <f>Table13[[#This Row],[Physical_Stock_Qty]]-Table13[[#This Row],[System_Stock_Qty]]</f>
        <v>0</v>
      </c>
      <c r="J699" s="53" t="str" cm="1">
        <f t="array" ref="J699">_xlfn.IFS(I699=0,"Matched",I699&gt;0,"Excess",I699&lt;0,"Shortage")</f>
        <v>Matched</v>
      </c>
      <c r="K699" s="50">
        <f>ABS(Table13[[#This Row],[Stock Difference]])</f>
        <v>0</v>
      </c>
      <c r="L699" s="17">
        <f t="shared" si="30"/>
        <v>0</v>
      </c>
      <c r="M699" s="17">
        <f t="shared" si="31"/>
        <v>25400</v>
      </c>
      <c r="N699" s="17" t="str" cm="1">
        <f t="array" ref="N699">_xlfn.IFS(K699=0,"Matched", K699&gt;100,"High", K699&gt;=50,"Medium", K699&lt;50,"Low")</f>
        <v>Matched</v>
      </c>
      <c r="O699" s="17" t="str">
        <f t="shared" si="32"/>
        <v>No Match</v>
      </c>
    </row>
    <row r="700" spans="2:15" hidden="1" x14ac:dyDescent="0.3">
      <c r="B700" s="7">
        <v>698</v>
      </c>
      <c r="C700" s="3" t="s">
        <v>704</v>
      </c>
      <c r="D700" s="2" t="s">
        <v>1051</v>
      </c>
      <c r="E700" s="3" t="s">
        <v>1010</v>
      </c>
      <c r="F700" s="3">
        <v>60</v>
      </c>
      <c r="G700" s="3">
        <v>60</v>
      </c>
      <c r="H700" s="8">
        <v>50</v>
      </c>
      <c r="I700" s="48">
        <f>Table13[[#This Row],[Physical_Stock_Qty]]-Table13[[#This Row],[System_Stock_Qty]]</f>
        <v>0</v>
      </c>
      <c r="J700" s="53" t="str" cm="1">
        <f t="array" ref="J700">_xlfn.IFS(I700=0,"Matched",I700&gt;0,"Excess",I700&lt;0,"Shortage")</f>
        <v>Matched</v>
      </c>
      <c r="K700" s="50">
        <f>ABS(Table13[[#This Row],[Stock Difference]])</f>
        <v>0</v>
      </c>
      <c r="L700" s="17">
        <f t="shared" si="30"/>
        <v>0</v>
      </c>
      <c r="M700" s="17">
        <f t="shared" si="31"/>
        <v>3000</v>
      </c>
      <c r="N700" s="17" t="str" cm="1">
        <f t="array" ref="N700">_xlfn.IFS(K700=0,"Matched", K700&gt;100,"High", K700&gt;=50,"Medium", K700&lt;50,"Low")</f>
        <v>Matched</v>
      </c>
      <c r="O700" s="17" t="str">
        <f t="shared" si="32"/>
        <v>No Match</v>
      </c>
    </row>
    <row r="701" spans="2:15" hidden="1" x14ac:dyDescent="0.3">
      <c r="B701" s="7">
        <v>699</v>
      </c>
      <c r="C701" s="3" t="s">
        <v>705</v>
      </c>
      <c r="D701" s="2" t="s">
        <v>1074</v>
      </c>
      <c r="E701" s="3" t="s">
        <v>1009</v>
      </c>
      <c r="F701" s="3">
        <v>139</v>
      </c>
      <c r="G701" s="3">
        <v>139</v>
      </c>
      <c r="H701" s="8">
        <v>500</v>
      </c>
      <c r="I701" s="48">
        <f>Table13[[#This Row],[Physical_Stock_Qty]]-Table13[[#This Row],[System_Stock_Qty]]</f>
        <v>0</v>
      </c>
      <c r="J701" s="53" t="str" cm="1">
        <f t="array" ref="J701">_xlfn.IFS(I701=0,"Matched",I701&gt;0,"Excess",I701&lt;0,"Shortage")</f>
        <v>Matched</v>
      </c>
      <c r="K701" s="50">
        <f>ABS(Table13[[#This Row],[Stock Difference]])</f>
        <v>0</v>
      </c>
      <c r="L701" s="17">
        <f t="shared" si="30"/>
        <v>0</v>
      </c>
      <c r="M701" s="17">
        <f t="shared" si="31"/>
        <v>69500</v>
      </c>
      <c r="N701" s="17" t="str" cm="1">
        <f t="array" ref="N701">_xlfn.IFS(K701=0,"Matched", K701&gt;100,"High", K701&gt;=50,"Medium", K701&lt;50,"Low")</f>
        <v>Matched</v>
      </c>
      <c r="O701" s="17" t="str">
        <f t="shared" si="32"/>
        <v>No Match</v>
      </c>
    </row>
    <row r="702" spans="2:15" hidden="1" x14ac:dyDescent="0.3">
      <c r="B702" s="7">
        <v>700</v>
      </c>
      <c r="C702" s="3" t="s">
        <v>706</v>
      </c>
      <c r="D702" s="2" t="s">
        <v>1021</v>
      </c>
      <c r="E702" s="3" t="s">
        <v>1008</v>
      </c>
      <c r="F702" s="3">
        <v>36</v>
      </c>
      <c r="G702" s="3">
        <v>36</v>
      </c>
      <c r="H702" s="8">
        <v>20000</v>
      </c>
      <c r="I702" s="48">
        <f>Table13[[#This Row],[Physical_Stock_Qty]]-Table13[[#This Row],[System_Stock_Qty]]</f>
        <v>0</v>
      </c>
      <c r="J702" s="53" t="str" cm="1">
        <f t="array" ref="J702">_xlfn.IFS(I702=0,"Matched",I702&gt;0,"Excess",I702&lt;0,"Shortage")</f>
        <v>Matched</v>
      </c>
      <c r="K702" s="50">
        <f>ABS(Table13[[#This Row],[Stock Difference]])</f>
        <v>0</v>
      </c>
      <c r="L702" s="17">
        <f t="shared" si="30"/>
        <v>0</v>
      </c>
      <c r="M702" s="17">
        <f t="shared" si="31"/>
        <v>720000</v>
      </c>
      <c r="N702" s="17" t="str" cm="1">
        <f t="array" ref="N702">_xlfn.IFS(K702=0,"Matched", K702&gt;100,"High", K702&gt;=50,"Medium", K702&lt;50,"Low")</f>
        <v>Matched</v>
      </c>
      <c r="O702" s="17" t="str">
        <f t="shared" si="32"/>
        <v>No Match</v>
      </c>
    </row>
    <row r="703" spans="2:15" hidden="1" x14ac:dyDescent="0.3">
      <c r="B703" s="7">
        <v>701</v>
      </c>
      <c r="C703" s="3" t="s">
        <v>707</v>
      </c>
      <c r="D703" s="2" t="s">
        <v>1083</v>
      </c>
      <c r="E703" s="3" t="s">
        <v>1011</v>
      </c>
      <c r="F703" s="3">
        <v>173</v>
      </c>
      <c r="G703" s="3">
        <v>173</v>
      </c>
      <c r="H703" s="8">
        <v>3000</v>
      </c>
      <c r="I703" s="48">
        <f>Table13[[#This Row],[Physical_Stock_Qty]]-Table13[[#This Row],[System_Stock_Qty]]</f>
        <v>0</v>
      </c>
      <c r="J703" s="53" t="str" cm="1">
        <f t="array" ref="J703">_xlfn.IFS(I703=0,"Matched",I703&gt;0,"Excess",I703&lt;0,"Shortage")</f>
        <v>Matched</v>
      </c>
      <c r="K703" s="50">
        <f>ABS(Table13[[#This Row],[Stock Difference]])</f>
        <v>0</v>
      </c>
      <c r="L703" s="17">
        <f t="shared" si="30"/>
        <v>0</v>
      </c>
      <c r="M703" s="17">
        <f t="shared" si="31"/>
        <v>519000</v>
      </c>
      <c r="N703" s="17" t="str" cm="1">
        <f t="array" ref="N703">_xlfn.IFS(K703=0,"Matched", K703&gt;100,"High", K703&gt;=50,"Medium", K703&lt;50,"Low")</f>
        <v>Matched</v>
      </c>
      <c r="O703" s="17" t="str">
        <f t="shared" si="32"/>
        <v>No Match</v>
      </c>
    </row>
    <row r="704" spans="2:15" hidden="1" x14ac:dyDescent="0.3">
      <c r="B704" s="7">
        <v>702</v>
      </c>
      <c r="C704" s="3" t="s">
        <v>708</v>
      </c>
      <c r="D704" s="2" t="s">
        <v>1058</v>
      </c>
      <c r="E704" s="3" t="s">
        <v>1012</v>
      </c>
      <c r="F704" s="3">
        <v>66</v>
      </c>
      <c r="G704" s="3">
        <v>66</v>
      </c>
      <c r="H704" s="8">
        <v>500</v>
      </c>
      <c r="I704" s="48">
        <f>Table13[[#This Row],[Physical_Stock_Qty]]-Table13[[#This Row],[System_Stock_Qty]]</f>
        <v>0</v>
      </c>
      <c r="J704" s="53" t="str" cm="1">
        <f t="array" ref="J704">_xlfn.IFS(I704=0,"Matched",I704&gt;0,"Excess",I704&lt;0,"Shortage")</f>
        <v>Matched</v>
      </c>
      <c r="K704" s="50">
        <f>ABS(Table13[[#This Row],[Stock Difference]])</f>
        <v>0</v>
      </c>
      <c r="L704" s="17">
        <f t="shared" si="30"/>
        <v>0</v>
      </c>
      <c r="M704" s="17">
        <f t="shared" si="31"/>
        <v>33000</v>
      </c>
      <c r="N704" s="17" t="str" cm="1">
        <f t="array" ref="N704">_xlfn.IFS(K704=0,"Matched", K704&gt;100,"High", K704&gt;=50,"Medium", K704&lt;50,"Low")</f>
        <v>Matched</v>
      </c>
      <c r="O704" s="17" t="str">
        <f t="shared" si="32"/>
        <v>No Match</v>
      </c>
    </row>
    <row r="705" spans="2:15" hidden="1" x14ac:dyDescent="0.3">
      <c r="B705" s="7">
        <v>703</v>
      </c>
      <c r="C705" s="3" t="s">
        <v>709</v>
      </c>
      <c r="D705" s="2" t="s">
        <v>1061</v>
      </c>
      <c r="E705" s="3" t="s">
        <v>1012</v>
      </c>
      <c r="F705" s="3">
        <v>47</v>
      </c>
      <c r="G705" s="3">
        <v>47</v>
      </c>
      <c r="H705" s="8">
        <v>500</v>
      </c>
      <c r="I705" s="48">
        <f>Table13[[#This Row],[Physical_Stock_Qty]]-Table13[[#This Row],[System_Stock_Qty]]</f>
        <v>0</v>
      </c>
      <c r="J705" s="53" t="str" cm="1">
        <f t="array" ref="J705">_xlfn.IFS(I705=0,"Matched",I705&gt;0,"Excess",I705&lt;0,"Shortage")</f>
        <v>Matched</v>
      </c>
      <c r="K705" s="50">
        <f>ABS(Table13[[#This Row],[Stock Difference]])</f>
        <v>0</v>
      </c>
      <c r="L705" s="17">
        <f t="shared" si="30"/>
        <v>0</v>
      </c>
      <c r="M705" s="17">
        <f t="shared" si="31"/>
        <v>23500</v>
      </c>
      <c r="N705" s="17" t="str" cm="1">
        <f t="array" ref="N705">_xlfn.IFS(K705=0,"Matched", K705&gt;100,"High", K705&gt;=50,"Medium", K705&lt;50,"Low")</f>
        <v>Matched</v>
      </c>
      <c r="O705" s="17" t="str">
        <f t="shared" si="32"/>
        <v>No Match</v>
      </c>
    </row>
    <row r="706" spans="2:15" hidden="1" x14ac:dyDescent="0.3">
      <c r="B706" s="7">
        <v>704</v>
      </c>
      <c r="C706" s="3" t="s">
        <v>710</v>
      </c>
      <c r="D706" s="2" t="s">
        <v>1061</v>
      </c>
      <c r="E706" s="3" t="s">
        <v>1012</v>
      </c>
      <c r="F706" s="3">
        <v>168</v>
      </c>
      <c r="G706" s="3">
        <v>168</v>
      </c>
      <c r="H706" s="8">
        <v>500</v>
      </c>
      <c r="I706" s="48">
        <f>Table13[[#This Row],[Physical_Stock_Qty]]-Table13[[#This Row],[System_Stock_Qty]]</f>
        <v>0</v>
      </c>
      <c r="J706" s="53" t="str" cm="1">
        <f t="array" ref="J706">_xlfn.IFS(I706=0,"Matched",I706&gt;0,"Excess",I706&lt;0,"Shortage")</f>
        <v>Matched</v>
      </c>
      <c r="K706" s="50">
        <f>ABS(Table13[[#This Row],[Stock Difference]])</f>
        <v>0</v>
      </c>
      <c r="L706" s="17">
        <f t="shared" si="30"/>
        <v>0</v>
      </c>
      <c r="M706" s="17">
        <f t="shared" si="31"/>
        <v>84000</v>
      </c>
      <c r="N706" s="17" t="str" cm="1">
        <f t="array" ref="N706">_xlfn.IFS(K706=0,"Matched", K706&gt;100,"High", K706&gt;=50,"Medium", K706&lt;50,"Low")</f>
        <v>Matched</v>
      </c>
      <c r="O706" s="17" t="str">
        <f t="shared" si="32"/>
        <v>No Match</v>
      </c>
    </row>
    <row r="707" spans="2:15" hidden="1" x14ac:dyDescent="0.3">
      <c r="B707" s="7">
        <v>705</v>
      </c>
      <c r="C707" s="3" t="s">
        <v>711</v>
      </c>
      <c r="D707" s="2" t="s">
        <v>1058</v>
      </c>
      <c r="E707" s="3" t="s">
        <v>1012</v>
      </c>
      <c r="F707" s="3">
        <v>113</v>
      </c>
      <c r="G707" s="3">
        <v>113</v>
      </c>
      <c r="H707" s="8">
        <v>500</v>
      </c>
      <c r="I707" s="48">
        <f>Table13[[#This Row],[Physical_Stock_Qty]]-Table13[[#This Row],[System_Stock_Qty]]</f>
        <v>0</v>
      </c>
      <c r="J707" s="53" t="str" cm="1">
        <f t="array" ref="J707">_xlfn.IFS(I707=0,"Matched",I707&gt;0,"Excess",I707&lt;0,"Shortage")</f>
        <v>Matched</v>
      </c>
      <c r="K707" s="50">
        <f>ABS(Table13[[#This Row],[Stock Difference]])</f>
        <v>0</v>
      </c>
      <c r="L707" s="17">
        <f t="shared" si="30"/>
        <v>0</v>
      </c>
      <c r="M707" s="17">
        <f t="shared" si="31"/>
        <v>56500</v>
      </c>
      <c r="N707" s="17" t="str" cm="1">
        <f t="array" ref="N707">_xlfn.IFS(K707=0,"Matched", K707&gt;100,"High", K707&gt;=50,"Medium", K707&lt;50,"Low")</f>
        <v>Matched</v>
      </c>
      <c r="O707" s="17" t="str">
        <f t="shared" si="32"/>
        <v>No Match</v>
      </c>
    </row>
    <row r="708" spans="2:15" hidden="1" x14ac:dyDescent="0.3">
      <c r="B708" s="7">
        <v>706</v>
      </c>
      <c r="C708" s="3" t="s">
        <v>712</v>
      </c>
      <c r="D708" s="2" t="s">
        <v>1073</v>
      </c>
      <c r="E708" s="3" t="s">
        <v>1009</v>
      </c>
      <c r="F708" s="3">
        <v>149</v>
      </c>
      <c r="G708" s="3">
        <v>149</v>
      </c>
      <c r="H708" s="8">
        <v>100</v>
      </c>
      <c r="I708" s="48">
        <f>Table13[[#This Row],[Physical_Stock_Qty]]-Table13[[#This Row],[System_Stock_Qty]]</f>
        <v>0</v>
      </c>
      <c r="J708" s="53" t="str" cm="1">
        <f t="array" ref="J708">_xlfn.IFS(I708=0,"Matched",I708&gt;0,"Excess",I708&lt;0,"Shortage")</f>
        <v>Matched</v>
      </c>
      <c r="K708" s="50">
        <f>ABS(Table13[[#This Row],[Stock Difference]])</f>
        <v>0</v>
      </c>
      <c r="L708" s="17">
        <f t="shared" ref="L708:L771" si="33">(K708*H708)</f>
        <v>0</v>
      </c>
      <c r="M708" s="17">
        <f t="shared" ref="M708:M771" si="34">F708*H708</f>
        <v>14900</v>
      </c>
      <c r="N708" s="17" t="str" cm="1">
        <f t="array" ref="N708">_xlfn.IFS(K708=0,"Matched", K708&gt;100,"High", K708&gt;=50,"Medium", K708&lt;50,"Low")</f>
        <v>Matched</v>
      </c>
      <c r="O708" s="17" t="str">
        <f t="shared" ref="O708:O771" si="35">IF(L708&gt;500000,"Yes",IF(L708=0,"No Match","No"))</f>
        <v>No Match</v>
      </c>
    </row>
    <row r="709" spans="2:15" hidden="1" x14ac:dyDescent="0.3">
      <c r="B709" s="7">
        <v>707</v>
      </c>
      <c r="C709" s="3" t="s">
        <v>713</v>
      </c>
      <c r="D709" s="2" t="s">
        <v>1063</v>
      </c>
      <c r="E709" s="3" t="s">
        <v>1009</v>
      </c>
      <c r="F709" s="3">
        <v>117</v>
      </c>
      <c r="G709" s="3">
        <v>117</v>
      </c>
      <c r="H709" s="8">
        <v>4500</v>
      </c>
      <c r="I709" s="48">
        <f>Table13[[#This Row],[Physical_Stock_Qty]]-Table13[[#This Row],[System_Stock_Qty]]</f>
        <v>0</v>
      </c>
      <c r="J709" s="53" t="str" cm="1">
        <f t="array" ref="J709">_xlfn.IFS(I709=0,"Matched",I709&gt;0,"Excess",I709&lt;0,"Shortage")</f>
        <v>Matched</v>
      </c>
      <c r="K709" s="50">
        <f>ABS(Table13[[#This Row],[Stock Difference]])</f>
        <v>0</v>
      </c>
      <c r="L709" s="17">
        <f t="shared" si="33"/>
        <v>0</v>
      </c>
      <c r="M709" s="17">
        <f t="shared" si="34"/>
        <v>526500</v>
      </c>
      <c r="N709" s="17" t="str" cm="1">
        <f t="array" ref="N709">_xlfn.IFS(K709=0,"Matched", K709&gt;100,"High", K709&gt;=50,"Medium", K709&lt;50,"Low")</f>
        <v>Matched</v>
      </c>
      <c r="O709" s="17" t="str">
        <f t="shared" si="35"/>
        <v>No Match</v>
      </c>
    </row>
    <row r="710" spans="2:15" hidden="1" x14ac:dyDescent="0.3">
      <c r="B710" s="7">
        <v>708</v>
      </c>
      <c r="C710" s="3" t="s">
        <v>714</v>
      </c>
      <c r="D710" s="2" t="s">
        <v>1082</v>
      </c>
      <c r="E710" s="3" t="s">
        <v>1011</v>
      </c>
      <c r="F710" s="3">
        <v>158</v>
      </c>
      <c r="G710" s="3">
        <v>158</v>
      </c>
      <c r="H710" s="8">
        <v>2000</v>
      </c>
      <c r="I710" s="48">
        <f>Table13[[#This Row],[Physical_Stock_Qty]]-Table13[[#This Row],[System_Stock_Qty]]</f>
        <v>0</v>
      </c>
      <c r="J710" s="53" t="str" cm="1">
        <f t="array" ref="J710">_xlfn.IFS(I710=0,"Matched",I710&gt;0,"Excess",I710&lt;0,"Shortage")</f>
        <v>Matched</v>
      </c>
      <c r="K710" s="50">
        <f>ABS(Table13[[#This Row],[Stock Difference]])</f>
        <v>0</v>
      </c>
      <c r="L710" s="17">
        <f t="shared" si="33"/>
        <v>0</v>
      </c>
      <c r="M710" s="17">
        <f t="shared" si="34"/>
        <v>316000</v>
      </c>
      <c r="N710" s="17" t="str" cm="1">
        <f t="array" ref="N710">_xlfn.IFS(K710=0,"Matched", K710&gt;100,"High", K710&gt;=50,"Medium", K710&lt;50,"Low")</f>
        <v>Matched</v>
      </c>
      <c r="O710" s="17" t="str">
        <f t="shared" si="35"/>
        <v>No Match</v>
      </c>
    </row>
    <row r="711" spans="2:15" hidden="1" x14ac:dyDescent="0.3">
      <c r="B711" s="7">
        <v>709</v>
      </c>
      <c r="C711" s="3" t="s">
        <v>715</v>
      </c>
      <c r="D711" s="2" t="s">
        <v>1073</v>
      </c>
      <c r="E711" s="3" t="s">
        <v>1009</v>
      </c>
      <c r="F711" s="3">
        <v>104</v>
      </c>
      <c r="G711" s="3">
        <v>104</v>
      </c>
      <c r="H711" s="8">
        <v>100</v>
      </c>
      <c r="I711" s="48">
        <f>Table13[[#This Row],[Physical_Stock_Qty]]-Table13[[#This Row],[System_Stock_Qty]]</f>
        <v>0</v>
      </c>
      <c r="J711" s="53" t="str" cm="1">
        <f t="array" ref="J711">_xlfn.IFS(I711=0,"Matched",I711&gt;0,"Excess",I711&lt;0,"Shortage")</f>
        <v>Matched</v>
      </c>
      <c r="K711" s="50">
        <f>ABS(Table13[[#This Row],[Stock Difference]])</f>
        <v>0</v>
      </c>
      <c r="L711" s="17">
        <f t="shared" si="33"/>
        <v>0</v>
      </c>
      <c r="M711" s="17">
        <f t="shared" si="34"/>
        <v>10400</v>
      </c>
      <c r="N711" s="17" t="str" cm="1">
        <f t="array" ref="N711">_xlfn.IFS(K711=0,"Matched", K711&gt;100,"High", K711&gt;=50,"Medium", K711&lt;50,"Low")</f>
        <v>Matched</v>
      </c>
      <c r="O711" s="17" t="str">
        <f t="shared" si="35"/>
        <v>No Match</v>
      </c>
    </row>
    <row r="712" spans="2:15" hidden="1" x14ac:dyDescent="0.3">
      <c r="B712" s="7">
        <v>710</v>
      </c>
      <c r="C712" s="3" t="s">
        <v>716</v>
      </c>
      <c r="D712" s="2" t="s">
        <v>1057</v>
      </c>
      <c r="E712" s="3" t="s">
        <v>1012</v>
      </c>
      <c r="F712" s="3">
        <v>200</v>
      </c>
      <c r="G712" s="3">
        <v>200</v>
      </c>
      <c r="H712" s="8">
        <v>500</v>
      </c>
      <c r="I712" s="48">
        <f>Table13[[#This Row],[Physical_Stock_Qty]]-Table13[[#This Row],[System_Stock_Qty]]</f>
        <v>0</v>
      </c>
      <c r="J712" s="53" t="str" cm="1">
        <f t="array" ref="J712">_xlfn.IFS(I712=0,"Matched",I712&gt;0,"Excess",I712&lt;0,"Shortage")</f>
        <v>Matched</v>
      </c>
      <c r="K712" s="50">
        <f>ABS(Table13[[#This Row],[Stock Difference]])</f>
        <v>0</v>
      </c>
      <c r="L712" s="17">
        <f t="shared" si="33"/>
        <v>0</v>
      </c>
      <c r="M712" s="17">
        <f t="shared" si="34"/>
        <v>100000</v>
      </c>
      <c r="N712" s="17" t="str" cm="1">
        <f t="array" ref="N712">_xlfn.IFS(K712=0,"Matched", K712&gt;100,"High", K712&gt;=50,"Medium", K712&lt;50,"Low")</f>
        <v>Matched</v>
      </c>
      <c r="O712" s="17" t="str">
        <f t="shared" si="35"/>
        <v>No Match</v>
      </c>
    </row>
    <row r="713" spans="2:15" hidden="1" x14ac:dyDescent="0.3">
      <c r="B713" s="7">
        <v>711</v>
      </c>
      <c r="C713" s="3" t="s">
        <v>717</v>
      </c>
      <c r="D713" s="2" t="s">
        <v>1084</v>
      </c>
      <c r="E713" s="3" t="s">
        <v>1011</v>
      </c>
      <c r="F713" s="3">
        <v>67</v>
      </c>
      <c r="G713" s="3">
        <v>67</v>
      </c>
      <c r="H713" s="8">
        <v>2000</v>
      </c>
      <c r="I713" s="48">
        <f>Table13[[#This Row],[Physical_Stock_Qty]]-Table13[[#This Row],[System_Stock_Qty]]</f>
        <v>0</v>
      </c>
      <c r="J713" s="53" t="str" cm="1">
        <f t="array" ref="J713">_xlfn.IFS(I713=0,"Matched",I713&gt;0,"Excess",I713&lt;0,"Shortage")</f>
        <v>Matched</v>
      </c>
      <c r="K713" s="50">
        <f>ABS(Table13[[#This Row],[Stock Difference]])</f>
        <v>0</v>
      </c>
      <c r="L713" s="17">
        <f t="shared" si="33"/>
        <v>0</v>
      </c>
      <c r="M713" s="17">
        <f t="shared" si="34"/>
        <v>134000</v>
      </c>
      <c r="N713" s="17" t="str" cm="1">
        <f t="array" ref="N713">_xlfn.IFS(K713=0,"Matched", K713&gt;100,"High", K713&gt;=50,"Medium", K713&lt;50,"Low")</f>
        <v>Matched</v>
      </c>
      <c r="O713" s="17" t="str">
        <f t="shared" si="35"/>
        <v>No Match</v>
      </c>
    </row>
    <row r="714" spans="2:15" hidden="1" x14ac:dyDescent="0.3">
      <c r="B714" s="7">
        <v>712</v>
      </c>
      <c r="C714" s="3" t="s">
        <v>718</v>
      </c>
      <c r="D714" s="2" t="s">
        <v>1037</v>
      </c>
      <c r="E714" s="3" t="s">
        <v>1007</v>
      </c>
      <c r="F714" s="3">
        <v>188</v>
      </c>
      <c r="G714" s="3">
        <v>188</v>
      </c>
      <c r="H714" s="8">
        <v>10000</v>
      </c>
      <c r="I714" s="48">
        <f>Table13[[#This Row],[Physical_Stock_Qty]]-Table13[[#This Row],[System_Stock_Qty]]</f>
        <v>0</v>
      </c>
      <c r="J714" s="53" t="str" cm="1">
        <f t="array" ref="J714">_xlfn.IFS(I714=0,"Matched",I714&gt;0,"Excess",I714&lt;0,"Shortage")</f>
        <v>Matched</v>
      </c>
      <c r="K714" s="50">
        <f>ABS(Table13[[#This Row],[Stock Difference]])</f>
        <v>0</v>
      </c>
      <c r="L714" s="17">
        <f t="shared" si="33"/>
        <v>0</v>
      </c>
      <c r="M714" s="17">
        <f t="shared" si="34"/>
        <v>1880000</v>
      </c>
      <c r="N714" s="17" t="str" cm="1">
        <f t="array" ref="N714">_xlfn.IFS(K714=0,"Matched", K714&gt;100,"High", K714&gt;=50,"Medium", K714&lt;50,"Low")</f>
        <v>Matched</v>
      </c>
      <c r="O714" s="17" t="str">
        <f t="shared" si="35"/>
        <v>No Match</v>
      </c>
    </row>
    <row r="715" spans="2:15" hidden="1" x14ac:dyDescent="0.3">
      <c r="B715" s="7">
        <v>713</v>
      </c>
      <c r="C715" s="3" t="s">
        <v>719</v>
      </c>
      <c r="D715" s="2" t="s">
        <v>1049</v>
      </c>
      <c r="E715" s="3" t="s">
        <v>1010</v>
      </c>
      <c r="F715" s="3">
        <v>55</v>
      </c>
      <c r="G715" s="3">
        <v>55</v>
      </c>
      <c r="H715" s="8">
        <v>20</v>
      </c>
      <c r="I715" s="48">
        <f>Table13[[#This Row],[Physical_Stock_Qty]]-Table13[[#This Row],[System_Stock_Qty]]</f>
        <v>0</v>
      </c>
      <c r="J715" s="53" t="str" cm="1">
        <f t="array" ref="J715">_xlfn.IFS(I715=0,"Matched",I715&gt;0,"Excess",I715&lt;0,"Shortage")</f>
        <v>Matched</v>
      </c>
      <c r="K715" s="50">
        <f>ABS(Table13[[#This Row],[Stock Difference]])</f>
        <v>0</v>
      </c>
      <c r="L715" s="17">
        <f t="shared" si="33"/>
        <v>0</v>
      </c>
      <c r="M715" s="17">
        <f t="shared" si="34"/>
        <v>1100</v>
      </c>
      <c r="N715" s="17" t="str" cm="1">
        <f t="array" ref="N715">_xlfn.IFS(K715=0,"Matched", K715&gt;100,"High", K715&gt;=50,"Medium", K715&lt;50,"Low")</f>
        <v>Matched</v>
      </c>
      <c r="O715" s="17" t="str">
        <f t="shared" si="35"/>
        <v>No Match</v>
      </c>
    </row>
    <row r="716" spans="2:15" hidden="1" x14ac:dyDescent="0.3">
      <c r="B716" s="7">
        <v>714</v>
      </c>
      <c r="C716" s="3" t="s">
        <v>720</v>
      </c>
      <c r="D716" s="2" t="s">
        <v>1085</v>
      </c>
      <c r="E716" s="3" t="s">
        <v>1011</v>
      </c>
      <c r="F716" s="3">
        <v>86</v>
      </c>
      <c r="G716" s="3">
        <v>86</v>
      </c>
      <c r="H716" s="8">
        <v>1500</v>
      </c>
      <c r="I716" s="48">
        <f>Table13[[#This Row],[Physical_Stock_Qty]]-Table13[[#This Row],[System_Stock_Qty]]</f>
        <v>0</v>
      </c>
      <c r="J716" s="53" t="str" cm="1">
        <f t="array" ref="J716">_xlfn.IFS(I716=0,"Matched",I716&gt;0,"Excess",I716&lt;0,"Shortage")</f>
        <v>Matched</v>
      </c>
      <c r="K716" s="50">
        <f>ABS(Table13[[#This Row],[Stock Difference]])</f>
        <v>0</v>
      </c>
      <c r="L716" s="17">
        <f t="shared" si="33"/>
        <v>0</v>
      </c>
      <c r="M716" s="17">
        <f t="shared" si="34"/>
        <v>129000</v>
      </c>
      <c r="N716" s="17" t="str" cm="1">
        <f t="array" ref="N716">_xlfn.IFS(K716=0,"Matched", K716&gt;100,"High", K716&gt;=50,"Medium", K716&lt;50,"Low")</f>
        <v>Matched</v>
      </c>
      <c r="O716" s="17" t="str">
        <f t="shared" si="35"/>
        <v>No Match</v>
      </c>
    </row>
    <row r="717" spans="2:15" hidden="1" x14ac:dyDescent="0.3">
      <c r="B717" s="7">
        <v>715</v>
      </c>
      <c r="C717" s="3" t="s">
        <v>721</v>
      </c>
      <c r="D717" s="2" t="s">
        <v>1045</v>
      </c>
      <c r="E717" s="3" t="s">
        <v>1010</v>
      </c>
      <c r="F717" s="3">
        <v>109</v>
      </c>
      <c r="G717" s="3">
        <v>109</v>
      </c>
      <c r="H717" s="8">
        <v>100</v>
      </c>
      <c r="I717" s="48">
        <f>Table13[[#This Row],[Physical_Stock_Qty]]-Table13[[#This Row],[System_Stock_Qty]]</f>
        <v>0</v>
      </c>
      <c r="J717" s="53" t="str" cm="1">
        <f t="array" ref="J717">_xlfn.IFS(I717=0,"Matched",I717&gt;0,"Excess",I717&lt;0,"Shortage")</f>
        <v>Matched</v>
      </c>
      <c r="K717" s="50">
        <f>ABS(Table13[[#This Row],[Stock Difference]])</f>
        <v>0</v>
      </c>
      <c r="L717" s="17">
        <f t="shared" si="33"/>
        <v>0</v>
      </c>
      <c r="M717" s="17">
        <f t="shared" si="34"/>
        <v>10900</v>
      </c>
      <c r="N717" s="17" t="str" cm="1">
        <f t="array" ref="N717">_xlfn.IFS(K717=0,"Matched", K717&gt;100,"High", K717&gt;=50,"Medium", K717&lt;50,"Low")</f>
        <v>Matched</v>
      </c>
      <c r="O717" s="17" t="str">
        <f t="shared" si="35"/>
        <v>No Match</v>
      </c>
    </row>
    <row r="718" spans="2:15" hidden="1" x14ac:dyDescent="0.3">
      <c r="B718" s="7">
        <v>716</v>
      </c>
      <c r="C718" s="3" t="s">
        <v>722</v>
      </c>
      <c r="D718" s="2" t="s">
        <v>1060</v>
      </c>
      <c r="E718" s="3" t="s">
        <v>1012</v>
      </c>
      <c r="F718" s="3">
        <v>53</v>
      </c>
      <c r="G718" s="3">
        <v>53</v>
      </c>
      <c r="H718" s="8">
        <v>1500</v>
      </c>
      <c r="I718" s="48">
        <f>Table13[[#This Row],[Physical_Stock_Qty]]-Table13[[#This Row],[System_Stock_Qty]]</f>
        <v>0</v>
      </c>
      <c r="J718" s="53" t="str" cm="1">
        <f t="array" ref="J718">_xlfn.IFS(I718=0,"Matched",I718&gt;0,"Excess",I718&lt;0,"Shortage")</f>
        <v>Matched</v>
      </c>
      <c r="K718" s="50">
        <f>ABS(Table13[[#This Row],[Stock Difference]])</f>
        <v>0</v>
      </c>
      <c r="L718" s="17">
        <f t="shared" si="33"/>
        <v>0</v>
      </c>
      <c r="M718" s="17">
        <f t="shared" si="34"/>
        <v>79500</v>
      </c>
      <c r="N718" s="17" t="str" cm="1">
        <f t="array" ref="N718">_xlfn.IFS(K718=0,"Matched", K718&gt;100,"High", K718&gt;=50,"Medium", K718&lt;50,"Low")</f>
        <v>Matched</v>
      </c>
      <c r="O718" s="17" t="str">
        <f t="shared" si="35"/>
        <v>No Match</v>
      </c>
    </row>
    <row r="719" spans="2:15" hidden="1" x14ac:dyDescent="0.3">
      <c r="B719" s="7">
        <v>717</v>
      </c>
      <c r="C719" s="3" t="s">
        <v>723</v>
      </c>
      <c r="D719" s="2" t="s">
        <v>1024</v>
      </c>
      <c r="E719" s="3" t="s">
        <v>1008</v>
      </c>
      <c r="F719" s="3">
        <v>128</v>
      </c>
      <c r="G719" s="3">
        <v>128</v>
      </c>
      <c r="H719" s="8">
        <v>150000</v>
      </c>
      <c r="I719" s="48">
        <f>Table13[[#This Row],[Physical_Stock_Qty]]-Table13[[#This Row],[System_Stock_Qty]]</f>
        <v>0</v>
      </c>
      <c r="J719" s="53" t="str" cm="1">
        <f t="array" ref="J719">_xlfn.IFS(I719=0,"Matched",I719&gt;0,"Excess",I719&lt;0,"Shortage")</f>
        <v>Matched</v>
      </c>
      <c r="K719" s="50">
        <f>ABS(Table13[[#This Row],[Stock Difference]])</f>
        <v>0</v>
      </c>
      <c r="L719" s="17">
        <f t="shared" si="33"/>
        <v>0</v>
      </c>
      <c r="M719" s="17">
        <f t="shared" si="34"/>
        <v>19200000</v>
      </c>
      <c r="N719" s="17" t="str" cm="1">
        <f t="array" ref="N719">_xlfn.IFS(K719=0,"Matched", K719&gt;100,"High", K719&gt;=50,"Medium", K719&lt;50,"Low")</f>
        <v>Matched</v>
      </c>
      <c r="O719" s="17" t="str">
        <f t="shared" si="35"/>
        <v>No Match</v>
      </c>
    </row>
    <row r="720" spans="2:15" hidden="1" x14ac:dyDescent="0.3">
      <c r="B720" s="7">
        <v>718</v>
      </c>
      <c r="C720" s="3" t="s">
        <v>724</v>
      </c>
      <c r="D720" s="2" t="s">
        <v>1026</v>
      </c>
      <c r="E720" s="3" t="s">
        <v>1008</v>
      </c>
      <c r="F720" s="3">
        <v>37</v>
      </c>
      <c r="G720" s="3">
        <v>37</v>
      </c>
      <c r="H720" s="8">
        <v>6000</v>
      </c>
      <c r="I720" s="48">
        <f>Table13[[#This Row],[Physical_Stock_Qty]]-Table13[[#This Row],[System_Stock_Qty]]</f>
        <v>0</v>
      </c>
      <c r="J720" s="53" t="str" cm="1">
        <f t="array" ref="J720">_xlfn.IFS(I720=0,"Matched",I720&gt;0,"Excess",I720&lt;0,"Shortage")</f>
        <v>Matched</v>
      </c>
      <c r="K720" s="50">
        <f>ABS(Table13[[#This Row],[Stock Difference]])</f>
        <v>0</v>
      </c>
      <c r="L720" s="17">
        <f t="shared" si="33"/>
        <v>0</v>
      </c>
      <c r="M720" s="17">
        <f t="shared" si="34"/>
        <v>222000</v>
      </c>
      <c r="N720" s="17" t="str" cm="1">
        <f t="array" ref="N720">_xlfn.IFS(K720=0,"Matched", K720&gt;100,"High", K720&gt;=50,"Medium", K720&lt;50,"Low")</f>
        <v>Matched</v>
      </c>
      <c r="O720" s="17" t="str">
        <f t="shared" si="35"/>
        <v>No Match</v>
      </c>
    </row>
    <row r="721" spans="2:15" x14ac:dyDescent="0.3">
      <c r="B721" s="7">
        <v>719</v>
      </c>
      <c r="C721" s="3" t="s">
        <v>725</v>
      </c>
      <c r="D721" s="2" t="s">
        <v>1022</v>
      </c>
      <c r="E721" s="3" t="s">
        <v>1008</v>
      </c>
      <c r="F721" s="3">
        <v>162</v>
      </c>
      <c r="G721" s="3">
        <v>178</v>
      </c>
      <c r="H721" s="8">
        <v>0</v>
      </c>
      <c r="I721" s="48">
        <f>Table13[[#This Row],[Physical_Stock_Qty]]-Table13[[#This Row],[System_Stock_Qty]]</f>
        <v>16</v>
      </c>
      <c r="J721" s="53" t="str" cm="1">
        <f t="array" ref="J721">_xlfn.IFS(I721=0,"Matched",I721&gt;0,"Excess",I721&lt;0,"Shortage")</f>
        <v>Excess</v>
      </c>
      <c r="K721" s="50">
        <f>ABS(Table13[[#This Row],[Stock Difference]])</f>
        <v>16</v>
      </c>
      <c r="L721" s="17">
        <f t="shared" si="33"/>
        <v>0</v>
      </c>
      <c r="M721" s="17">
        <f t="shared" si="34"/>
        <v>0</v>
      </c>
      <c r="N721" s="17" t="str" cm="1">
        <f t="array" ref="N721">_xlfn.IFS(K721=0,"Matched", K721&gt;100,"High", K721&gt;=50,"Medium", K721&lt;50,"Low")</f>
        <v>Low</v>
      </c>
      <c r="O721" s="17" t="str">
        <f t="shared" si="35"/>
        <v>No Match</v>
      </c>
    </row>
    <row r="722" spans="2:15" x14ac:dyDescent="0.3">
      <c r="B722" s="7">
        <v>720</v>
      </c>
      <c r="C722" s="3" t="s">
        <v>726</v>
      </c>
      <c r="D722" s="2" t="s">
        <v>1070</v>
      </c>
      <c r="E722" s="3" t="s">
        <v>1009</v>
      </c>
      <c r="F722" s="3">
        <v>34</v>
      </c>
      <c r="G722" s="3">
        <v>126</v>
      </c>
      <c r="H722" s="8">
        <v>1500</v>
      </c>
      <c r="I722" s="48">
        <f>Table13[[#This Row],[Physical_Stock_Qty]]-Table13[[#This Row],[System_Stock_Qty]]</f>
        <v>92</v>
      </c>
      <c r="J722" s="53" t="str" cm="1">
        <f t="array" ref="J722">_xlfn.IFS(I722=0,"Matched",I722&gt;0,"Excess",I722&lt;0,"Shortage")</f>
        <v>Excess</v>
      </c>
      <c r="K722" s="50">
        <f>ABS(Table13[[#This Row],[Stock Difference]])</f>
        <v>92</v>
      </c>
      <c r="L722" s="17">
        <f t="shared" si="33"/>
        <v>138000</v>
      </c>
      <c r="M722" s="17">
        <f t="shared" si="34"/>
        <v>51000</v>
      </c>
      <c r="N722" s="17" t="str" cm="1">
        <f t="array" ref="N722">_xlfn.IFS(K722=0,"Matched", K722&gt;100,"High", K722&gt;=50,"Medium", K722&lt;50,"Low")</f>
        <v>Medium</v>
      </c>
      <c r="O722" s="17" t="str">
        <f t="shared" si="35"/>
        <v>No</v>
      </c>
    </row>
    <row r="723" spans="2:15" x14ac:dyDescent="0.3">
      <c r="B723" s="7">
        <v>721</v>
      </c>
      <c r="C723" s="3" t="s">
        <v>727</v>
      </c>
      <c r="D723" s="2" t="s">
        <v>1025</v>
      </c>
      <c r="E723" s="3" t="s">
        <v>1008</v>
      </c>
      <c r="F723" s="3">
        <v>162</v>
      </c>
      <c r="G723" s="3">
        <v>61</v>
      </c>
      <c r="H723" s="8">
        <v>30000</v>
      </c>
      <c r="I723" s="48">
        <f>Table13[[#This Row],[Physical_Stock_Qty]]-Table13[[#This Row],[System_Stock_Qty]]</f>
        <v>-101</v>
      </c>
      <c r="J723" s="53" t="str" cm="1">
        <f t="array" ref="J723">_xlfn.IFS(I723=0,"Matched",I723&gt;0,"Excess",I723&lt;0,"Shortage")</f>
        <v>Shortage</v>
      </c>
      <c r="K723" s="50">
        <f>ABS(Table13[[#This Row],[Stock Difference]])</f>
        <v>101</v>
      </c>
      <c r="L723" s="17">
        <f t="shared" si="33"/>
        <v>3030000</v>
      </c>
      <c r="M723" s="17">
        <f t="shared" si="34"/>
        <v>4860000</v>
      </c>
      <c r="N723" s="17" t="str" cm="1">
        <f t="array" ref="N723">_xlfn.IFS(K723=0,"Matched", K723&gt;100,"High", K723&gt;=50,"Medium", K723&lt;50,"Low")</f>
        <v>High</v>
      </c>
      <c r="O723" s="17" t="str">
        <f t="shared" si="35"/>
        <v>Yes</v>
      </c>
    </row>
    <row r="724" spans="2:15" x14ac:dyDescent="0.3">
      <c r="B724" s="7">
        <v>722</v>
      </c>
      <c r="C724" s="3" t="s">
        <v>728</v>
      </c>
      <c r="D724" s="2" t="s">
        <v>1058</v>
      </c>
      <c r="E724" s="3" t="s">
        <v>1012</v>
      </c>
      <c r="F724" s="3">
        <v>107</v>
      </c>
      <c r="G724" s="3">
        <v>30</v>
      </c>
      <c r="H724" s="8">
        <v>500</v>
      </c>
      <c r="I724" s="48">
        <f>Table13[[#This Row],[Physical_Stock_Qty]]-Table13[[#This Row],[System_Stock_Qty]]</f>
        <v>-77</v>
      </c>
      <c r="J724" s="53" t="str" cm="1">
        <f t="array" ref="J724">_xlfn.IFS(I724=0,"Matched",I724&gt;0,"Excess",I724&lt;0,"Shortage")</f>
        <v>Shortage</v>
      </c>
      <c r="K724" s="50">
        <f>ABS(Table13[[#This Row],[Stock Difference]])</f>
        <v>77</v>
      </c>
      <c r="L724" s="17">
        <f t="shared" si="33"/>
        <v>38500</v>
      </c>
      <c r="M724" s="17">
        <f t="shared" si="34"/>
        <v>53500</v>
      </c>
      <c r="N724" s="17" t="str" cm="1">
        <f t="array" ref="N724">_xlfn.IFS(K724=0,"Matched", K724&gt;100,"High", K724&gt;=50,"Medium", K724&lt;50,"Low")</f>
        <v>Medium</v>
      </c>
      <c r="O724" s="17" t="str">
        <f t="shared" si="35"/>
        <v>No</v>
      </c>
    </row>
    <row r="725" spans="2:15" x14ac:dyDescent="0.3">
      <c r="B725" s="7">
        <v>723</v>
      </c>
      <c r="C725" s="3" t="s">
        <v>729</v>
      </c>
      <c r="D725" s="2" t="s">
        <v>1022</v>
      </c>
      <c r="E725" s="3" t="s">
        <v>1008</v>
      </c>
      <c r="F725" s="3">
        <v>52</v>
      </c>
      <c r="G725" s="3">
        <v>84</v>
      </c>
      <c r="H725" s="8">
        <v>0</v>
      </c>
      <c r="I725" s="48">
        <f>Table13[[#This Row],[Physical_Stock_Qty]]-Table13[[#This Row],[System_Stock_Qty]]</f>
        <v>32</v>
      </c>
      <c r="J725" s="53" t="str" cm="1">
        <f t="array" ref="J725">_xlfn.IFS(I725=0,"Matched",I725&gt;0,"Excess",I725&lt;0,"Shortage")</f>
        <v>Excess</v>
      </c>
      <c r="K725" s="50">
        <f>ABS(Table13[[#This Row],[Stock Difference]])</f>
        <v>32</v>
      </c>
      <c r="L725" s="17">
        <f t="shared" si="33"/>
        <v>0</v>
      </c>
      <c r="M725" s="17">
        <f t="shared" si="34"/>
        <v>0</v>
      </c>
      <c r="N725" s="17" t="str" cm="1">
        <f t="array" ref="N725">_xlfn.IFS(K725=0,"Matched", K725&gt;100,"High", K725&gt;=50,"Medium", K725&lt;50,"Low")</f>
        <v>Low</v>
      </c>
      <c r="O725" s="17" t="str">
        <f t="shared" si="35"/>
        <v>No Match</v>
      </c>
    </row>
    <row r="726" spans="2:15" x14ac:dyDescent="0.3">
      <c r="B726" s="7">
        <v>724</v>
      </c>
      <c r="C726" s="3" t="s">
        <v>730</v>
      </c>
      <c r="D726" s="2" t="s">
        <v>1033</v>
      </c>
      <c r="E726" s="3" t="s">
        <v>1008</v>
      </c>
      <c r="F726" s="3">
        <v>111</v>
      </c>
      <c r="G726" s="3">
        <v>181</v>
      </c>
      <c r="H726" s="8">
        <v>4000</v>
      </c>
      <c r="I726" s="48">
        <f>Table13[[#This Row],[Physical_Stock_Qty]]-Table13[[#This Row],[System_Stock_Qty]]</f>
        <v>70</v>
      </c>
      <c r="J726" s="53" t="str" cm="1">
        <f t="array" ref="J726">_xlfn.IFS(I726=0,"Matched",I726&gt;0,"Excess",I726&lt;0,"Shortage")</f>
        <v>Excess</v>
      </c>
      <c r="K726" s="50">
        <f>ABS(Table13[[#This Row],[Stock Difference]])</f>
        <v>70</v>
      </c>
      <c r="L726" s="17">
        <f t="shared" si="33"/>
        <v>280000</v>
      </c>
      <c r="M726" s="17">
        <f t="shared" si="34"/>
        <v>444000</v>
      </c>
      <c r="N726" s="17" t="str" cm="1">
        <f t="array" ref="N726">_xlfn.IFS(K726=0,"Matched", K726&gt;100,"High", K726&gt;=50,"Medium", K726&lt;50,"Low")</f>
        <v>Medium</v>
      </c>
      <c r="O726" s="17" t="str">
        <f t="shared" si="35"/>
        <v>No</v>
      </c>
    </row>
    <row r="727" spans="2:15" x14ac:dyDescent="0.3">
      <c r="B727" s="7">
        <v>725</v>
      </c>
      <c r="C727" s="3" t="s">
        <v>731</v>
      </c>
      <c r="D727" s="2" t="s">
        <v>1066</v>
      </c>
      <c r="E727" s="3" t="s">
        <v>1009</v>
      </c>
      <c r="F727" s="3">
        <v>158</v>
      </c>
      <c r="G727" s="3">
        <v>82</v>
      </c>
      <c r="H727" s="8">
        <v>800</v>
      </c>
      <c r="I727" s="48">
        <f>Table13[[#This Row],[Physical_Stock_Qty]]-Table13[[#This Row],[System_Stock_Qty]]</f>
        <v>-76</v>
      </c>
      <c r="J727" s="53" t="str" cm="1">
        <f t="array" ref="J727">_xlfn.IFS(I727=0,"Matched",I727&gt;0,"Excess",I727&lt;0,"Shortage")</f>
        <v>Shortage</v>
      </c>
      <c r="K727" s="50">
        <f>ABS(Table13[[#This Row],[Stock Difference]])</f>
        <v>76</v>
      </c>
      <c r="L727" s="17">
        <f t="shared" si="33"/>
        <v>60800</v>
      </c>
      <c r="M727" s="17">
        <f t="shared" si="34"/>
        <v>126400</v>
      </c>
      <c r="N727" s="17" t="str" cm="1">
        <f t="array" ref="N727">_xlfn.IFS(K727=0,"Matched", K727&gt;100,"High", K727&gt;=50,"Medium", K727&lt;50,"Low")</f>
        <v>Medium</v>
      </c>
      <c r="O727" s="17" t="str">
        <f t="shared" si="35"/>
        <v>No</v>
      </c>
    </row>
    <row r="728" spans="2:15" x14ac:dyDescent="0.3">
      <c r="B728" s="7">
        <v>726</v>
      </c>
      <c r="C728" s="3" t="s">
        <v>732</v>
      </c>
      <c r="D728" s="2" t="s">
        <v>1065</v>
      </c>
      <c r="E728" s="3" t="s">
        <v>1009</v>
      </c>
      <c r="F728" s="3">
        <v>30</v>
      </c>
      <c r="G728" s="3">
        <v>194</v>
      </c>
      <c r="H728" s="8">
        <v>200</v>
      </c>
      <c r="I728" s="48">
        <f>Table13[[#This Row],[Physical_Stock_Qty]]-Table13[[#This Row],[System_Stock_Qty]]</f>
        <v>164</v>
      </c>
      <c r="J728" s="53" t="str" cm="1">
        <f t="array" ref="J728">_xlfn.IFS(I728=0,"Matched",I728&gt;0,"Excess",I728&lt;0,"Shortage")</f>
        <v>Excess</v>
      </c>
      <c r="K728" s="50">
        <f>ABS(Table13[[#This Row],[Stock Difference]])</f>
        <v>164</v>
      </c>
      <c r="L728" s="17">
        <f t="shared" si="33"/>
        <v>32800</v>
      </c>
      <c r="M728" s="17">
        <f t="shared" si="34"/>
        <v>6000</v>
      </c>
      <c r="N728" s="17" t="str" cm="1">
        <f t="array" ref="N728">_xlfn.IFS(K728=0,"Matched", K728&gt;100,"High", K728&gt;=50,"Medium", K728&lt;50,"Low")</f>
        <v>High</v>
      </c>
      <c r="O728" s="17" t="str">
        <f t="shared" si="35"/>
        <v>No</v>
      </c>
    </row>
    <row r="729" spans="2:15" x14ac:dyDescent="0.3">
      <c r="B729" s="7">
        <v>727</v>
      </c>
      <c r="C729" s="3" t="s">
        <v>733</v>
      </c>
      <c r="D729" s="2" t="s">
        <v>1048</v>
      </c>
      <c r="E729" s="3" t="s">
        <v>1010</v>
      </c>
      <c r="F729" s="3">
        <v>181</v>
      </c>
      <c r="G729" s="3">
        <v>173</v>
      </c>
      <c r="H729" s="8">
        <v>50</v>
      </c>
      <c r="I729" s="48">
        <f>Table13[[#This Row],[Physical_Stock_Qty]]-Table13[[#This Row],[System_Stock_Qty]]</f>
        <v>-8</v>
      </c>
      <c r="J729" s="53" t="str" cm="1">
        <f t="array" ref="J729">_xlfn.IFS(I729=0,"Matched",I729&gt;0,"Excess",I729&lt;0,"Shortage")</f>
        <v>Shortage</v>
      </c>
      <c r="K729" s="50">
        <f>ABS(Table13[[#This Row],[Stock Difference]])</f>
        <v>8</v>
      </c>
      <c r="L729" s="17">
        <f t="shared" si="33"/>
        <v>400</v>
      </c>
      <c r="M729" s="17">
        <f t="shared" si="34"/>
        <v>9050</v>
      </c>
      <c r="N729" s="17" t="str" cm="1">
        <f t="array" ref="N729">_xlfn.IFS(K729=0,"Matched", K729&gt;100,"High", K729&gt;=50,"Medium", K729&lt;50,"Low")</f>
        <v>Low</v>
      </c>
      <c r="O729" s="17" t="str">
        <f t="shared" si="35"/>
        <v>No</v>
      </c>
    </row>
    <row r="730" spans="2:15" x14ac:dyDescent="0.3">
      <c r="B730" s="7">
        <v>728</v>
      </c>
      <c r="C730" s="3" t="s">
        <v>734</v>
      </c>
      <c r="D730" s="2" t="s">
        <v>1081</v>
      </c>
      <c r="E730" s="3" t="s">
        <v>1011</v>
      </c>
      <c r="F730" s="3">
        <v>108</v>
      </c>
      <c r="G730" s="3">
        <v>177</v>
      </c>
      <c r="H730" s="8">
        <v>1000</v>
      </c>
      <c r="I730" s="48">
        <f>Table13[[#This Row],[Physical_Stock_Qty]]-Table13[[#This Row],[System_Stock_Qty]]</f>
        <v>69</v>
      </c>
      <c r="J730" s="53" t="str" cm="1">
        <f t="array" ref="J730">_xlfn.IFS(I730=0,"Matched",I730&gt;0,"Excess",I730&lt;0,"Shortage")</f>
        <v>Excess</v>
      </c>
      <c r="K730" s="50">
        <f>ABS(Table13[[#This Row],[Stock Difference]])</f>
        <v>69</v>
      </c>
      <c r="L730" s="17">
        <f t="shared" si="33"/>
        <v>69000</v>
      </c>
      <c r="M730" s="17">
        <f t="shared" si="34"/>
        <v>108000</v>
      </c>
      <c r="N730" s="17" t="str" cm="1">
        <f t="array" ref="N730">_xlfn.IFS(K730=0,"Matched", K730&gt;100,"High", K730&gt;=50,"Medium", K730&lt;50,"Low")</f>
        <v>Medium</v>
      </c>
      <c r="O730" s="17" t="str">
        <f t="shared" si="35"/>
        <v>No</v>
      </c>
    </row>
    <row r="731" spans="2:15" x14ac:dyDescent="0.3">
      <c r="B731" s="7">
        <v>729</v>
      </c>
      <c r="C731" s="3" t="s">
        <v>735</v>
      </c>
      <c r="D731" s="2" t="s">
        <v>1066</v>
      </c>
      <c r="E731" s="3" t="s">
        <v>1009</v>
      </c>
      <c r="F731" s="3">
        <v>94</v>
      </c>
      <c r="G731" s="3">
        <v>75</v>
      </c>
      <c r="H731" s="8">
        <v>800</v>
      </c>
      <c r="I731" s="48">
        <f>Table13[[#This Row],[Physical_Stock_Qty]]-Table13[[#This Row],[System_Stock_Qty]]</f>
        <v>-19</v>
      </c>
      <c r="J731" s="53" t="str" cm="1">
        <f t="array" ref="J731">_xlfn.IFS(I731=0,"Matched",I731&gt;0,"Excess",I731&lt;0,"Shortage")</f>
        <v>Shortage</v>
      </c>
      <c r="K731" s="50">
        <f>ABS(Table13[[#This Row],[Stock Difference]])</f>
        <v>19</v>
      </c>
      <c r="L731" s="17">
        <f t="shared" si="33"/>
        <v>15200</v>
      </c>
      <c r="M731" s="17">
        <f t="shared" si="34"/>
        <v>75200</v>
      </c>
      <c r="N731" s="17" t="str" cm="1">
        <f t="array" ref="N731">_xlfn.IFS(K731=0,"Matched", K731&gt;100,"High", K731&gt;=50,"Medium", K731&lt;50,"Low")</f>
        <v>Low</v>
      </c>
      <c r="O731" s="17" t="str">
        <f t="shared" si="35"/>
        <v>No</v>
      </c>
    </row>
    <row r="732" spans="2:15" x14ac:dyDescent="0.3">
      <c r="B732" s="7">
        <v>730</v>
      </c>
      <c r="C732" s="3" t="s">
        <v>736</v>
      </c>
      <c r="D732" s="2" t="s">
        <v>1060</v>
      </c>
      <c r="E732" s="3" t="s">
        <v>1012</v>
      </c>
      <c r="F732" s="3">
        <v>120</v>
      </c>
      <c r="G732" s="3">
        <v>130</v>
      </c>
      <c r="H732" s="8">
        <v>1500</v>
      </c>
      <c r="I732" s="48">
        <f>Table13[[#This Row],[Physical_Stock_Qty]]-Table13[[#This Row],[System_Stock_Qty]]</f>
        <v>10</v>
      </c>
      <c r="J732" s="53" t="str" cm="1">
        <f t="array" ref="J732">_xlfn.IFS(I732=0,"Matched",I732&gt;0,"Excess",I732&lt;0,"Shortage")</f>
        <v>Excess</v>
      </c>
      <c r="K732" s="50">
        <f>ABS(Table13[[#This Row],[Stock Difference]])</f>
        <v>10</v>
      </c>
      <c r="L732" s="17">
        <f t="shared" si="33"/>
        <v>15000</v>
      </c>
      <c r="M732" s="17">
        <f t="shared" si="34"/>
        <v>180000</v>
      </c>
      <c r="N732" s="17" t="str" cm="1">
        <f t="array" ref="N732">_xlfn.IFS(K732=0,"Matched", K732&gt;100,"High", K732&gt;=50,"Medium", K732&lt;50,"Low")</f>
        <v>Low</v>
      </c>
      <c r="O732" s="17" t="str">
        <f t="shared" si="35"/>
        <v>No</v>
      </c>
    </row>
    <row r="733" spans="2:15" x14ac:dyDescent="0.3">
      <c r="B733" s="7">
        <v>731</v>
      </c>
      <c r="C733" s="3" t="s">
        <v>737</v>
      </c>
      <c r="D733" s="2" t="s">
        <v>1048</v>
      </c>
      <c r="E733" s="3" t="s">
        <v>1010</v>
      </c>
      <c r="F733" s="3">
        <v>53</v>
      </c>
      <c r="G733" s="3">
        <v>95</v>
      </c>
      <c r="H733" s="8">
        <v>50</v>
      </c>
      <c r="I733" s="48">
        <f>Table13[[#This Row],[Physical_Stock_Qty]]-Table13[[#This Row],[System_Stock_Qty]]</f>
        <v>42</v>
      </c>
      <c r="J733" s="53" t="str" cm="1">
        <f t="array" ref="J733">_xlfn.IFS(I733=0,"Matched",I733&gt;0,"Excess",I733&lt;0,"Shortage")</f>
        <v>Excess</v>
      </c>
      <c r="K733" s="50">
        <f>ABS(Table13[[#This Row],[Stock Difference]])</f>
        <v>42</v>
      </c>
      <c r="L733" s="17">
        <f t="shared" si="33"/>
        <v>2100</v>
      </c>
      <c r="M733" s="17">
        <f t="shared" si="34"/>
        <v>2650</v>
      </c>
      <c r="N733" s="17" t="str" cm="1">
        <f t="array" ref="N733">_xlfn.IFS(K733=0,"Matched", K733&gt;100,"High", K733&gt;=50,"Medium", K733&lt;50,"Low")</f>
        <v>Low</v>
      </c>
      <c r="O733" s="17" t="str">
        <f t="shared" si="35"/>
        <v>No</v>
      </c>
    </row>
    <row r="734" spans="2:15" x14ac:dyDescent="0.3">
      <c r="B734" s="7">
        <v>732</v>
      </c>
      <c r="C734" s="3" t="s">
        <v>738</v>
      </c>
      <c r="D734" s="2" t="s">
        <v>1058</v>
      </c>
      <c r="E734" s="3" t="s">
        <v>1012</v>
      </c>
      <c r="F734" s="3">
        <v>172</v>
      </c>
      <c r="G734" s="3">
        <v>90</v>
      </c>
      <c r="H734" s="8">
        <v>500</v>
      </c>
      <c r="I734" s="48">
        <f>Table13[[#This Row],[Physical_Stock_Qty]]-Table13[[#This Row],[System_Stock_Qty]]</f>
        <v>-82</v>
      </c>
      <c r="J734" s="53" t="str" cm="1">
        <f t="array" ref="J734">_xlfn.IFS(I734=0,"Matched",I734&gt;0,"Excess",I734&lt;0,"Shortage")</f>
        <v>Shortage</v>
      </c>
      <c r="K734" s="50">
        <f>ABS(Table13[[#This Row],[Stock Difference]])</f>
        <v>82</v>
      </c>
      <c r="L734" s="17">
        <f t="shared" si="33"/>
        <v>41000</v>
      </c>
      <c r="M734" s="17">
        <f t="shared" si="34"/>
        <v>86000</v>
      </c>
      <c r="N734" s="17" t="str" cm="1">
        <f t="array" ref="N734">_xlfn.IFS(K734=0,"Matched", K734&gt;100,"High", K734&gt;=50,"Medium", K734&lt;50,"Low")</f>
        <v>Medium</v>
      </c>
      <c r="O734" s="17" t="str">
        <f t="shared" si="35"/>
        <v>No</v>
      </c>
    </row>
    <row r="735" spans="2:15" x14ac:dyDescent="0.3">
      <c r="B735" s="7">
        <v>733</v>
      </c>
      <c r="C735" s="3" t="s">
        <v>739</v>
      </c>
      <c r="D735" s="2" t="s">
        <v>1025</v>
      </c>
      <c r="E735" s="3" t="s">
        <v>1008</v>
      </c>
      <c r="F735" s="3">
        <v>160</v>
      </c>
      <c r="G735" s="3">
        <v>200</v>
      </c>
      <c r="H735" s="8">
        <v>30000</v>
      </c>
      <c r="I735" s="48">
        <f>Table13[[#This Row],[Physical_Stock_Qty]]-Table13[[#This Row],[System_Stock_Qty]]</f>
        <v>40</v>
      </c>
      <c r="J735" s="53" t="str" cm="1">
        <f t="array" ref="J735">_xlfn.IFS(I735=0,"Matched",I735&gt;0,"Excess",I735&lt;0,"Shortage")</f>
        <v>Excess</v>
      </c>
      <c r="K735" s="50">
        <f>ABS(Table13[[#This Row],[Stock Difference]])</f>
        <v>40</v>
      </c>
      <c r="L735" s="17">
        <f t="shared" si="33"/>
        <v>1200000</v>
      </c>
      <c r="M735" s="17">
        <f t="shared" si="34"/>
        <v>4800000</v>
      </c>
      <c r="N735" s="17" t="str" cm="1">
        <f t="array" ref="N735">_xlfn.IFS(K735=0,"Matched", K735&gt;100,"High", K735&gt;=50,"Medium", K735&lt;50,"Low")</f>
        <v>Low</v>
      </c>
      <c r="O735" s="17" t="str">
        <f t="shared" si="35"/>
        <v>Yes</v>
      </c>
    </row>
    <row r="736" spans="2:15" x14ac:dyDescent="0.3">
      <c r="B736" s="7">
        <v>734</v>
      </c>
      <c r="C736" s="3" t="s">
        <v>740</v>
      </c>
      <c r="D736" s="2" t="s">
        <v>1041</v>
      </c>
      <c r="E736" s="3" t="s">
        <v>1007</v>
      </c>
      <c r="F736" s="3">
        <v>141</v>
      </c>
      <c r="G736" s="3">
        <v>166</v>
      </c>
      <c r="H736" s="8">
        <v>2000</v>
      </c>
      <c r="I736" s="48">
        <f>Table13[[#This Row],[Physical_Stock_Qty]]-Table13[[#This Row],[System_Stock_Qty]]</f>
        <v>25</v>
      </c>
      <c r="J736" s="53" t="str" cm="1">
        <f t="array" ref="J736">_xlfn.IFS(I736=0,"Matched",I736&gt;0,"Excess",I736&lt;0,"Shortage")</f>
        <v>Excess</v>
      </c>
      <c r="K736" s="50">
        <f>ABS(Table13[[#This Row],[Stock Difference]])</f>
        <v>25</v>
      </c>
      <c r="L736" s="17">
        <f t="shared" si="33"/>
        <v>50000</v>
      </c>
      <c r="M736" s="17">
        <f t="shared" si="34"/>
        <v>282000</v>
      </c>
      <c r="N736" s="17" t="str" cm="1">
        <f t="array" ref="N736">_xlfn.IFS(K736=0,"Matched", K736&gt;100,"High", K736&gt;=50,"Medium", K736&lt;50,"Low")</f>
        <v>Low</v>
      </c>
      <c r="O736" s="17" t="str">
        <f t="shared" si="35"/>
        <v>No</v>
      </c>
    </row>
    <row r="737" spans="2:15" x14ac:dyDescent="0.3">
      <c r="B737" s="7">
        <v>735</v>
      </c>
      <c r="C737" s="3" t="s">
        <v>741</v>
      </c>
      <c r="D737" s="2" t="s">
        <v>1049</v>
      </c>
      <c r="E737" s="3" t="s">
        <v>1010</v>
      </c>
      <c r="F737" s="3">
        <v>177</v>
      </c>
      <c r="G737" s="3">
        <v>112</v>
      </c>
      <c r="H737" s="8">
        <v>20</v>
      </c>
      <c r="I737" s="48">
        <f>Table13[[#This Row],[Physical_Stock_Qty]]-Table13[[#This Row],[System_Stock_Qty]]</f>
        <v>-65</v>
      </c>
      <c r="J737" s="53" t="str" cm="1">
        <f t="array" ref="J737">_xlfn.IFS(I737=0,"Matched",I737&gt;0,"Excess",I737&lt;0,"Shortage")</f>
        <v>Shortage</v>
      </c>
      <c r="K737" s="50">
        <f>ABS(Table13[[#This Row],[Stock Difference]])</f>
        <v>65</v>
      </c>
      <c r="L737" s="17">
        <f t="shared" si="33"/>
        <v>1300</v>
      </c>
      <c r="M737" s="17">
        <f t="shared" si="34"/>
        <v>3540</v>
      </c>
      <c r="N737" s="17" t="str" cm="1">
        <f t="array" ref="N737">_xlfn.IFS(K737=0,"Matched", K737&gt;100,"High", K737&gt;=50,"Medium", K737&lt;50,"Low")</f>
        <v>Medium</v>
      </c>
      <c r="O737" s="17" t="str">
        <f t="shared" si="35"/>
        <v>No</v>
      </c>
    </row>
    <row r="738" spans="2:15" x14ac:dyDescent="0.3">
      <c r="B738" s="7">
        <v>736</v>
      </c>
      <c r="C738" s="3" t="s">
        <v>742</v>
      </c>
      <c r="D738" s="2" t="s">
        <v>1037</v>
      </c>
      <c r="E738" s="3" t="s">
        <v>1007</v>
      </c>
      <c r="F738" s="3">
        <v>162</v>
      </c>
      <c r="G738" s="3">
        <v>117</v>
      </c>
      <c r="H738" s="8">
        <v>10000</v>
      </c>
      <c r="I738" s="48">
        <f>Table13[[#This Row],[Physical_Stock_Qty]]-Table13[[#This Row],[System_Stock_Qty]]</f>
        <v>-45</v>
      </c>
      <c r="J738" s="53" t="str" cm="1">
        <f t="array" ref="J738">_xlfn.IFS(I738=0,"Matched",I738&gt;0,"Excess",I738&lt;0,"Shortage")</f>
        <v>Shortage</v>
      </c>
      <c r="K738" s="50">
        <f>ABS(Table13[[#This Row],[Stock Difference]])</f>
        <v>45</v>
      </c>
      <c r="L738" s="17">
        <f t="shared" si="33"/>
        <v>450000</v>
      </c>
      <c r="M738" s="17">
        <f t="shared" si="34"/>
        <v>1620000</v>
      </c>
      <c r="N738" s="17" t="str" cm="1">
        <f t="array" ref="N738">_xlfn.IFS(K738=0,"Matched", K738&gt;100,"High", K738&gt;=50,"Medium", K738&lt;50,"Low")</f>
        <v>Low</v>
      </c>
      <c r="O738" s="17" t="str">
        <f t="shared" si="35"/>
        <v>No</v>
      </c>
    </row>
    <row r="739" spans="2:15" x14ac:dyDescent="0.3">
      <c r="B739" s="7">
        <v>737</v>
      </c>
      <c r="C739" s="3" t="s">
        <v>743</v>
      </c>
      <c r="D739" s="2" t="s">
        <v>1070</v>
      </c>
      <c r="E739" s="3" t="s">
        <v>1009</v>
      </c>
      <c r="F739" s="3">
        <v>38</v>
      </c>
      <c r="G739" s="3">
        <v>30</v>
      </c>
      <c r="H739" s="8">
        <v>1500</v>
      </c>
      <c r="I739" s="48">
        <f>Table13[[#This Row],[Physical_Stock_Qty]]-Table13[[#This Row],[System_Stock_Qty]]</f>
        <v>-8</v>
      </c>
      <c r="J739" s="53" t="str" cm="1">
        <f t="array" ref="J739">_xlfn.IFS(I739=0,"Matched",I739&gt;0,"Excess",I739&lt;0,"Shortage")</f>
        <v>Shortage</v>
      </c>
      <c r="K739" s="50">
        <f>ABS(Table13[[#This Row],[Stock Difference]])</f>
        <v>8</v>
      </c>
      <c r="L739" s="17">
        <f t="shared" si="33"/>
        <v>12000</v>
      </c>
      <c r="M739" s="17">
        <f t="shared" si="34"/>
        <v>57000</v>
      </c>
      <c r="N739" s="17" t="str" cm="1">
        <f t="array" ref="N739">_xlfn.IFS(K739=0,"Matched", K739&gt;100,"High", K739&gt;=50,"Medium", K739&lt;50,"Low")</f>
        <v>Low</v>
      </c>
      <c r="O739" s="17" t="str">
        <f t="shared" si="35"/>
        <v>No</v>
      </c>
    </row>
    <row r="740" spans="2:15" x14ac:dyDescent="0.3">
      <c r="B740" s="7">
        <v>738</v>
      </c>
      <c r="C740" s="3" t="s">
        <v>744</v>
      </c>
      <c r="D740" s="2" t="s">
        <v>1085</v>
      </c>
      <c r="E740" s="3" t="s">
        <v>1011</v>
      </c>
      <c r="F740" s="3">
        <v>198</v>
      </c>
      <c r="G740" s="3">
        <v>196</v>
      </c>
      <c r="H740" s="8">
        <v>1500</v>
      </c>
      <c r="I740" s="48">
        <f>Table13[[#This Row],[Physical_Stock_Qty]]-Table13[[#This Row],[System_Stock_Qty]]</f>
        <v>-2</v>
      </c>
      <c r="J740" s="53" t="str" cm="1">
        <f t="array" ref="J740">_xlfn.IFS(I740=0,"Matched",I740&gt;0,"Excess",I740&lt;0,"Shortage")</f>
        <v>Shortage</v>
      </c>
      <c r="K740" s="50">
        <f>ABS(Table13[[#This Row],[Stock Difference]])</f>
        <v>2</v>
      </c>
      <c r="L740" s="17">
        <f t="shared" si="33"/>
        <v>3000</v>
      </c>
      <c r="M740" s="17">
        <f t="shared" si="34"/>
        <v>297000</v>
      </c>
      <c r="N740" s="17" t="str" cm="1">
        <f t="array" ref="N740">_xlfn.IFS(K740=0,"Matched", K740&gt;100,"High", K740&gt;=50,"Medium", K740&lt;50,"Low")</f>
        <v>Low</v>
      </c>
      <c r="O740" s="17" t="str">
        <f t="shared" si="35"/>
        <v>No</v>
      </c>
    </row>
    <row r="741" spans="2:15" hidden="1" x14ac:dyDescent="0.3">
      <c r="B741" s="7">
        <v>739</v>
      </c>
      <c r="C741" s="3" t="s">
        <v>745</v>
      </c>
      <c r="D741" s="2" t="s">
        <v>1051</v>
      </c>
      <c r="E741" s="3" t="s">
        <v>1010</v>
      </c>
      <c r="F741" s="3">
        <v>184</v>
      </c>
      <c r="G741" s="3">
        <v>184</v>
      </c>
      <c r="H741" s="8">
        <v>50</v>
      </c>
      <c r="I741" s="48">
        <f>Table13[[#This Row],[Physical_Stock_Qty]]-Table13[[#This Row],[System_Stock_Qty]]</f>
        <v>0</v>
      </c>
      <c r="J741" s="53" t="str" cm="1">
        <f t="array" ref="J741">_xlfn.IFS(I741=0,"Matched",I741&gt;0,"Excess",I741&lt;0,"Shortage")</f>
        <v>Matched</v>
      </c>
      <c r="K741" s="50">
        <f>ABS(Table13[[#This Row],[Stock Difference]])</f>
        <v>0</v>
      </c>
      <c r="L741" s="17">
        <f t="shared" si="33"/>
        <v>0</v>
      </c>
      <c r="M741" s="17">
        <f t="shared" si="34"/>
        <v>9200</v>
      </c>
      <c r="N741" s="17" t="str" cm="1">
        <f t="array" ref="N741">_xlfn.IFS(K741=0,"Matched", K741&gt;100,"High", K741&gt;=50,"Medium", K741&lt;50,"Low")</f>
        <v>Matched</v>
      </c>
      <c r="O741" s="17" t="str">
        <f t="shared" si="35"/>
        <v>No Match</v>
      </c>
    </row>
    <row r="742" spans="2:15" x14ac:dyDescent="0.3">
      <c r="B742" s="7">
        <v>740</v>
      </c>
      <c r="C742" s="3" t="s">
        <v>746</v>
      </c>
      <c r="D742" s="2" t="s">
        <v>1075</v>
      </c>
      <c r="E742" s="3" t="s">
        <v>1009</v>
      </c>
      <c r="F742" s="3">
        <v>122</v>
      </c>
      <c r="G742" s="3">
        <v>52</v>
      </c>
      <c r="H742" s="8">
        <v>2000</v>
      </c>
      <c r="I742" s="48">
        <f>Table13[[#This Row],[Physical_Stock_Qty]]-Table13[[#This Row],[System_Stock_Qty]]</f>
        <v>-70</v>
      </c>
      <c r="J742" s="53" t="str" cm="1">
        <f t="array" ref="J742">_xlfn.IFS(I742=0,"Matched",I742&gt;0,"Excess",I742&lt;0,"Shortage")</f>
        <v>Shortage</v>
      </c>
      <c r="K742" s="50">
        <f>ABS(Table13[[#This Row],[Stock Difference]])</f>
        <v>70</v>
      </c>
      <c r="L742" s="17">
        <f t="shared" si="33"/>
        <v>140000</v>
      </c>
      <c r="M742" s="17">
        <f t="shared" si="34"/>
        <v>244000</v>
      </c>
      <c r="N742" s="17" t="str" cm="1">
        <f t="array" ref="N742">_xlfn.IFS(K742=0,"Matched", K742&gt;100,"High", K742&gt;=50,"Medium", K742&lt;50,"Low")</f>
        <v>Medium</v>
      </c>
      <c r="O742" s="17" t="str">
        <f t="shared" si="35"/>
        <v>No</v>
      </c>
    </row>
    <row r="743" spans="2:15" x14ac:dyDescent="0.3">
      <c r="B743" s="7">
        <v>741</v>
      </c>
      <c r="C743" s="3" t="s">
        <v>747</v>
      </c>
      <c r="D743" s="2" t="s">
        <v>1057</v>
      </c>
      <c r="E743" s="3" t="s">
        <v>1012</v>
      </c>
      <c r="F743" s="3">
        <v>125</v>
      </c>
      <c r="G743" s="3">
        <v>131</v>
      </c>
      <c r="H743" s="8">
        <v>500</v>
      </c>
      <c r="I743" s="48">
        <f>Table13[[#This Row],[Physical_Stock_Qty]]-Table13[[#This Row],[System_Stock_Qty]]</f>
        <v>6</v>
      </c>
      <c r="J743" s="53" t="str" cm="1">
        <f t="array" ref="J743">_xlfn.IFS(I743=0,"Matched",I743&gt;0,"Excess",I743&lt;0,"Shortage")</f>
        <v>Excess</v>
      </c>
      <c r="K743" s="50">
        <f>ABS(Table13[[#This Row],[Stock Difference]])</f>
        <v>6</v>
      </c>
      <c r="L743" s="17">
        <f t="shared" si="33"/>
        <v>3000</v>
      </c>
      <c r="M743" s="17">
        <f t="shared" si="34"/>
        <v>62500</v>
      </c>
      <c r="N743" s="17" t="str" cm="1">
        <f t="array" ref="N743">_xlfn.IFS(K743=0,"Matched", K743&gt;100,"High", K743&gt;=50,"Medium", K743&lt;50,"Low")</f>
        <v>Low</v>
      </c>
      <c r="O743" s="17" t="str">
        <f t="shared" si="35"/>
        <v>No</v>
      </c>
    </row>
    <row r="744" spans="2:15" x14ac:dyDescent="0.3">
      <c r="B744" s="7">
        <v>742</v>
      </c>
      <c r="C744" s="3" t="s">
        <v>748</v>
      </c>
      <c r="D744" s="2" t="s">
        <v>1054</v>
      </c>
      <c r="E744" s="3" t="s">
        <v>1010</v>
      </c>
      <c r="F744" s="3">
        <v>101</v>
      </c>
      <c r="G744" s="3">
        <v>116</v>
      </c>
      <c r="H744" s="8">
        <v>30</v>
      </c>
      <c r="I744" s="48">
        <f>Table13[[#This Row],[Physical_Stock_Qty]]-Table13[[#This Row],[System_Stock_Qty]]</f>
        <v>15</v>
      </c>
      <c r="J744" s="53" t="str" cm="1">
        <f t="array" ref="J744">_xlfn.IFS(I744=0,"Matched",I744&gt;0,"Excess",I744&lt;0,"Shortage")</f>
        <v>Excess</v>
      </c>
      <c r="K744" s="50">
        <f>ABS(Table13[[#This Row],[Stock Difference]])</f>
        <v>15</v>
      </c>
      <c r="L744" s="17">
        <f t="shared" si="33"/>
        <v>450</v>
      </c>
      <c r="M744" s="17">
        <f t="shared" si="34"/>
        <v>3030</v>
      </c>
      <c r="N744" s="17" t="str" cm="1">
        <f t="array" ref="N744">_xlfn.IFS(K744=0,"Matched", K744&gt;100,"High", K744&gt;=50,"Medium", K744&lt;50,"Low")</f>
        <v>Low</v>
      </c>
      <c r="O744" s="17" t="str">
        <f t="shared" si="35"/>
        <v>No</v>
      </c>
    </row>
    <row r="745" spans="2:15" x14ac:dyDescent="0.3">
      <c r="B745" s="7">
        <v>743</v>
      </c>
      <c r="C745" s="3" t="s">
        <v>749</v>
      </c>
      <c r="D745" s="2" t="s">
        <v>1076</v>
      </c>
      <c r="E745" s="3" t="s">
        <v>1009</v>
      </c>
      <c r="F745" s="3">
        <v>67</v>
      </c>
      <c r="G745" s="3">
        <v>55</v>
      </c>
      <c r="H745" s="8">
        <v>100</v>
      </c>
      <c r="I745" s="48">
        <f>Table13[[#This Row],[Physical_Stock_Qty]]-Table13[[#This Row],[System_Stock_Qty]]</f>
        <v>-12</v>
      </c>
      <c r="J745" s="53" t="str" cm="1">
        <f t="array" ref="J745">_xlfn.IFS(I745=0,"Matched",I745&gt;0,"Excess",I745&lt;0,"Shortage")</f>
        <v>Shortage</v>
      </c>
      <c r="K745" s="50">
        <f>ABS(Table13[[#This Row],[Stock Difference]])</f>
        <v>12</v>
      </c>
      <c r="L745" s="17">
        <f t="shared" si="33"/>
        <v>1200</v>
      </c>
      <c r="M745" s="17">
        <f t="shared" si="34"/>
        <v>6700</v>
      </c>
      <c r="N745" s="17" t="str" cm="1">
        <f t="array" ref="N745">_xlfn.IFS(K745=0,"Matched", K745&gt;100,"High", K745&gt;=50,"Medium", K745&lt;50,"Low")</f>
        <v>Low</v>
      </c>
      <c r="O745" s="17" t="str">
        <f t="shared" si="35"/>
        <v>No</v>
      </c>
    </row>
    <row r="746" spans="2:15" x14ac:dyDescent="0.3">
      <c r="B746" s="7">
        <v>744</v>
      </c>
      <c r="C746" s="3" t="s">
        <v>750</v>
      </c>
      <c r="D746" s="2" t="s">
        <v>1024</v>
      </c>
      <c r="E746" s="3" t="s">
        <v>1008</v>
      </c>
      <c r="F746" s="3">
        <v>155</v>
      </c>
      <c r="G746" s="3">
        <v>48</v>
      </c>
      <c r="H746" s="8">
        <v>150000</v>
      </c>
      <c r="I746" s="48">
        <f>Table13[[#This Row],[Physical_Stock_Qty]]-Table13[[#This Row],[System_Stock_Qty]]</f>
        <v>-107</v>
      </c>
      <c r="J746" s="53" t="str" cm="1">
        <f t="array" ref="J746">_xlfn.IFS(I746=0,"Matched",I746&gt;0,"Excess",I746&lt;0,"Shortage")</f>
        <v>Shortage</v>
      </c>
      <c r="K746" s="50">
        <f>ABS(Table13[[#This Row],[Stock Difference]])</f>
        <v>107</v>
      </c>
      <c r="L746" s="17">
        <f t="shared" si="33"/>
        <v>16050000</v>
      </c>
      <c r="M746" s="17">
        <f t="shared" si="34"/>
        <v>23250000</v>
      </c>
      <c r="N746" s="17" t="str" cm="1">
        <f t="array" ref="N746">_xlfn.IFS(K746=0,"Matched", K746&gt;100,"High", K746&gt;=50,"Medium", K746&lt;50,"Low")</f>
        <v>High</v>
      </c>
      <c r="O746" s="17" t="str">
        <f t="shared" si="35"/>
        <v>Yes</v>
      </c>
    </row>
    <row r="747" spans="2:15" x14ac:dyDescent="0.3">
      <c r="B747" s="7">
        <v>745</v>
      </c>
      <c r="C747" s="3" t="s">
        <v>751</v>
      </c>
      <c r="D747" s="2" t="s">
        <v>1056</v>
      </c>
      <c r="E747" s="3" t="s">
        <v>1012</v>
      </c>
      <c r="F747" s="3">
        <v>31</v>
      </c>
      <c r="G747" s="3">
        <v>119</v>
      </c>
      <c r="H747" s="8">
        <v>100</v>
      </c>
      <c r="I747" s="48">
        <f>Table13[[#This Row],[Physical_Stock_Qty]]-Table13[[#This Row],[System_Stock_Qty]]</f>
        <v>88</v>
      </c>
      <c r="J747" s="53" t="str" cm="1">
        <f t="array" ref="J747">_xlfn.IFS(I747=0,"Matched",I747&gt;0,"Excess",I747&lt;0,"Shortage")</f>
        <v>Excess</v>
      </c>
      <c r="K747" s="50">
        <f>ABS(Table13[[#This Row],[Stock Difference]])</f>
        <v>88</v>
      </c>
      <c r="L747" s="17">
        <f t="shared" si="33"/>
        <v>8800</v>
      </c>
      <c r="M747" s="17">
        <f t="shared" si="34"/>
        <v>3100</v>
      </c>
      <c r="N747" s="17" t="str" cm="1">
        <f t="array" ref="N747">_xlfn.IFS(K747=0,"Matched", K747&gt;100,"High", K747&gt;=50,"Medium", K747&lt;50,"Low")</f>
        <v>Medium</v>
      </c>
      <c r="O747" s="17" t="str">
        <f t="shared" si="35"/>
        <v>No</v>
      </c>
    </row>
    <row r="748" spans="2:15" x14ac:dyDescent="0.3">
      <c r="B748" s="7">
        <v>746</v>
      </c>
      <c r="C748" s="3" t="s">
        <v>752</v>
      </c>
      <c r="D748" s="2" t="s">
        <v>1080</v>
      </c>
      <c r="E748" s="3" t="s">
        <v>1011</v>
      </c>
      <c r="F748" s="3">
        <v>175</v>
      </c>
      <c r="G748" s="3">
        <v>44</v>
      </c>
      <c r="H748" s="8">
        <v>2500</v>
      </c>
      <c r="I748" s="48">
        <f>Table13[[#This Row],[Physical_Stock_Qty]]-Table13[[#This Row],[System_Stock_Qty]]</f>
        <v>-131</v>
      </c>
      <c r="J748" s="53" t="str" cm="1">
        <f t="array" ref="J748">_xlfn.IFS(I748=0,"Matched",I748&gt;0,"Excess",I748&lt;0,"Shortage")</f>
        <v>Shortage</v>
      </c>
      <c r="K748" s="50">
        <f>ABS(Table13[[#This Row],[Stock Difference]])</f>
        <v>131</v>
      </c>
      <c r="L748" s="17">
        <f t="shared" si="33"/>
        <v>327500</v>
      </c>
      <c r="M748" s="17">
        <f t="shared" si="34"/>
        <v>437500</v>
      </c>
      <c r="N748" s="17" t="str" cm="1">
        <f t="array" ref="N748">_xlfn.IFS(K748=0,"Matched", K748&gt;100,"High", K748&gt;=50,"Medium", K748&lt;50,"Low")</f>
        <v>High</v>
      </c>
      <c r="O748" s="17" t="str">
        <f t="shared" si="35"/>
        <v>No</v>
      </c>
    </row>
    <row r="749" spans="2:15" x14ac:dyDescent="0.3">
      <c r="B749" s="7">
        <v>747</v>
      </c>
      <c r="C749" s="3" t="s">
        <v>753</v>
      </c>
      <c r="D749" s="2" t="s">
        <v>1077</v>
      </c>
      <c r="E749" s="3" t="s">
        <v>1011</v>
      </c>
      <c r="F749" s="3">
        <v>172</v>
      </c>
      <c r="G749" s="3">
        <v>53</v>
      </c>
      <c r="H749" s="8">
        <v>5000</v>
      </c>
      <c r="I749" s="48">
        <f>Table13[[#This Row],[Physical_Stock_Qty]]-Table13[[#This Row],[System_Stock_Qty]]</f>
        <v>-119</v>
      </c>
      <c r="J749" s="53" t="str" cm="1">
        <f t="array" ref="J749">_xlfn.IFS(I749=0,"Matched",I749&gt;0,"Excess",I749&lt;0,"Shortage")</f>
        <v>Shortage</v>
      </c>
      <c r="K749" s="50">
        <f>ABS(Table13[[#This Row],[Stock Difference]])</f>
        <v>119</v>
      </c>
      <c r="L749" s="17">
        <f t="shared" si="33"/>
        <v>595000</v>
      </c>
      <c r="M749" s="17">
        <f t="shared" si="34"/>
        <v>860000</v>
      </c>
      <c r="N749" s="17" t="str" cm="1">
        <f t="array" ref="N749">_xlfn.IFS(K749=0,"Matched", K749&gt;100,"High", K749&gt;=50,"Medium", K749&lt;50,"Low")</f>
        <v>High</v>
      </c>
      <c r="O749" s="17" t="str">
        <f t="shared" si="35"/>
        <v>Yes</v>
      </c>
    </row>
    <row r="750" spans="2:15" x14ac:dyDescent="0.3">
      <c r="B750" s="7">
        <v>748</v>
      </c>
      <c r="C750" s="3" t="s">
        <v>754</v>
      </c>
      <c r="D750" s="2" t="s">
        <v>1048</v>
      </c>
      <c r="E750" s="3" t="s">
        <v>1010</v>
      </c>
      <c r="F750" s="3">
        <v>81</v>
      </c>
      <c r="G750" s="3">
        <v>175</v>
      </c>
      <c r="H750" s="8">
        <v>50</v>
      </c>
      <c r="I750" s="48">
        <f>Table13[[#This Row],[Physical_Stock_Qty]]-Table13[[#This Row],[System_Stock_Qty]]</f>
        <v>94</v>
      </c>
      <c r="J750" s="53" t="str" cm="1">
        <f t="array" ref="J750">_xlfn.IFS(I750=0,"Matched",I750&gt;0,"Excess",I750&lt;0,"Shortage")</f>
        <v>Excess</v>
      </c>
      <c r="K750" s="50">
        <f>ABS(Table13[[#This Row],[Stock Difference]])</f>
        <v>94</v>
      </c>
      <c r="L750" s="17">
        <f t="shared" si="33"/>
        <v>4700</v>
      </c>
      <c r="M750" s="17">
        <f t="shared" si="34"/>
        <v>4050</v>
      </c>
      <c r="N750" s="17" t="str" cm="1">
        <f t="array" ref="N750">_xlfn.IFS(K750=0,"Matched", K750&gt;100,"High", K750&gt;=50,"Medium", K750&lt;50,"Low")</f>
        <v>Medium</v>
      </c>
      <c r="O750" s="17" t="str">
        <f t="shared" si="35"/>
        <v>No</v>
      </c>
    </row>
    <row r="751" spans="2:15" x14ac:dyDescent="0.3">
      <c r="B751" s="7">
        <v>749</v>
      </c>
      <c r="C751" s="3" t="s">
        <v>755</v>
      </c>
      <c r="D751" s="2" t="s">
        <v>1069</v>
      </c>
      <c r="E751" s="3" t="s">
        <v>1009</v>
      </c>
      <c r="F751" s="3">
        <v>114</v>
      </c>
      <c r="G751" s="3">
        <v>150</v>
      </c>
      <c r="H751" s="8">
        <v>200</v>
      </c>
      <c r="I751" s="48">
        <f>Table13[[#This Row],[Physical_Stock_Qty]]-Table13[[#This Row],[System_Stock_Qty]]</f>
        <v>36</v>
      </c>
      <c r="J751" s="53" t="str" cm="1">
        <f t="array" ref="J751">_xlfn.IFS(I751=0,"Matched",I751&gt;0,"Excess",I751&lt;0,"Shortage")</f>
        <v>Excess</v>
      </c>
      <c r="K751" s="50">
        <f>ABS(Table13[[#This Row],[Stock Difference]])</f>
        <v>36</v>
      </c>
      <c r="L751" s="17">
        <f t="shared" si="33"/>
        <v>7200</v>
      </c>
      <c r="M751" s="17">
        <f t="shared" si="34"/>
        <v>22800</v>
      </c>
      <c r="N751" s="17" t="str" cm="1">
        <f t="array" ref="N751">_xlfn.IFS(K751=0,"Matched", K751&gt;100,"High", K751&gt;=50,"Medium", K751&lt;50,"Low")</f>
        <v>Low</v>
      </c>
      <c r="O751" s="17" t="str">
        <f t="shared" si="35"/>
        <v>No</v>
      </c>
    </row>
    <row r="752" spans="2:15" x14ac:dyDescent="0.3">
      <c r="B752" s="7">
        <v>750</v>
      </c>
      <c r="C752" s="3" t="s">
        <v>756</v>
      </c>
      <c r="D752" s="2" t="s">
        <v>1035</v>
      </c>
      <c r="E752" s="3" t="s">
        <v>1007</v>
      </c>
      <c r="F752" s="3">
        <v>172</v>
      </c>
      <c r="G752" s="3">
        <v>138</v>
      </c>
      <c r="H752" s="8">
        <v>15000</v>
      </c>
      <c r="I752" s="48">
        <f>Table13[[#This Row],[Physical_Stock_Qty]]-Table13[[#This Row],[System_Stock_Qty]]</f>
        <v>-34</v>
      </c>
      <c r="J752" s="53" t="str" cm="1">
        <f t="array" ref="J752">_xlfn.IFS(I752=0,"Matched",I752&gt;0,"Excess",I752&lt;0,"Shortage")</f>
        <v>Shortage</v>
      </c>
      <c r="K752" s="50">
        <f>ABS(Table13[[#This Row],[Stock Difference]])</f>
        <v>34</v>
      </c>
      <c r="L752" s="17">
        <f t="shared" si="33"/>
        <v>510000</v>
      </c>
      <c r="M752" s="17">
        <f t="shared" si="34"/>
        <v>2580000</v>
      </c>
      <c r="N752" s="17" t="str" cm="1">
        <f t="array" ref="N752">_xlfn.IFS(K752=0,"Matched", K752&gt;100,"High", K752&gt;=50,"Medium", K752&lt;50,"Low")</f>
        <v>Low</v>
      </c>
      <c r="O752" s="17" t="str">
        <f t="shared" si="35"/>
        <v>Yes</v>
      </c>
    </row>
    <row r="753" spans="2:15" x14ac:dyDescent="0.3">
      <c r="B753" s="7">
        <v>751</v>
      </c>
      <c r="C753" s="3" t="s">
        <v>757</v>
      </c>
      <c r="D753" s="2" t="s">
        <v>1061</v>
      </c>
      <c r="E753" s="3" t="s">
        <v>1012</v>
      </c>
      <c r="F753" s="3">
        <v>58</v>
      </c>
      <c r="G753" s="3">
        <v>33</v>
      </c>
      <c r="H753" s="8">
        <v>500</v>
      </c>
      <c r="I753" s="48">
        <f>Table13[[#This Row],[Physical_Stock_Qty]]-Table13[[#This Row],[System_Stock_Qty]]</f>
        <v>-25</v>
      </c>
      <c r="J753" s="53" t="str" cm="1">
        <f t="array" ref="J753">_xlfn.IFS(I753=0,"Matched",I753&gt;0,"Excess",I753&lt;0,"Shortage")</f>
        <v>Shortage</v>
      </c>
      <c r="K753" s="50">
        <f>ABS(Table13[[#This Row],[Stock Difference]])</f>
        <v>25</v>
      </c>
      <c r="L753" s="17">
        <f t="shared" si="33"/>
        <v>12500</v>
      </c>
      <c r="M753" s="17">
        <f t="shared" si="34"/>
        <v>29000</v>
      </c>
      <c r="N753" s="17" t="str" cm="1">
        <f t="array" ref="N753">_xlfn.IFS(K753=0,"Matched", K753&gt;100,"High", K753&gt;=50,"Medium", K753&lt;50,"Low")</f>
        <v>Low</v>
      </c>
      <c r="O753" s="17" t="str">
        <f t="shared" si="35"/>
        <v>No</v>
      </c>
    </row>
    <row r="754" spans="2:15" x14ac:dyDescent="0.3">
      <c r="B754" s="7">
        <v>752</v>
      </c>
      <c r="C754" s="3" t="s">
        <v>758</v>
      </c>
      <c r="D754" s="2" t="s">
        <v>1069</v>
      </c>
      <c r="E754" s="3" t="s">
        <v>1009</v>
      </c>
      <c r="F754" s="3">
        <v>195</v>
      </c>
      <c r="G754" s="3">
        <v>45</v>
      </c>
      <c r="H754" s="8">
        <v>200</v>
      </c>
      <c r="I754" s="48">
        <f>Table13[[#This Row],[Physical_Stock_Qty]]-Table13[[#This Row],[System_Stock_Qty]]</f>
        <v>-150</v>
      </c>
      <c r="J754" s="53" t="str" cm="1">
        <f t="array" ref="J754">_xlfn.IFS(I754=0,"Matched",I754&gt;0,"Excess",I754&lt;0,"Shortage")</f>
        <v>Shortage</v>
      </c>
      <c r="K754" s="50">
        <f>ABS(Table13[[#This Row],[Stock Difference]])</f>
        <v>150</v>
      </c>
      <c r="L754" s="17">
        <f t="shared" si="33"/>
        <v>30000</v>
      </c>
      <c r="M754" s="17">
        <f t="shared" si="34"/>
        <v>39000</v>
      </c>
      <c r="N754" s="17" t="str" cm="1">
        <f t="array" ref="N754">_xlfn.IFS(K754=0,"Matched", K754&gt;100,"High", K754&gt;=50,"Medium", K754&lt;50,"Low")</f>
        <v>High</v>
      </c>
      <c r="O754" s="17" t="str">
        <f t="shared" si="35"/>
        <v>No</v>
      </c>
    </row>
    <row r="755" spans="2:15" x14ac:dyDescent="0.3">
      <c r="B755" s="7">
        <v>753</v>
      </c>
      <c r="C755" s="3" t="s">
        <v>759</v>
      </c>
      <c r="D755" s="2" t="s">
        <v>1051</v>
      </c>
      <c r="E755" s="3" t="s">
        <v>1010</v>
      </c>
      <c r="F755" s="3">
        <v>47</v>
      </c>
      <c r="G755" s="3">
        <v>143</v>
      </c>
      <c r="H755" s="8">
        <v>50</v>
      </c>
      <c r="I755" s="48">
        <f>Table13[[#This Row],[Physical_Stock_Qty]]-Table13[[#This Row],[System_Stock_Qty]]</f>
        <v>96</v>
      </c>
      <c r="J755" s="53" t="str" cm="1">
        <f t="array" ref="J755">_xlfn.IFS(I755=0,"Matched",I755&gt;0,"Excess",I755&lt;0,"Shortage")</f>
        <v>Excess</v>
      </c>
      <c r="K755" s="50">
        <f>ABS(Table13[[#This Row],[Stock Difference]])</f>
        <v>96</v>
      </c>
      <c r="L755" s="17">
        <f t="shared" si="33"/>
        <v>4800</v>
      </c>
      <c r="M755" s="17">
        <f t="shared" si="34"/>
        <v>2350</v>
      </c>
      <c r="N755" s="17" t="str" cm="1">
        <f t="array" ref="N755">_xlfn.IFS(K755=0,"Matched", K755&gt;100,"High", K755&gt;=50,"Medium", K755&lt;50,"Low")</f>
        <v>Medium</v>
      </c>
      <c r="O755" s="17" t="str">
        <f t="shared" si="35"/>
        <v>No</v>
      </c>
    </row>
    <row r="756" spans="2:15" x14ac:dyDescent="0.3">
      <c r="B756" s="7">
        <v>754</v>
      </c>
      <c r="C756" s="3" t="s">
        <v>760</v>
      </c>
      <c r="D756" s="2" t="s">
        <v>1060</v>
      </c>
      <c r="E756" s="3" t="s">
        <v>1012</v>
      </c>
      <c r="F756" s="3">
        <v>131</v>
      </c>
      <c r="G756" s="3">
        <v>148</v>
      </c>
      <c r="H756" s="8">
        <v>1500</v>
      </c>
      <c r="I756" s="48">
        <f>Table13[[#This Row],[Physical_Stock_Qty]]-Table13[[#This Row],[System_Stock_Qty]]</f>
        <v>17</v>
      </c>
      <c r="J756" s="53" t="str" cm="1">
        <f t="array" ref="J756">_xlfn.IFS(I756=0,"Matched",I756&gt;0,"Excess",I756&lt;0,"Shortage")</f>
        <v>Excess</v>
      </c>
      <c r="K756" s="50">
        <f>ABS(Table13[[#This Row],[Stock Difference]])</f>
        <v>17</v>
      </c>
      <c r="L756" s="17">
        <f t="shared" si="33"/>
        <v>25500</v>
      </c>
      <c r="M756" s="17">
        <f t="shared" si="34"/>
        <v>196500</v>
      </c>
      <c r="N756" s="17" t="str" cm="1">
        <f t="array" ref="N756">_xlfn.IFS(K756=0,"Matched", K756&gt;100,"High", K756&gt;=50,"Medium", K756&lt;50,"Low")</f>
        <v>Low</v>
      </c>
      <c r="O756" s="17" t="str">
        <f t="shared" si="35"/>
        <v>No</v>
      </c>
    </row>
    <row r="757" spans="2:15" x14ac:dyDescent="0.3">
      <c r="B757" s="7">
        <v>755</v>
      </c>
      <c r="C757" s="3" t="s">
        <v>761</v>
      </c>
      <c r="D757" s="2" t="s">
        <v>1082</v>
      </c>
      <c r="E757" s="3" t="s">
        <v>1011</v>
      </c>
      <c r="F757" s="3">
        <v>59</v>
      </c>
      <c r="G757" s="3">
        <v>140</v>
      </c>
      <c r="H757" s="8">
        <v>2000</v>
      </c>
      <c r="I757" s="48">
        <f>Table13[[#This Row],[Physical_Stock_Qty]]-Table13[[#This Row],[System_Stock_Qty]]</f>
        <v>81</v>
      </c>
      <c r="J757" s="53" t="str" cm="1">
        <f t="array" ref="J757">_xlfn.IFS(I757=0,"Matched",I757&gt;0,"Excess",I757&lt;0,"Shortage")</f>
        <v>Excess</v>
      </c>
      <c r="K757" s="50">
        <f>ABS(Table13[[#This Row],[Stock Difference]])</f>
        <v>81</v>
      </c>
      <c r="L757" s="17">
        <f t="shared" si="33"/>
        <v>162000</v>
      </c>
      <c r="M757" s="17">
        <f t="shared" si="34"/>
        <v>118000</v>
      </c>
      <c r="N757" s="17" t="str" cm="1">
        <f t="array" ref="N757">_xlfn.IFS(K757=0,"Matched", K757&gt;100,"High", K757&gt;=50,"Medium", K757&lt;50,"Low")</f>
        <v>Medium</v>
      </c>
      <c r="O757" s="17" t="str">
        <f t="shared" si="35"/>
        <v>No</v>
      </c>
    </row>
    <row r="758" spans="2:15" x14ac:dyDescent="0.3">
      <c r="B758" s="7">
        <v>756</v>
      </c>
      <c r="C758" s="3" t="s">
        <v>762</v>
      </c>
      <c r="D758" s="2" t="s">
        <v>1068</v>
      </c>
      <c r="E758" s="3" t="s">
        <v>1009</v>
      </c>
      <c r="F758" s="3">
        <v>83</v>
      </c>
      <c r="G758" s="3">
        <v>122</v>
      </c>
      <c r="H758" s="8">
        <v>100</v>
      </c>
      <c r="I758" s="48">
        <f>Table13[[#This Row],[Physical_Stock_Qty]]-Table13[[#This Row],[System_Stock_Qty]]</f>
        <v>39</v>
      </c>
      <c r="J758" s="53" t="str" cm="1">
        <f t="array" ref="J758">_xlfn.IFS(I758=0,"Matched",I758&gt;0,"Excess",I758&lt;0,"Shortage")</f>
        <v>Excess</v>
      </c>
      <c r="K758" s="50">
        <f>ABS(Table13[[#This Row],[Stock Difference]])</f>
        <v>39</v>
      </c>
      <c r="L758" s="17">
        <f t="shared" si="33"/>
        <v>3900</v>
      </c>
      <c r="M758" s="17">
        <f t="shared" si="34"/>
        <v>8300</v>
      </c>
      <c r="N758" s="17" t="str" cm="1">
        <f t="array" ref="N758">_xlfn.IFS(K758=0,"Matched", K758&gt;100,"High", K758&gt;=50,"Medium", K758&lt;50,"Low")</f>
        <v>Low</v>
      </c>
      <c r="O758" s="17" t="str">
        <f t="shared" si="35"/>
        <v>No</v>
      </c>
    </row>
    <row r="759" spans="2:15" x14ac:dyDescent="0.3">
      <c r="B759" s="7">
        <v>757</v>
      </c>
      <c r="C759" s="3" t="s">
        <v>763</v>
      </c>
      <c r="D759" s="2" t="s">
        <v>1033</v>
      </c>
      <c r="E759" s="3" t="s">
        <v>1008</v>
      </c>
      <c r="F759" s="3">
        <v>134</v>
      </c>
      <c r="G759" s="3">
        <v>109</v>
      </c>
      <c r="H759" s="8">
        <v>4000</v>
      </c>
      <c r="I759" s="48">
        <f>Table13[[#This Row],[Physical_Stock_Qty]]-Table13[[#This Row],[System_Stock_Qty]]</f>
        <v>-25</v>
      </c>
      <c r="J759" s="53" t="str" cm="1">
        <f t="array" ref="J759">_xlfn.IFS(I759=0,"Matched",I759&gt;0,"Excess",I759&lt;0,"Shortage")</f>
        <v>Shortage</v>
      </c>
      <c r="K759" s="50">
        <f>ABS(Table13[[#This Row],[Stock Difference]])</f>
        <v>25</v>
      </c>
      <c r="L759" s="17">
        <f t="shared" si="33"/>
        <v>100000</v>
      </c>
      <c r="M759" s="17">
        <f t="shared" si="34"/>
        <v>536000</v>
      </c>
      <c r="N759" s="17" t="str" cm="1">
        <f t="array" ref="N759">_xlfn.IFS(K759=0,"Matched", K759&gt;100,"High", K759&gt;=50,"Medium", K759&lt;50,"Low")</f>
        <v>Low</v>
      </c>
      <c r="O759" s="17" t="str">
        <f t="shared" si="35"/>
        <v>No</v>
      </c>
    </row>
    <row r="760" spans="2:15" x14ac:dyDescent="0.3">
      <c r="B760" s="7">
        <v>758</v>
      </c>
      <c r="C760" s="3" t="s">
        <v>764</v>
      </c>
      <c r="D760" s="2" t="s">
        <v>1032</v>
      </c>
      <c r="E760" s="3" t="s">
        <v>1008</v>
      </c>
      <c r="F760" s="3">
        <v>35</v>
      </c>
      <c r="G760" s="3">
        <v>140</v>
      </c>
      <c r="H760" s="8">
        <v>2000</v>
      </c>
      <c r="I760" s="48">
        <f>Table13[[#This Row],[Physical_Stock_Qty]]-Table13[[#This Row],[System_Stock_Qty]]</f>
        <v>105</v>
      </c>
      <c r="J760" s="53" t="str" cm="1">
        <f t="array" ref="J760">_xlfn.IFS(I760=0,"Matched",I760&gt;0,"Excess",I760&lt;0,"Shortage")</f>
        <v>Excess</v>
      </c>
      <c r="K760" s="50">
        <f>ABS(Table13[[#This Row],[Stock Difference]])</f>
        <v>105</v>
      </c>
      <c r="L760" s="17">
        <f t="shared" si="33"/>
        <v>210000</v>
      </c>
      <c r="M760" s="17">
        <f t="shared" si="34"/>
        <v>70000</v>
      </c>
      <c r="N760" s="17" t="str" cm="1">
        <f t="array" ref="N760">_xlfn.IFS(K760=0,"Matched", K760&gt;100,"High", K760&gt;=50,"Medium", K760&lt;50,"Low")</f>
        <v>High</v>
      </c>
      <c r="O760" s="17" t="str">
        <f t="shared" si="35"/>
        <v>No</v>
      </c>
    </row>
    <row r="761" spans="2:15" x14ac:dyDescent="0.3">
      <c r="B761" s="7">
        <v>759</v>
      </c>
      <c r="C761" s="3" t="s">
        <v>765</v>
      </c>
      <c r="D761" s="2" t="s">
        <v>1081</v>
      </c>
      <c r="E761" s="3" t="s">
        <v>1011</v>
      </c>
      <c r="F761" s="3">
        <v>160</v>
      </c>
      <c r="G761" s="3">
        <v>195</v>
      </c>
      <c r="H761" s="8">
        <v>1000</v>
      </c>
      <c r="I761" s="48">
        <f>Table13[[#This Row],[Physical_Stock_Qty]]-Table13[[#This Row],[System_Stock_Qty]]</f>
        <v>35</v>
      </c>
      <c r="J761" s="53" t="str" cm="1">
        <f t="array" ref="J761">_xlfn.IFS(I761=0,"Matched",I761&gt;0,"Excess",I761&lt;0,"Shortage")</f>
        <v>Excess</v>
      </c>
      <c r="K761" s="50">
        <f>ABS(Table13[[#This Row],[Stock Difference]])</f>
        <v>35</v>
      </c>
      <c r="L761" s="17">
        <f t="shared" si="33"/>
        <v>35000</v>
      </c>
      <c r="M761" s="17">
        <f t="shared" si="34"/>
        <v>160000</v>
      </c>
      <c r="N761" s="17" t="str" cm="1">
        <f t="array" ref="N761">_xlfn.IFS(K761=0,"Matched", K761&gt;100,"High", K761&gt;=50,"Medium", K761&lt;50,"Low")</f>
        <v>Low</v>
      </c>
      <c r="O761" s="17" t="str">
        <f t="shared" si="35"/>
        <v>No</v>
      </c>
    </row>
    <row r="762" spans="2:15" x14ac:dyDescent="0.3">
      <c r="B762" s="7">
        <v>760</v>
      </c>
      <c r="C762" s="3" t="s">
        <v>766</v>
      </c>
      <c r="D762" s="2" t="s">
        <v>1071</v>
      </c>
      <c r="E762" s="3" t="s">
        <v>1009</v>
      </c>
      <c r="F762" s="3">
        <v>89</v>
      </c>
      <c r="G762" s="3">
        <v>58</v>
      </c>
      <c r="H762" s="8">
        <v>200</v>
      </c>
      <c r="I762" s="48">
        <f>Table13[[#This Row],[Physical_Stock_Qty]]-Table13[[#This Row],[System_Stock_Qty]]</f>
        <v>-31</v>
      </c>
      <c r="J762" s="53" t="str" cm="1">
        <f t="array" ref="J762">_xlfn.IFS(I762=0,"Matched",I762&gt;0,"Excess",I762&lt;0,"Shortage")</f>
        <v>Shortage</v>
      </c>
      <c r="K762" s="50">
        <f>ABS(Table13[[#This Row],[Stock Difference]])</f>
        <v>31</v>
      </c>
      <c r="L762" s="17">
        <f t="shared" si="33"/>
        <v>6200</v>
      </c>
      <c r="M762" s="17">
        <f t="shared" si="34"/>
        <v>17800</v>
      </c>
      <c r="N762" s="17" t="str" cm="1">
        <f t="array" ref="N762">_xlfn.IFS(K762=0,"Matched", K762&gt;100,"High", K762&gt;=50,"Medium", K762&lt;50,"Low")</f>
        <v>Low</v>
      </c>
      <c r="O762" s="17" t="str">
        <f t="shared" si="35"/>
        <v>No</v>
      </c>
    </row>
    <row r="763" spans="2:15" x14ac:dyDescent="0.3">
      <c r="B763" s="7">
        <v>761</v>
      </c>
      <c r="C763" s="3" t="s">
        <v>767</v>
      </c>
      <c r="D763" s="2" t="s">
        <v>1074</v>
      </c>
      <c r="E763" s="3" t="s">
        <v>1009</v>
      </c>
      <c r="F763" s="3">
        <v>127</v>
      </c>
      <c r="G763" s="3">
        <v>185</v>
      </c>
      <c r="H763" s="8">
        <v>500</v>
      </c>
      <c r="I763" s="48">
        <f>Table13[[#This Row],[Physical_Stock_Qty]]-Table13[[#This Row],[System_Stock_Qty]]</f>
        <v>58</v>
      </c>
      <c r="J763" s="53" t="str" cm="1">
        <f t="array" ref="J763">_xlfn.IFS(I763=0,"Matched",I763&gt;0,"Excess",I763&lt;0,"Shortage")</f>
        <v>Excess</v>
      </c>
      <c r="K763" s="50">
        <f>ABS(Table13[[#This Row],[Stock Difference]])</f>
        <v>58</v>
      </c>
      <c r="L763" s="17">
        <f t="shared" si="33"/>
        <v>29000</v>
      </c>
      <c r="M763" s="17">
        <f t="shared" si="34"/>
        <v>63500</v>
      </c>
      <c r="N763" s="17" t="str" cm="1">
        <f t="array" ref="N763">_xlfn.IFS(K763=0,"Matched", K763&gt;100,"High", K763&gt;=50,"Medium", K763&lt;50,"Low")</f>
        <v>Medium</v>
      </c>
      <c r="O763" s="17" t="str">
        <f t="shared" si="35"/>
        <v>No</v>
      </c>
    </row>
    <row r="764" spans="2:15" x14ac:dyDescent="0.3">
      <c r="B764" s="7">
        <v>762</v>
      </c>
      <c r="C764" s="3" t="s">
        <v>768</v>
      </c>
      <c r="D764" s="2" t="s">
        <v>1028</v>
      </c>
      <c r="E764" s="3" t="s">
        <v>1008</v>
      </c>
      <c r="F764" s="3">
        <v>43</v>
      </c>
      <c r="G764" s="3">
        <v>55</v>
      </c>
      <c r="H764" s="8">
        <v>15000</v>
      </c>
      <c r="I764" s="48">
        <f>Table13[[#This Row],[Physical_Stock_Qty]]-Table13[[#This Row],[System_Stock_Qty]]</f>
        <v>12</v>
      </c>
      <c r="J764" s="53" t="str" cm="1">
        <f t="array" ref="J764">_xlfn.IFS(I764=0,"Matched",I764&gt;0,"Excess",I764&lt;0,"Shortage")</f>
        <v>Excess</v>
      </c>
      <c r="K764" s="50">
        <f>ABS(Table13[[#This Row],[Stock Difference]])</f>
        <v>12</v>
      </c>
      <c r="L764" s="17">
        <f t="shared" si="33"/>
        <v>180000</v>
      </c>
      <c r="M764" s="17">
        <f t="shared" si="34"/>
        <v>645000</v>
      </c>
      <c r="N764" s="17" t="str" cm="1">
        <f t="array" ref="N764">_xlfn.IFS(K764=0,"Matched", K764&gt;100,"High", K764&gt;=50,"Medium", K764&lt;50,"Low")</f>
        <v>Low</v>
      </c>
      <c r="O764" s="17" t="str">
        <f t="shared" si="35"/>
        <v>No</v>
      </c>
    </row>
    <row r="765" spans="2:15" x14ac:dyDescent="0.3">
      <c r="B765" s="7">
        <v>763</v>
      </c>
      <c r="C765" s="3" t="s">
        <v>769</v>
      </c>
      <c r="D765" s="2" t="s">
        <v>1059</v>
      </c>
      <c r="E765" s="3" t="s">
        <v>1012</v>
      </c>
      <c r="F765" s="3">
        <v>123</v>
      </c>
      <c r="G765" s="3">
        <v>192</v>
      </c>
      <c r="H765" s="8">
        <v>200</v>
      </c>
      <c r="I765" s="48">
        <f>Table13[[#This Row],[Physical_Stock_Qty]]-Table13[[#This Row],[System_Stock_Qty]]</f>
        <v>69</v>
      </c>
      <c r="J765" s="53" t="str" cm="1">
        <f t="array" ref="J765">_xlfn.IFS(I765=0,"Matched",I765&gt;0,"Excess",I765&lt;0,"Shortage")</f>
        <v>Excess</v>
      </c>
      <c r="K765" s="50">
        <f>ABS(Table13[[#This Row],[Stock Difference]])</f>
        <v>69</v>
      </c>
      <c r="L765" s="17">
        <f t="shared" si="33"/>
        <v>13800</v>
      </c>
      <c r="M765" s="17">
        <f t="shared" si="34"/>
        <v>24600</v>
      </c>
      <c r="N765" s="17" t="str" cm="1">
        <f t="array" ref="N765">_xlfn.IFS(K765=0,"Matched", K765&gt;100,"High", K765&gt;=50,"Medium", K765&lt;50,"Low")</f>
        <v>Medium</v>
      </c>
      <c r="O765" s="17" t="str">
        <f t="shared" si="35"/>
        <v>No</v>
      </c>
    </row>
    <row r="766" spans="2:15" x14ac:dyDescent="0.3">
      <c r="B766" s="7">
        <v>764</v>
      </c>
      <c r="C766" s="3" t="s">
        <v>770</v>
      </c>
      <c r="D766" s="2" t="s">
        <v>1026</v>
      </c>
      <c r="E766" s="3" t="s">
        <v>1008</v>
      </c>
      <c r="F766" s="3">
        <v>56</v>
      </c>
      <c r="G766" s="3">
        <v>105</v>
      </c>
      <c r="H766" s="8">
        <v>6000</v>
      </c>
      <c r="I766" s="48">
        <f>Table13[[#This Row],[Physical_Stock_Qty]]-Table13[[#This Row],[System_Stock_Qty]]</f>
        <v>49</v>
      </c>
      <c r="J766" s="53" t="str" cm="1">
        <f t="array" ref="J766">_xlfn.IFS(I766=0,"Matched",I766&gt;0,"Excess",I766&lt;0,"Shortage")</f>
        <v>Excess</v>
      </c>
      <c r="K766" s="50">
        <f>ABS(Table13[[#This Row],[Stock Difference]])</f>
        <v>49</v>
      </c>
      <c r="L766" s="17">
        <f t="shared" si="33"/>
        <v>294000</v>
      </c>
      <c r="M766" s="17">
        <f t="shared" si="34"/>
        <v>336000</v>
      </c>
      <c r="N766" s="17" t="str" cm="1">
        <f t="array" ref="N766">_xlfn.IFS(K766=0,"Matched", K766&gt;100,"High", K766&gt;=50,"Medium", K766&lt;50,"Low")</f>
        <v>Low</v>
      </c>
      <c r="O766" s="17" t="str">
        <f t="shared" si="35"/>
        <v>No</v>
      </c>
    </row>
    <row r="767" spans="2:15" hidden="1" x14ac:dyDescent="0.3">
      <c r="B767" s="7">
        <v>765</v>
      </c>
      <c r="C767" s="3" t="s">
        <v>771</v>
      </c>
      <c r="D767" s="2" t="s">
        <v>1033</v>
      </c>
      <c r="E767" s="3" t="s">
        <v>1008</v>
      </c>
      <c r="F767" s="3">
        <v>168</v>
      </c>
      <c r="G767" s="3">
        <v>168</v>
      </c>
      <c r="H767" s="8">
        <v>4000</v>
      </c>
      <c r="I767" s="48">
        <f>Table13[[#This Row],[Physical_Stock_Qty]]-Table13[[#This Row],[System_Stock_Qty]]</f>
        <v>0</v>
      </c>
      <c r="J767" s="53" t="str" cm="1">
        <f t="array" ref="J767">_xlfn.IFS(I767=0,"Matched",I767&gt;0,"Excess",I767&lt;0,"Shortage")</f>
        <v>Matched</v>
      </c>
      <c r="K767" s="50">
        <f>ABS(Table13[[#This Row],[Stock Difference]])</f>
        <v>0</v>
      </c>
      <c r="L767" s="17">
        <f t="shared" si="33"/>
        <v>0</v>
      </c>
      <c r="M767" s="17">
        <f t="shared" si="34"/>
        <v>672000</v>
      </c>
      <c r="N767" s="17" t="str" cm="1">
        <f t="array" ref="N767">_xlfn.IFS(K767=0,"Matched", K767&gt;100,"High", K767&gt;=50,"Medium", K767&lt;50,"Low")</f>
        <v>Matched</v>
      </c>
      <c r="O767" s="17" t="str">
        <f t="shared" si="35"/>
        <v>No Match</v>
      </c>
    </row>
    <row r="768" spans="2:15" hidden="1" x14ac:dyDescent="0.3">
      <c r="B768" s="7">
        <v>766</v>
      </c>
      <c r="C768" s="3" t="s">
        <v>772</v>
      </c>
      <c r="D768" s="2" t="s">
        <v>1048</v>
      </c>
      <c r="E768" s="3" t="s">
        <v>1010</v>
      </c>
      <c r="F768" s="3">
        <v>151</v>
      </c>
      <c r="G768" s="3">
        <v>151</v>
      </c>
      <c r="H768" s="8">
        <v>50</v>
      </c>
      <c r="I768" s="48">
        <f>Table13[[#This Row],[Physical_Stock_Qty]]-Table13[[#This Row],[System_Stock_Qty]]</f>
        <v>0</v>
      </c>
      <c r="J768" s="53" t="str" cm="1">
        <f t="array" ref="J768">_xlfn.IFS(I768=0,"Matched",I768&gt;0,"Excess",I768&lt;0,"Shortage")</f>
        <v>Matched</v>
      </c>
      <c r="K768" s="50">
        <f>ABS(Table13[[#This Row],[Stock Difference]])</f>
        <v>0</v>
      </c>
      <c r="L768" s="17">
        <f t="shared" si="33"/>
        <v>0</v>
      </c>
      <c r="M768" s="17">
        <f t="shared" si="34"/>
        <v>7550</v>
      </c>
      <c r="N768" s="17" t="str" cm="1">
        <f t="array" ref="N768">_xlfn.IFS(K768=0,"Matched", K768&gt;100,"High", K768&gt;=50,"Medium", K768&lt;50,"Low")</f>
        <v>Matched</v>
      </c>
      <c r="O768" s="17" t="str">
        <f t="shared" si="35"/>
        <v>No Match</v>
      </c>
    </row>
    <row r="769" spans="2:15" hidden="1" x14ac:dyDescent="0.3">
      <c r="B769" s="7">
        <v>767</v>
      </c>
      <c r="C769" s="3" t="s">
        <v>773</v>
      </c>
      <c r="D769" s="2" t="s">
        <v>1058</v>
      </c>
      <c r="E769" s="3" t="s">
        <v>1012</v>
      </c>
      <c r="F769" s="3">
        <v>90</v>
      </c>
      <c r="G769" s="3">
        <v>90</v>
      </c>
      <c r="H769" s="8">
        <v>500</v>
      </c>
      <c r="I769" s="48">
        <f>Table13[[#This Row],[Physical_Stock_Qty]]-Table13[[#This Row],[System_Stock_Qty]]</f>
        <v>0</v>
      </c>
      <c r="J769" s="53" t="str" cm="1">
        <f t="array" ref="J769">_xlfn.IFS(I769=0,"Matched",I769&gt;0,"Excess",I769&lt;0,"Shortage")</f>
        <v>Matched</v>
      </c>
      <c r="K769" s="50">
        <f>ABS(Table13[[#This Row],[Stock Difference]])</f>
        <v>0</v>
      </c>
      <c r="L769" s="17">
        <f t="shared" si="33"/>
        <v>0</v>
      </c>
      <c r="M769" s="17">
        <f t="shared" si="34"/>
        <v>45000</v>
      </c>
      <c r="N769" s="17" t="str" cm="1">
        <f t="array" ref="N769">_xlfn.IFS(K769=0,"Matched", K769&gt;100,"High", K769&gt;=50,"Medium", K769&lt;50,"Low")</f>
        <v>Matched</v>
      </c>
      <c r="O769" s="17" t="str">
        <f t="shared" si="35"/>
        <v>No Match</v>
      </c>
    </row>
    <row r="770" spans="2:15" hidden="1" x14ac:dyDescent="0.3">
      <c r="B770" s="7">
        <v>768</v>
      </c>
      <c r="C770" s="3" t="s">
        <v>774</v>
      </c>
      <c r="D770" s="2" t="s">
        <v>1084</v>
      </c>
      <c r="E770" s="3" t="s">
        <v>1011</v>
      </c>
      <c r="F770" s="3">
        <v>176</v>
      </c>
      <c r="G770" s="3">
        <v>176</v>
      </c>
      <c r="H770" s="8">
        <v>2000</v>
      </c>
      <c r="I770" s="48">
        <f>Table13[[#This Row],[Physical_Stock_Qty]]-Table13[[#This Row],[System_Stock_Qty]]</f>
        <v>0</v>
      </c>
      <c r="J770" s="53" t="str" cm="1">
        <f t="array" ref="J770">_xlfn.IFS(I770=0,"Matched",I770&gt;0,"Excess",I770&lt;0,"Shortage")</f>
        <v>Matched</v>
      </c>
      <c r="K770" s="50">
        <f>ABS(Table13[[#This Row],[Stock Difference]])</f>
        <v>0</v>
      </c>
      <c r="L770" s="17">
        <f t="shared" si="33"/>
        <v>0</v>
      </c>
      <c r="M770" s="17">
        <f t="shared" si="34"/>
        <v>352000</v>
      </c>
      <c r="N770" s="17" t="str" cm="1">
        <f t="array" ref="N770">_xlfn.IFS(K770=0,"Matched", K770&gt;100,"High", K770&gt;=50,"Medium", K770&lt;50,"Low")</f>
        <v>Matched</v>
      </c>
      <c r="O770" s="17" t="str">
        <f t="shared" si="35"/>
        <v>No Match</v>
      </c>
    </row>
    <row r="771" spans="2:15" hidden="1" x14ac:dyDescent="0.3">
      <c r="B771" s="7">
        <v>769</v>
      </c>
      <c r="C771" s="3" t="s">
        <v>775</v>
      </c>
      <c r="D771" s="2" t="s">
        <v>1075</v>
      </c>
      <c r="E771" s="3" t="s">
        <v>1009</v>
      </c>
      <c r="F771" s="3">
        <v>97</v>
      </c>
      <c r="G771" s="3">
        <v>97</v>
      </c>
      <c r="H771" s="8">
        <v>2000</v>
      </c>
      <c r="I771" s="48">
        <f>Table13[[#This Row],[Physical_Stock_Qty]]-Table13[[#This Row],[System_Stock_Qty]]</f>
        <v>0</v>
      </c>
      <c r="J771" s="53" t="str" cm="1">
        <f t="array" ref="J771">_xlfn.IFS(I771=0,"Matched",I771&gt;0,"Excess",I771&lt;0,"Shortage")</f>
        <v>Matched</v>
      </c>
      <c r="K771" s="50">
        <f>ABS(Table13[[#This Row],[Stock Difference]])</f>
        <v>0</v>
      </c>
      <c r="L771" s="17">
        <f t="shared" si="33"/>
        <v>0</v>
      </c>
      <c r="M771" s="17">
        <f t="shared" si="34"/>
        <v>194000</v>
      </c>
      <c r="N771" s="17" t="str" cm="1">
        <f t="array" ref="N771">_xlfn.IFS(K771=0,"Matched", K771&gt;100,"High", K771&gt;=50,"Medium", K771&lt;50,"Low")</f>
        <v>Matched</v>
      </c>
      <c r="O771" s="17" t="str">
        <f t="shared" si="35"/>
        <v>No Match</v>
      </c>
    </row>
    <row r="772" spans="2:15" hidden="1" x14ac:dyDescent="0.3">
      <c r="B772" s="7">
        <v>770</v>
      </c>
      <c r="C772" s="3" t="s">
        <v>776</v>
      </c>
      <c r="D772" s="2" t="s">
        <v>1035</v>
      </c>
      <c r="E772" s="3" t="s">
        <v>1007</v>
      </c>
      <c r="F772" s="3">
        <v>103</v>
      </c>
      <c r="G772" s="3">
        <v>103</v>
      </c>
      <c r="H772" s="8">
        <v>15000</v>
      </c>
      <c r="I772" s="48">
        <f>Table13[[#This Row],[Physical_Stock_Qty]]-Table13[[#This Row],[System_Stock_Qty]]</f>
        <v>0</v>
      </c>
      <c r="J772" s="53" t="str" cm="1">
        <f t="array" ref="J772">_xlfn.IFS(I772=0,"Matched",I772&gt;0,"Excess",I772&lt;0,"Shortage")</f>
        <v>Matched</v>
      </c>
      <c r="K772" s="50">
        <f>ABS(Table13[[#This Row],[Stock Difference]])</f>
        <v>0</v>
      </c>
      <c r="L772" s="17">
        <f t="shared" ref="L772:L835" si="36">(K772*H772)</f>
        <v>0</v>
      </c>
      <c r="M772" s="17">
        <f t="shared" ref="M772:M835" si="37">F772*H772</f>
        <v>1545000</v>
      </c>
      <c r="N772" s="17" t="str" cm="1">
        <f t="array" ref="N772">_xlfn.IFS(K772=0,"Matched", K772&gt;100,"High", K772&gt;=50,"Medium", K772&lt;50,"Low")</f>
        <v>Matched</v>
      </c>
      <c r="O772" s="17" t="str">
        <f t="shared" ref="O772:O835" si="38">IF(L772&gt;500000,"Yes",IF(L772=0,"No Match","No"))</f>
        <v>No Match</v>
      </c>
    </row>
    <row r="773" spans="2:15" hidden="1" x14ac:dyDescent="0.3">
      <c r="B773" s="7">
        <v>771</v>
      </c>
      <c r="C773" s="3" t="s">
        <v>777</v>
      </c>
      <c r="D773" s="2" t="s">
        <v>1036</v>
      </c>
      <c r="E773" s="3" t="s">
        <v>1007</v>
      </c>
      <c r="F773" s="3">
        <v>124</v>
      </c>
      <c r="G773" s="3">
        <v>124</v>
      </c>
      <c r="H773" s="8">
        <v>8000</v>
      </c>
      <c r="I773" s="48">
        <f>Table13[[#This Row],[Physical_Stock_Qty]]-Table13[[#This Row],[System_Stock_Qty]]</f>
        <v>0</v>
      </c>
      <c r="J773" s="53" t="str" cm="1">
        <f t="array" ref="J773">_xlfn.IFS(I773=0,"Matched",I773&gt;0,"Excess",I773&lt;0,"Shortage")</f>
        <v>Matched</v>
      </c>
      <c r="K773" s="50">
        <f>ABS(Table13[[#This Row],[Stock Difference]])</f>
        <v>0</v>
      </c>
      <c r="L773" s="17">
        <f t="shared" si="36"/>
        <v>0</v>
      </c>
      <c r="M773" s="17">
        <f t="shared" si="37"/>
        <v>992000</v>
      </c>
      <c r="N773" s="17" t="str" cm="1">
        <f t="array" ref="N773">_xlfn.IFS(K773=0,"Matched", K773&gt;100,"High", K773&gt;=50,"Medium", K773&lt;50,"Low")</f>
        <v>Matched</v>
      </c>
      <c r="O773" s="17" t="str">
        <f t="shared" si="38"/>
        <v>No Match</v>
      </c>
    </row>
    <row r="774" spans="2:15" hidden="1" x14ac:dyDescent="0.3">
      <c r="B774" s="7">
        <v>772</v>
      </c>
      <c r="C774" s="3" t="s">
        <v>778</v>
      </c>
      <c r="D774" s="2" t="s">
        <v>1036</v>
      </c>
      <c r="E774" s="3" t="s">
        <v>1007</v>
      </c>
      <c r="F774" s="3">
        <v>59</v>
      </c>
      <c r="G774" s="3">
        <v>59</v>
      </c>
      <c r="H774" s="8">
        <v>8000</v>
      </c>
      <c r="I774" s="48">
        <f>Table13[[#This Row],[Physical_Stock_Qty]]-Table13[[#This Row],[System_Stock_Qty]]</f>
        <v>0</v>
      </c>
      <c r="J774" s="53" t="str" cm="1">
        <f t="array" ref="J774">_xlfn.IFS(I774=0,"Matched",I774&gt;0,"Excess",I774&lt;0,"Shortage")</f>
        <v>Matched</v>
      </c>
      <c r="K774" s="50">
        <f>ABS(Table13[[#This Row],[Stock Difference]])</f>
        <v>0</v>
      </c>
      <c r="L774" s="17">
        <f t="shared" si="36"/>
        <v>0</v>
      </c>
      <c r="M774" s="17">
        <f t="shared" si="37"/>
        <v>472000</v>
      </c>
      <c r="N774" s="17" t="str" cm="1">
        <f t="array" ref="N774">_xlfn.IFS(K774=0,"Matched", K774&gt;100,"High", K774&gt;=50,"Medium", K774&lt;50,"Low")</f>
        <v>Matched</v>
      </c>
      <c r="O774" s="17" t="str">
        <f t="shared" si="38"/>
        <v>No Match</v>
      </c>
    </row>
    <row r="775" spans="2:15" hidden="1" x14ac:dyDescent="0.3">
      <c r="B775" s="7">
        <v>773</v>
      </c>
      <c r="C775" s="3" t="s">
        <v>779</v>
      </c>
      <c r="D775" s="2" t="s">
        <v>1061</v>
      </c>
      <c r="E775" s="3" t="s">
        <v>1012</v>
      </c>
      <c r="F775" s="3">
        <v>89</v>
      </c>
      <c r="G775" s="3">
        <v>89</v>
      </c>
      <c r="H775" s="8">
        <v>500</v>
      </c>
      <c r="I775" s="48">
        <f>Table13[[#This Row],[Physical_Stock_Qty]]-Table13[[#This Row],[System_Stock_Qty]]</f>
        <v>0</v>
      </c>
      <c r="J775" s="53" t="str" cm="1">
        <f t="array" ref="J775">_xlfn.IFS(I775=0,"Matched",I775&gt;0,"Excess",I775&lt;0,"Shortage")</f>
        <v>Matched</v>
      </c>
      <c r="K775" s="50">
        <f>ABS(Table13[[#This Row],[Stock Difference]])</f>
        <v>0</v>
      </c>
      <c r="L775" s="17">
        <f t="shared" si="36"/>
        <v>0</v>
      </c>
      <c r="M775" s="17">
        <f t="shared" si="37"/>
        <v>44500</v>
      </c>
      <c r="N775" s="17" t="str" cm="1">
        <f t="array" ref="N775">_xlfn.IFS(K775=0,"Matched", K775&gt;100,"High", K775&gt;=50,"Medium", K775&lt;50,"Low")</f>
        <v>Matched</v>
      </c>
      <c r="O775" s="17" t="str">
        <f t="shared" si="38"/>
        <v>No Match</v>
      </c>
    </row>
    <row r="776" spans="2:15" hidden="1" x14ac:dyDescent="0.3">
      <c r="B776" s="7">
        <v>774</v>
      </c>
      <c r="C776" s="3" t="s">
        <v>780</v>
      </c>
      <c r="D776" s="2" t="s">
        <v>1062</v>
      </c>
      <c r="E776" s="3" t="s">
        <v>1009</v>
      </c>
      <c r="F776" s="3">
        <v>165</v>
      </c>
      <c r="G776" s="3">
        <v>165</v>
      </c>
      <c r="H776" s="8">
        <v>100</v>
      </c>
      <c r="I776" s="48">
        <f>Table13[[#This Row],[Physical_Stock_Qty]]-Table13[[#This Row],[System_Stock_Qty]]</f>
        <v>0</v>
      </c>
      <c r="J776" s="53" t="str" cm="1">
        <f t="array" ref="J776">_xlfn.IFS(I776=0,"Matched",I776&gt;0,"Excess",I776&lt;0,"Shortage")</f>
        <v>Matched</v>
      </c>
      <c r="K776" s="50">
        <f>ABS(Table13[[#This Row],[Stock Difference]])</f>
        <v>0</v>
      </c>
      <c r="L776" s="17">
        <f t="shared" si="36"/>
        <v>0</v>
      </c>
      <c r="M776" s="17">
        <f t="shared" si="37"/>
        <v>16500</v>
      </c>
      <c r="N776" s="17" t="str" cm="1">
        <f t="array" ref="N776">_xlfn.IFS(K776=0,"Matched", K776&gt;100,"High", K776&gt;=50,"Medium", K776&lt;50,"Low")</f>
        <v>Matched</v>
      </c>
      <c r="O776" s="17" t="str">
        <f t="shared" si="38"/>
        <v>No Match</v>
      </c>
    </row>
    <row r="777" spans="2:15" hidden="1" x14ac:dyDescent="0.3">
      <c r="B777" s="7">
        <v>775</v>
      </c>
      <c r="C777" s="3" t="s">
        <v>781</v>
      </c>
      <c r="D777" s="2" t="s">
        <v>1039</v>
      </c>
      <c r="E777" s="3" t="s">
        <v>1007</v>
      </c>
      <c r="F777" s="3">
        <v>178</v>
      </c>
      <c r="G777" s="3">
        <v>178</v>
      </c>
      <c r="H777" s="8">
        <v>12000</v>
      </c>
      <c r="I777" s="48">
        <f>Table13[[#This Row],[Physical_Stock_Qty]]-Table13[[#This Row],[System_Stock_Qty]]</f>
        <v>0</v>
      </c>
      <c r="J777" s="53" t="str" cm="1">
        <f t="array" ref="J777">_xlfn.IFS(I777=0,"Matched",I777&gt;0,"Excess",I777&lt;0,"Shortage")</f>
        <v>Matched</v>
      </c>
      <c r="K777" s="50">
        <f>ABS(Table13[[#This Row],[Stock Difference]])</f>
        <v>0</v>
      </c>
      <c r="L777" s="17">
        <f t="shared" si="36"/>
        <v>0</v>
      </c>
      <c r="M777" s="17">
        <f t="shared" si="37"/>
        <v>2136000</v>
      </c>
      <c r="N777" s="17" t="str" cm="1">
        <f t="array" ref="N777">_xlfn.IFS(K777=0,"Matched", K777&gt;100,"High", K777&gt;=50,"Medium", K777&lt;50,"Low")</f>
        <v>Matched</v>
      </c>
      <c r="O777" s="17" t="str">
        <f t="shared" si="38"/>
        <v>No Match</v>
      </c>
    </row>
    <row r="778" spans="2:15" hidden="1" x14ac:dyDescent="0.3">
      <c r="B778" s="7">
        <v>776</v>
      </c>
      <c r="C778" s="3" t="s">
        <v>782</v>
      </c>
      <c r="D778" s="2" t="s">
        <v>1067</v>
      </c>
      <c r="E778" s="3" t="s">
        <v>1009</v>
      </c>
      <c r="F778" s="3">
        <v>140</v>
      </c>
      <c r="G778" s="3">
        <v>140</v>
      </c>
      <c r="H778" s="8">
        <v>100</v>
      </c>
      <c r="I778" s="48">
        <f>Table13[[#This Row],[Physical_Stock_Qty]]-Table13[[#This Row],[System_Stock_Qty]]</f>
        <v>0</v>
      </c>
      <c r="J778" s="53" t="str" cm="1">
        <f t="array" ref="J778">_xlfn.IFS(I778=0,"Matched",I778&gt;0,"Excess",I778&lt;0,"Shortage")</f>
        <v>Matched</v>
      </c>
      <c r="K778" s="50">
        <f>ABS(Table13[[#This Row],[Stock Difference]])</f>
        <v>0</v>
      </c>
      <c r="L778" s="17">
        <f t="shared" si="36"/>
        <v>0</v>
      </c>
      <c r="M778" s="17">
        <f t="shared" si="37"/>
        <v>14000</v>
      </c>
      <c r="N778" s="17" t="str" cm="1">
        <f t="array" ref="N778">_xlfn.IFS(K778=0,"Matched", K778&gt;100,"High", K778&gt;=50,"Medium", K778&lt;50,"Low")</f>
        <v>Matched</v>
      </c>
      <c r="O778" s="17" t="str">
        <f t="shared" si="38"/>
        <v>No Match</v>
      </c>
    </row>
    <row r="779" spans="2:15" hidden="1" x14ac:dyDescent="0.3">
      <c r="B779" s="7">
        <v>777</v>
      </c>
      <c r="C779" s="3" t="s">
        <v>783</v>
      </c>
      <c r="D779" s="2" t="s">
        <v>1045</v>
      </c>
      <c r="E779" s="3" t="s">
        <v>1010</v>
      </c>
      <c r="F779" s="3">
        <v>165</v>
      </c>
      <c r="G779" s="3">
        <v>165</v>
      </c>
      <c r="H779" s="8">
        <v>100</v>
      </c>
      <c r="I779" s="48">
        <f>Table13[[#This Row],[Physical_Stock_Qty]]-Table13[[#This Row],[System_Stock_Qty]]</f>
        <v>0</v>
      </c>
      <c r="J779" s="53" t="str" cm="1">
        <f t="array" ref="J779">_xlfn.IFS(I779=0,"Matched",I779&gt;0,"Excess",I779&lt;0,"Shortage")</f>
        <v>Matched</v>
      </c>
      <c r="K779" s="50">
        <f>ABS(Table13[[#This Row],[Stock Difference]])</f>
        <v>0</v>
      </c>
      <c r="L779" s="17">
        <f t="shared" si="36"/>
        <v>0</v>
      </c>
      <c r="M779" s="17">
        <f t="shared" si="37"/>
        <v>16500</v>
      </c>
      <c r="N779" s="17" t="str" cm="1">
        <f t="array" ref="N779">_xlfn.IFS(K779=0,"Matched", K779&gt;100,"High", K779&gt;=50,"Medium", K779&lt;50,"Low")</f>
        <v>Matched</v>
      </c>
      <c r="O779" s="17" t="str">
        <f t="shared" si="38"/>
        <v>No Match</v>
      </c>
    </row>
    <row r="780" spans="2:15" hidden="1" x14ac:dyDescent="0.3">
      <c r="B780" s="7">
        <v>778</v>
      </c>
      <c r="C780" s="3" t="s">
        <v>784</v>
      </c>
      <c r="D780" s="2" t="s">
        <v>1070</v>
      </c>
      <c r="E780" s="3" t="s">
        <v>1009</v>
      </c>
      <c r="F780" s="3">
        <v>65</v>
      </c>
      <c r="G780" s="3">
        <v>65</v>
      </c>
      <c r="H780" s="8">
        <v>1500</v>
      </c>
      <c r="I780" s="48">
        <f>Table13[[#This Row],[Physical_Stock_Qty]]-Table13[[#This Row],[System_Stock_Qty]]</f>
        <v>0</v>
      </c>
      <c r="J780" s="53" t="str" cm="1">
        <f t="array" ref="J780">_xlfn.IFS(I780=0,"Matched",I780&gt;0,"Excess",I780&lt;0,"Shortage")</f>
        <v>Matched</v>
      </c>
      <c r="K780" s="50">
        <f>ABS(Table13[[#This Row],[Stock Difference]])</f>
        <v>0</v>
      </c>
      <c r="L780" s="17">
        <f t="shared" si="36"/>
        <v>0</v>
      </c>
      <c r="M780" s="17">
        <f t="shared" si="37"/>
        <v>97500</v>
      </c>
      <c r="N780" s="17" t="str" cm="1">
        <f t="array" ref="N780">_xlfn.IFS(K780=0,"Matched", K780&gt;100,"High", K780&gt;=50,"Medium", K780&lt;50,"Low")</f>
        <v>Matched</v>
      </c>
      <c r="O780" s="17" t="str">
        <f t="shared" si="38"/>
        <v>No Match</v>
      </c>
    </row>
    <row r="781" spans="2:15" hidden="1" x14ac:dyDescent="0.3">
      <c r="B781" s="7">
        <v>779</v>
      </c>
      <c r="C781" s="3" t="s">
        <v>785</v>
      </c>
      <c r="D781" s="2" t="s">
        <v>1041</v>
      </c>
      <c r="E781" s="3" t="s">
        <v>1007</v>
      </c>
      <c r="F781" s="3">
        <v>44</v>
      </c>
      <c r="G781" s="3">
        <v>44</v>
      </c>
      <c r="H781" s="8">
        <v>2000</v>
      </c>
      <c r="I781" s="48">
        <f>Table13[[#This Row],[Physical_Stock_Qty]]-Table13[[#This Row],[System_Stock_Qty]]</f>
        <v>0</v>
      </c>
      <c r="J781" s="53" t="str" cm="1">
        <f t="array" ref="J781">_xlfn.IFS(I781=0,"Matched",I781&gt;0,"Excess",I781&lt;0,"Shortage")</f>
        <v>Matched</v>
      </c>
      <c r="K781" s="50">
        <f>ABS(Table13[[#This Row],[Stock Difference]])</f>
        <v>0</v>
      </c>
      <c r="L781" s="17">
        <f t="shared" si="36"/>
        <v>0</v>
      </c>
      <c r="M781" s="17">
        <f t="shared" si="37"/>
        <v>88000</v>
      </c>
      <c r="N781" s="17" t="str" cm="1">
        <f t="array" ref="N781">_xlfn.IFS(K781=0,"Matched", K781&gt;100,"High", K781&gt;=50,"Medium", K781&lt;50,"Low")</f>
        <v>Matched</v>
      </c>
      <c r="O781" s="17" t="str">
        <f t="shared" si="38"/>
        <v>No Match</v>
      </c>
    </row>
    <row r="782" spans="2:15" hidden="1" x14ac:dyDescent="0.3">
      <c r="B782" s="7">
        <v>780</v>
      </c>
      <c r="C782" s="3" t="s">
        <v>786</v>
      </c>
      <c r="D782" s="2" t="s">
        <v>1061</v>
      </c>
      <c r="E782" s="3" t="s">
        <v>1012</v>
      </c>
      <c r="F782" s="3">
        <v>170</v>
      </c>
      <c r="G782" s="3">
        <v>170</v>
      </c>
      <c r="H782" s="8">
        <v>500</v>
      </c>
      <c r="I782" s="48">
        <f>Table13[[#This Row],[Physical_Stock_Qty]]-Table13[[#This Row],[System_Stock_Qty]]</f>
        <v>0</v>
      </c>
      <c r="J782" s="53" t="str" cm="1">
        <f t="array" ref="J782">_xlfn.IFS(I782=0,"Matched",I782&gt;0,"Excess",I782&lt;0,"Shortage")</f>
        <v>Matched</v>
      </c>
      <c r="K782" s="50">
        <f>ABS(Table13[[#This Row],[Stock Difference]])</f>
        <v>0</v>
      </c>
      <c r="L782" s="17">
        <f t="shared" si="36"/>
        <v>0</v>
      </c>
      <c r="M782" s="17">
        <f t="shared" si="37"/>
        <v>85000</v>
      </c>
      <c r="N782" s="17" t="str" cm="1">
        <f t="array" ref="N782">_xlfn.IFS(K782=0,"Matched", K782&gt;100,"High", K782&gt;=50,"Medium", K782&lt;50,"Low")</f>
        <v>Matched</v>
      </c>
      <c r="O782" s="17" t="str">
        <f t="shared" si="38"/>
        <v>No Match</v>
      </c>
    </row>
    <row r="783" spans="2:15" hidden="1" x14ac:dyDescent="0.3">
      <c r="B783" s="7">
        <v>781</v>
      </c>
      <c r="C783" s="3" t="s">
        <v>787</v>
      </c>
      <c r="D783" s="2" t="s">
        <v>1067</v>
      </c>
      <c r="E783" s="3" t="s">
        <v>1009</v>
      </c>
      <c r="F783" s="3">
        <v>107</v>
      </c>
      <c r="G783" s="3">
        <v>107</v>
      </c>
      <c r="H783" s="8">
        <v>100</v>
      </c>
      <c r="I783" s="48">
        <f>Table13[[#This Row],[Physical_Stock_Qty]]-Table13[[#This Row],[System_Stock_Qty]]</f>
        <v>0</v>
      </c>
      <c r="J783" s="53" t="str" cm="1">
        <f t="array" ref="J783">_xlfn.IFS(I783=0,"Matched",I783&gt;0,"Excess",I783&lt;0,"Shortage")</f>
        <v>Matched</v>
      </c>
      <c r="K783" s="50">
        <f>ABS(Table13[[#This Row],[Stock Difference]])</f>
        <v>0</v>
      </c>
      <c r="L783" s="17">
        <f t="shared" si="36"/>
        <v>0</v>
      </c>
      <c r="M783" s="17">
        <f t="shared" si="37"/>
        <v>10700</v>
      </c>
      <c r="N783" s="17" t="str" cm="1">
        <f t="array" ref="N783">_xlfn.IFS(K783=0,"Matched", K783&gt;100,"High", K783&gt;=50,"Medium", K783&lt;50,"Low")</f>
        <v>Matched</v>
      </c>
      <c r="O783" s="17" t="str">
        <f t="shared" si="38"/>
        <v>No Match</v>
      </c>
    </row>
    <row r="784" spans="2:15" hidden="1" x14ac:dyDescent="0.3">
      <c r="B784" s="7">
        <v>782</v>
      </c>
      <c r="C784" s="3" t="s">
        <v>788</v>
      </c>
      <c r="D784" s="2" t="s">
        <v>1036</v>
      </c>
      <c r="E784" s="3" t="s">
        <v>1007</v>
      </c>
      <c r="F784" s="3">
        <v>76</v>
      </c>
      <c r="G784" s="3">
        <v>76</v>
      </c>
      <c r="H784" s="8">
        <v>8000</v>
      </c>
      <c r="I784" s="48">
        <f>Table13[[#This Row],[Physical_Stock_Qty]]-Table13[[#This Row],[System_Stock_Qty]]</f>
        <v>0</v>
      </c>
      <c r="J784" s="53" t="str" cm="1">
        <f t="array" ref="J784">_xlfn.IFS(I784=0,"Matched",I784&gt;0,"Excess",I784&lt;0,"Shortage")</f>
        <v>Matched</v>
      </c>
      <c r="K784" s="50">
        <f>ABS(Table13[[#This Row],[Stock Difference]])</f>
        <v>0</v>
      </c>
      <c r="L784" s="17">
        <f t="shared" si="36"/>
        <v>0</v>
      </c>
      <c r="M784" s="17">
        <f t="shared" si="37"/>
        <v>608000</v>
      </c>
      <c r="N784" s="17" t="str" cm="1">
        <f t="array" ref="N784">_xlfn.IFS(K784=0,"Matched", K784&gt;100,"High", K784&gt;=50,"Medium", K784&lt;50,"Low")</f>
        <v>Matched</v>
      </c>
      <c r="O784" s="17" t="str">
        <f t="shared" si="38"/>
        <v>No Match</v>
      </c>
    </row>
    <row r="785" spans="2:15" hidden="1" x14ac:dyDescent="0.3">
      <c r="B785" s="7">
        <v>783</v>
      </c>
      <c r="C785" s="3" t="s">
        <v>789</v>
      </c>
      <c r="D785" s="2" t="s">
        <v>1060</v>
      </c>
      <c r="E785" s="3" t="s">
        <v>1012</v>
      </c>
      <c r="F785" s="3">
        <v>110</v>
      </c>
      <c r="G785" s="3">
        <v>110</v>
      </c>
      <c r="H785" s="8">
        <v>1500</v>
      </c>
      <c r="I785" s="48">
        <f>Table13[[#This Row],[Physical_Stock_Qty]]-Table13[[#This Row],[System_Stock_Qty]]</f>
        <v>0</v>
      </c>
      <c r="J785" s="53" t="str" cm="1">
        <f t="array" ref="J785">_xlfn.IFS(I785=0,"Matched",I785&gt;0,"Excess",I785&lt;0,"Shortage")</f>
        <v>Matched</v>
      </c>
      <c r="K785" s="50">
        <f>ABS(Table13[[#This Row],[Stock Difference]])</f>
        <v>0</v>
      </c>
      <c r="L785" s="17">
        <f t="shared" si="36"/>
        <v>0</v>
      </c>
      <c r="M785" s="17">
        <f t="shared" si="37"/>
        <v>165000</v>
      </c>
      <c r="N785" s="17" t="str" cm="1">
        <f t="array" ref="N785">_xlfn.IFS(K785=0,"Matched", K785&gt;100,"High", K785&gt;=50,"Medium", K785&lt;50,"Low")</f>
        <v>Matched</v>
      </c>
      <c r="O785" s="17" t="str">
        <f t="shared" si="38"/>
        <v>No Match</v>
      </c>
    </row>
    <row r="786" spans="2:15" hidden="1" x14ac:dyDescent="0.3">
      <c r="B786" s="7">
        <v>784</v>
      </c>
      <c r="C786" s="3" t="s">
        <v>790</v>
      </c>
      <c r="D786" s="2" t="s">
        <v>1021</v>
      </c>
      <c r="E786" s="3" t="s">
        <v>1008</v>
      </c>
      <c r="F786" s="3">
        <v>128</v>
      </c>
      <c r="G786" s="3">
        <v>128</v>
      </c>
      <c r="H786" s="8">
        <v>20000</v>
      </c>
      <c r="I786" s="48">
        <f>Table13[[#This Row],[Physical_Stock_Qty]]-Table13[[#This Row],[System_Stock_Qty]]</f>
        <v>0</v>
      </c>
      <c r="J786" s="53" t="str" cm="1">
        <f t="array" ref="J786">_xlfn.IFS(I786=0,"Matched",I786&gt;0,"Excess",I786&lt;0,"Shortage")</f>
        <v>Matched</v>
      </c>
      <c r="K786" s="50">
        <f>ABS(Table13[[#This Row],[Stock Difference]])</f>
        <v>0</v>
      </c>
      <c r="L786" s="17">
        <f t="shared" si="36"/>
        <v>0</v>
      </c>
      <c r="M786" s="17">
        <f t="shared" si="37"/>
        <v>2560000</v>
      </c>
      <c r="N786" s="17" t="str" cm="1">
        <f t="array" ref="N786">_xlfn.IFS(K786=0,"Matched", K786&gt;100,"High", K786&gt;=50,"Medium", K786&lt;50,"Low")</f>
        <v>Matched</v>
      </c>
      <c r="O786" s="17" t="str">
        <f t="shared" si="38"/>
        <v>No Match</v>
      </c>
    </row>
    <row r="787" spans="2:15" hidden="1" x14ac:dyDescent="0.3">
      <c r="B787" s="7">
        <v>785</v>
      </c>
      <c r="C787" s="3" t="s">
        <v>791</v>
      </c>
      <c r="D787" s="2" t="s">
        <v>1059</v>
      </c>
      <c r="E787" s="3" t="s">
        <v>1012</v>
      </c>
      <c r="F787" s="3">
        <v>37</v>
      </c>
      <c r="G787" s="3">
        <v>37</v>
      </c>
      <c r="H787" s="8">
        <v>200</v>
      </c>
      <c r="I787" s="48">
        <f>Table13[[#This Row],[Physical_Stock_Qty]]-Table13[[#This Row],[System_Stock_Qty]]</f>
        <v>0</v>
      </c>
      <c r="J787" s="53" t="str" cm="1">
        <f t="array" ref="J787">_xlfn.IFS(I787=0,"Matched",I787&gt;0,"Excess",I787&lt;0,"Shortage")</f>
        <v>Matched</v>
      </c>
      <c r="K787" s="50">
        <f>ABS(Table13[[#This Row],[Stock Difference]])</f>
        <v>0</v>
      </c>
      <c r="L787" s="17">
        <f t="shared" si="36"/>
        <v>0</v>
      </c>
      <c r="M787" s="17">
        <f t="shared" si="37"/>
        <v>7400</v>
      </c>
      <c r="N787" s="17" t="str" cm="1">
        <f t="array" ref="N787">_xlfn.IFS(K787=0,"Matched", K787&gt;100,"High", K787&gt;=50,"Medium", K787&lt;50,"Low")</f>
        <v>Matched</v>
      </c>
      <c r="O787" s="17" t="str">
        <f t="shared" si="38"/>
        <v>No Match</v>
      </c>
    </row>
    <row r="788" spans="2:15" hidden="1" x14ac:dyDescent="0.3">
      <c r="B788" s="7">
        <v>786</v>
      </c>
      <c r="C788" s="3" t="s">
        <v>792</v>
      </c>
      <c r="D788" s="2" t="s">
        <v>1060</v>
      </c>
      <c r="E788" s="3" t="s">
        <v>1012</v>
      </c>
      <c r="F788" s="3">
        <v>152</v>
      </c>
      <c r="G788" s="3">
        <v>152</v>
      </c>
      <c r="H788" s="8">
        <v>1500</v>
      </c>
      <c r="I788" s="48">
        <f>Table13[[#This Row],[Physical_Stock_Qty]]-Table13[[#This Row],[System_Stock_Qty]]</f>
        <v>0</v>
      </c>
      <c r="J788" s="53" t="str" cm="1">
        <f t="array" ref="J788">_xlfn.IFS(I788=0,"Matched",I788&gt;0,"Excess",I788&lt;0,"Shortage")</f>
        <v>Matched</v>
      </c>
      <c r="K788" s="50">
        <f>ABS(Table13[[#This Row],[Stock Difference]])</f>
        <v>0</v>
      </c>
      <c r="L788" s="17">
        <f t="shared" si="36"/>
        <v>0</v>
      </c>
      <c r="M788" s="17">
        <f t="shared" si="37"/>
        <v>228000</v>
      </c>
      <c r="N788" s="17" t="str" cm="1">
        <f t="array" ref="N788">_xlfn.IFS(K788=0,"Matched", K788&gt;100,"High", K788&gt;=50,"Medium", K788&lt;50,"Low")</f>
        <v>Matched</v>
      </c>
      <c r="O788" s="17" t="str">
        <f t="shared" si="38"/>
        <v>No Match</v>
      </c>
    </row>
    <row r="789" spans="2:15" hidden="1" x14ac:dyDescent="0.3">
      <c r="B789" s="7">
        <v>787</v>
      </c>
      <c r="C789" s="3" t="s">
        <v>793</v>
      </c>
      <c r="D789" s="2" t="s">
        <v>1081</v>
      </c>
      <c r="E789" s="3" t="s">
        <v>1011</v>
      </c>
      <c r="F789" s="3">
        <v>70</v>
      </c>
      <c r="G789" s="3">
        <v>70</v>
      </c>
      <c r="H789" s="8">
        <v>1000</v>
      </c>
      <c r="I789" s="48">
        <f>Table13[[#This Row],[Physical_Stock_Qty]]-Table13[[#This Row],[System_Stock_Qty]]</f>
        <v>0</v>
      </c>
      <c r="J789" s="53" t="str" cm="1">
        <f t="array" ref="J789">_xlfn.IFS(I789=0,"Matched",I789&gt;0,"Excess",I789&lt;0,"Shortage")</f>
        <v>Matched</v>
      </c>
      <c r="K789" s="50">
        <f>ABS(Table13[[#This Row],[Stock Difference]])</f>
        <v>0</v>
      </c>
      <c r="L789" s="17">
        <f t="shared" si="36"/>
        <v>0</v>
      </c>
      <c r="M789" s="17">
        <f t="shared" si="37"/>
        <v>70000</v>
      </c>
      <c r="N789" s="17" t="str" cm="1">
        <f t="array" ref="N789">_xlfn.IFS(K789=0,"Matched", K789&gt;100,"High", K789&gt;=50,"Medium", K789&lt;50,"Low")</f>
        <v>Matched</v>
      </c>
      <c r="O789" s="17" t="str">
        <f t="shared" si="38"/>
        <v>No Match</v>
      </c>
    </row>
    <row r="790" spans="2:15" hidden="1" x14ac:dyDescent="0.3">
      <c r="B790" s="7">
        <v>788</v>
      </c>
      <c r="C790" s="3" t="s">
        <v>794</v>
      </c>
      <c r="D790" s="2" t="s">
        <v>1036</v>
      </c>
      <c r="E790" s="3" t="s">
        <v>1007</v>
      </c>
      <c r="F790" s="3">
        <v>112</v>
      </c>
      <c r="G790" s="3">
        <v>112</v>
      </c>
      <c r="H790" s="8">
        <v>8000</v>
      </c>
      <c r="I790" s="48">
        <f>Table13[[#This Row],[Physical_Stock_Qty]]-Table13[[#This Row],[System_Stock_Qty]]</f>
        <v>0</v>
      </c>
      <c r="J790" s="53" t="str" cm="1">
        <f t="array" ref="J790">_xlfn.IFS(I790=0,"Matched",I790&gt;0,"Excess",I790&lt;0,"Shortage")</f>
        <v>Matched</v>
      </c>
      <c r="K790" s="50">
        <f>ABS(Table13[[#This Row],[Stock Difference]])</f>
        <v>0</v>
      </c>
      <c r="L790" s="17">
        <f t="shared" si="36"/>
        <v>0</v>
      </c>
      <c r="M790" s="17">
        <f t="shared" si="37"/>
        <v>896000</v>
      </c>
      <c r="N790" s="17" t="str" cm="1">
        <f t="array" ref="N790">_xlfn.IFS(K790=0,"Matched", K790&gt;100,"High", K790&gt;=50,"Medium", K790&lt;50,"Low")</f>
        <v>Matched</v>
      </c>
      <c r="O790" s="17" t="str">
        <f t="shared" si="38"/>
        <v>No Match</v>
      </c>
    </row>
    <row r="791" spans="2:15" hidden="1" x14ac:dyDescent="0.3">
      <c r="B791" s="7">
        <v>789</v>
      </c>
      <c r="C791" s="3" t="s">
        <v>795</v>
      </c>
      <c r="D791" s="2" t="s">
        <v>1037</v>
      </c>
      <c r="E791" s="3" t="s">
        <v>1007</v>
      </c>
      <c r="F791" s="3">
        <v>158</v>
      </c>
      <c r="G791" s="3">
        <v>158</v>
      </c>
      <c r="H791" s="8">
        <v>10000</v>
      </c>
      <c r="I791" s="48">
        <f>Table13[[#This Row],[Physical_Stock_Qty]]-Table13[[#This Row],[System_Stock_Qty]]</f>
        <v>0</v>
      </c>
      <c r="J791" s="53" t="str" cm="1">
        <f t="array" ref="J791">_xlfn.IFS(I791=0,"Matched",I791&gt;0,"Excess",I791&lt;0,"Shortage")</f>
        <v>Matched</v>
      </c>
      <c r="K791" s="50">
        <f>ABS(Table13[[#This Row],[Stock Difference]])</f>
        <v>0</v>
      </c>
      <c r="L791" s="17">
        <f t="shared" si="36"/>
        <v>0</v>
      </c>
      <c r="M791" s="17">
        <f t="shared" si="37"/>
        <v>1580000</v>
      </c>
      <c r="N791" s="17" t="str" cm="1">
        <f t="array" ref="N791">_xlfn.IFS(K791=0,"Matched", K791&gt;100,"High", K791&gt;=50,"Medium", K791&lt;50,"Low")</f>
        <v>Matched</v>
      </c>
      <c r="O791" s="17" t="str">
        <f t="shared" si="38"/>
        <v>No Match</v>
      </c>
    </row>
    <row r="792" spans="2:15" hidden="1" x14ac:dyDescent="0.3">
      <c r="B792" s="7">
        <v>790</v>
      </c>
      <c r="C792" s="3" t="s">
        <v>796</v>
      </c>
      <c r="D792" s="2" t="s">
        <v>1031</v>
      </c>
      <c r="E792" s="3" t="s">
        <v>1008</v>
      </c>
      <c r="F792" s="3">
        <v>164</v>
      </c>
      <c r="G792" s="3">
        <v>164</v>
      </c>
      <c r="H792" s="8">
        <v>40000</v>
      </c>
      <c r="I792" s="48">
        <f>Table13[[#This Row],[Physical_Stock_Qty]]-Table13[[#This Row],[System_Stock_Qty]]</f>
        <v>0</v>
      </c>
      <c r="J792" s="53" t="str" cm="1">
        <f t="array" ref="J792">_xlfn.IFS(I792=0,"Matched",I792&gt;0,"Excess",I792&lt;0,"Shortage")</f>
        <v>Matched</v>
      </c>
      <c r="K792" s="50">
        <f>ABS(Table13[[#This Row],[Stock Difference]])</f>
        <v>0</v>
      </c>
      <c r="L792" s="17">
        <f t="shared" si="36"/>
        <v>0</v>
      </c>
      <c r="M792" s="17">
        <f t="shared" si="37"/>
        <v>6560000</v>
      </c>
      <c r="N792" s="17" t="str" cm="1">
        <f t="array" ref="N792">_xlfn.IFS(K792=0,"Matched", K792&gt;100,"High", K792&gt;=50,"Medium", K792&lt;50,"Low")</f>
        <v>Matched</v>
      </c>
      <c r="O792" s="17" t="str">
        <f t="shared" si="38"/>
        <v>No Match</v>
      </c>
    </row>
    <row r="793" spans="2:15" hidden="1" x14ac:dyDescent="0.3">
      <c r="B793" s="7">
        <v>791</v>
      </c>
      <c r="C793" s="3" t="s">
        <v>797</v>
      </c>
      <c r="D793" s="2" t="s">
        <v>1062</v>
      </c>
      <c r="E793" s="3" t="s">
        <v>1009</v>
      </c>
      <c r="F793" s="3">
        <v>34</v>
      </c>
      <c r="G793" s="3">
        <v>34</v>
      </c>
      <c r="H793" s="8">
        <v>100</v>
      </c>
      <c r="I793" s="48">
        <f>Table13[[#This Row],[Physical_Stock_Qty]]-Table13[[#This Row],[System_Stock_Qty]]</f>
        <v>0</v>
      </c>
      <c r="J793" s="53" t="str" cm="1">
        <f t="array" ref="J793">_xlfn.IFS(I793=0,"Matched",I793&gt;0,"Excess",I793&lt;0,"Shortage")</f>
        <v>Matched</v>
      </c>
      <c r="K793" s="50">
        <f>ABS(Table13[[#This Row],[Stock Difference]])</f>
        <v>0</v>
      </c>
      <c r="L793" s="17">
        <f t="shared" si="36"/>
        <v>0</v>
      </c>
      <c r="M793" s="17">
        <f t="shared" si="37"/>
        <v>3400</v>
      </c>
      <c r="N793" s="17" t="str" cm="1">
        <f t="array" ref="N793">_xlfn.IFS(K793=0,"Matched", K793&gt;100,"High", K793&gt;=50,"Medium", K793&lt;50,"Low")</f>
        <v>Matched</v>
      </c>
      <c r="O793" s="17" t="str">
        <f t="shared" si="38"/>
        <v>No Match</v>
      </c>
    </row>
    <row r="794" spans="2:15" hidden="1" x14ac:dyDescent="0.3">
      <c r="B794" s="7">
        <v>792</v>
      </c>
      <c r="C794" s="3" t="s">
        <v>798</v>
      </c>
      <c r="D794" s="2" t="s">
        <v>1084</v>
      </c>
      <c r="E794" s="3" t="s">
        <v>1011</v>
      </c>
      <c r="F794" s="3">
        <v>120</v>
      </c>
      <c r="G794" s="3">
        <v>120</v>
      </c>
      <c r="H794" s="8">
        <v>2000</v>
      </c>
      <c r="I794" s="48">
        <f>Table13[[#This Row],[Physical_Stock_Qty]]-Table13[[#This Row],[System_Stock_Qty]]</f>
        <v>0</v>
      </c>
      <c r="J794" s="53" t="str" cm="1">
        <f t="array" ref="J794">_xlfn.IFS(I794=0,"Matched",I794&gt;0,"Excess",I794&lt;0,"Shortage")</f>
        <v>Matched</v>
      </c>
      <c r="K794" s="50">
        <f>ABS(Table13[[#This Row],[Stock Difference]])</f>
        <v>0</v>
      </c>
      <c r="L794" s="17">
        <f t="shared" si="36"/>
        <v>0</v>
      </c>
      <c r="M794" s="17">
        <f t="shared" si="37"/>
        <v>240000</v>
      </c>
      <c r="N794" s="17" t="str" cm="1">
        <f t="array" ref="N794">_xlfn.IFS(K794=0,"Matched", K794&gt;100,"High", K794&gt;=50,"Medium", K794&lt;50,"Low")</f>
        <v>Matched</v>
      </c>
      <c r="O794" s="17" t="str">
        <f t="shared" si="38"/>
        <v>No Match</v>
      </c>
    </row>
    <row r="795" spans="2:15" hidden="1" x14ac:dyDescent="0.3">
      <c r="B795" s="7">
        <v>793</v>
      </c>
      <c r="C795" s="3" t="s">
        <v>799</v>
      </c>
      <c r="D795" s="2" t="s">
        <v>1028</v>
      </c>
      <c r="E795" s="3" t="s">
        <v>1008</v>
      </c>
      <c r="F795" s="3">
        <v>131</v>
      </c>
      <c r="G795" s="3">
        <v>131</v>
      </c>
      <c r="H795" s="8">
        <v>15000</v>
      </c>
      <c r="I795" s="48">
        <f>Table13[[#This Row],[Physical_Stock_Qty]]-Table13[[#This Row],[System_Stock_Qty]]</f>
        <v>0</v>
      </c>
      <c r="J795" s="53" t="str" cm="1">
        <f t="array" ref="J795">_xlfn.IFS(I795=0,"Matched",I795&gt;0,"Excess",I795&lt;0,"Shortage")</f>
        <v>Matched</v>
      </c>
      <c r="K795" s="50">
        <f>ABS(Table13[[#This Row],[Stock Difference]])</f>
        <v>0</v>
      </c>
      <c r="L795" s="17">
        <f t="shared" si="36"/>
        <v>0</v>
      </c>
      <c r="M795" s="17">
        <f t="shared" si="37"/>
        <v>1965000</v>
      </c>
      <c r="N795" s="17" t="str" cm="1">
        <f t="array" ref="N795">_xlfn.IFS(K795=0,"Matched", K795&gt;100,"High", K795&gt;=50,"Medium", K795&lt;50,"Low")</f>
        <v>Matched</v>
      </c>
      <c r="O795" s="17" t="str">
        <f t="shared" si="38"/>
        <v>No Match</v>
      </c>
    </row>
    <row r="796" spans="2:15" hidden="1" x14ac:dyDescent="0.3">
      <c r="B796" s="7">
        <v>794</v>
      </c>
      <c r="C796" s="3" t="s">
        <v>800</v>
      </c>
      <c r="D796" s="2" t="s">
        <v>1021</v>
      </c>
      <c r="E796" s="3" t="s">
        <v>1008</v>
      </c>
      <c r="F796" s="3">
        <v>107</v>
      </c>
      <c r="G796" s="3">
        <v>107</v>
      </c>
      <c r="H796" s="8">
        <v>20000</v>
      </c>
      <c r="I796" s="48">
        <f>Table13[[#This Row],[Physical_Stock_Qty]]-Table13[[#This Row],[System_Stock_Qty]]</f>
        <v>0</v>
      </c>
      <c r="J796" s="53" t="str" cm="1">
        <f t="array" ref="J796">_xlfn.IFS(I796=0,"Matched",I796&gt;0,"Excess",I796&lt;0,"Shortage")</f>
        <v>Matched</v>
      </c>
      <c r="K796" s="50">
        <f>ABS(Table13[[#This Row],[Stock Difference]])</f>
        <v>0</v>
      </c>
      <c r="L796" s="17">
        <f t="shared" si="36"/>
        <v>0</v>
      </c>
      <c r="M796" s="17">
        <f t="shared" si="37"/>
        <v>2140000</v>
      </c>
      <c r="N796" s="17" t="str" cm="1">
        <f t="array" ref="N796">_xlfn.IFS(K796=0,"Matched", K796&gt;100,"High", K796&gt;=50,"Medium", K796&lt;50,"Low")</f>
        <v>Matched</v>
      </c>
      <c r="O796" s="17" t="str">
        <f t="shared" si="38"/>
        <v>No Match</v>
      </c>
    </row>
    <row r="797" spans="2:15" hidden="1" x14ac:dyDescent="0.3">
      <c r="B797" s="7">
        <v>795</v>
      </c>
      <c r="C797" s="3" t="s">
        <v>801</v>
      </c>
      <c r="D797" s="2" t="s">
        <v>1039</v>
      </c>
      <c r="E797" s="3" t="s">
        <v>1007</v>
      </c>
      <c r="F797" s="3">
        <v>171</v>
      </c>
      <c r="G797" s="3">
        <v>171</v>
      </c>
      <c r="H797" s="8">
        <v>12000</v>
      </c>
      <c r="I797" s="48">
        <f>Table13[[#This Row],[Physical_Stock_Qty]]-Table13[[#This Row],[System_Stock_Qty]]</f>
        <v>0</v>
      </c>
      <c r="J797" s="53" t="str" cm="1">
        <f t="array" ref="J797">_xlfn.IFS(I797=0,"Matched",I797&gt;0,"Excess",I797&lt;0,"Shortage")</f>
        <v>Matched</v>
      </c>
      <c r="K797" s="50">
        <f>ABS(Table13[[#This Row],[Stock Difference]])</f>
        <v>0</v>
      </c>
      <c r="L797" s="17">
        <f t="shared" si="36"/>
        <v>0</v>
      </c>
      <c r="M797" s="17">
        <f t="shared" si="37"/>
        <v>2052000</v>
      </c>
      <c r="N797" s="17" t="str" cm="1">
        <f t="array" ref="N797">_xlfn.IFS(K797=0,"Matched", K797&gt;100,"High", K797&gt;=50,"Medium", K797&lt;50,"Low")</f>
        <v>Matched</v>
      </c>
      <c r="O797" s="17" t="str">
        <f t="shared" si="38"/>
        <v>No Match</v>
      </c>
    </row>
    <row r="798" spans="2:15" hidden="1" x14ac:dyDescent="0.3">
      <c r="B798" s="7">
        <v>796</v>
      </c>
      <c r="C798" s="3" t="s">
        <v>802</v>
      </c>
      <c r="D798" s="2" t="s">
        <v>1072</v>
      </c>
      <c r="E798" s="3" t="s">
        <v>1009</v>
      </c>
      <c r="F798" s="3">
        <v>102</v>
      </c>
      <c r="G798" s="3">
        <v>102</v>
      </c>
      <c r="H798" s="8">
        <v>50</v>
      </c>
      <c r="I798" s="48">
        <f>Table13[[#This Row],[Physical_Stock_Qty]]-Table13[[#This Row],[System_Stock_Qty]]</f>
        <v>0</v>
      </c>
      <c r="J798" s="53" t="str" cm="1">
        <f t="array" ref="J798">_xlfn.IFS(I798=0,"Matched",I798&gt;0,"Excess",I798&lt;0,"Shortage")</f>
        <v>Matched</v>
      </c>
      <c r="K798" s="50">
        <f>ABS(Table13[[#This Row],[Stock Difference]])</f>
        <v>0</v>
      </c>
      <c r="L798" s="17">
        <f t="shared" si="36"/>
        <v>0</v>
      </c>
      <c r="M798" s="17">
        <f t="shared" si="37"/>
        <v>5100</v>
      </c>
      <c r="N798" s="17" t="str" cm="1">
        <f t="array" ref="N798">_xlfn.IFS(K798=0,"Matched", K798&gt;100,"High", K798&gt;=50,"Medium", K798&lt;50,"Low")</f>
        <v>Matched</v>
      </c>
      <c r="O798" s="17" t="str">
        <f t="shared" si="38"/>
        <v>No Match</v>
      </c>
    </row>
    <row r="799" spans="2:15" hidden="1" x14ac:dyDescent="0.3">
      <c r="B799" s="7">
        <v>797</v>
      </c>
      <c r="C799" s="3" t="s">
        <v>803</v>
      </c>
      <c r="D799" s="2" t="s">
        <v>1035</v>
      </c>
      <c r="E799" s="3" t="s">
        <v>1007</v>
      </c>
      <c r="F799" s="3">
        <v>116</v>
      </c>
      <c r="G799" s="3">
        <v>116</v>
      </c>
      <c r="H799" s="8">
        <v>15000</v>
      </c>
      <c r="I799" s="48">
        <f>Table13[[#This Row],[Physical_Stock_Qty]]-Table13[[#This Row],[System_Stock_Qty]]</f>
        <v>0</v>
      </c>
      <c r="J799" s="53" t="str" cm="1">
        <f t="array" ref="J799">_xlfn.IFS(I799=0,"Matched",I799&gt;0,"Excess",I799&lt;0,"Shortage")</f>
        <v>Matched</v>
      </c>
      <c r="K799" s="50">
        <f>ABS(Table13[[#This Row],[Stock Difference]])</f>
        <v>0</v>
      </c>
      <c r="L799" s="17">
        <f t="shared" si="36"/>
        <v>0</v>
      </c>
      <c r="M799" s="17">
        <f t="shared" si="37"/>
        <v>1740000</v>
      </c>
      <c r="N799" s="17" t="str" cm="1">
        <f t="array" ref="N799">_xlfn.IFS(K799=0,"Matched", K799&gt;100,"High", K799&gt;=50,"Medium", K799&lt;50,"Low")</f>
        <v>Matched</v>
      </c>
      <c r="O799" s="17" t="str">
        <f t="shared" si="38"/>
        <v>No Match</v>
      </c>
    </row>
    <row r="800" spans="2:15" hidden="1" x14ac:dyDescent="0.3">
      <c r="B800" s="7">
        <v>798</v>
      </c>
      <c r="C800" s="3" t="s">
        <v>804</v>
      </c>
      <c r="D800" s="2" t="s">
        <v>1046</v>
      </c>
      <c r="E800" s="3" t="s">
        <v>1010</v>
      </c>
      <c r="F800" s="3">
        <v>199</v>
      </c>
      <c r="G800" s="3">
        <v>199</v>
      </c>
      <c r="H800" s="8">
        <v>100</v>
      </c>
      <c r="I800" s="48">
        <f>Table13[[#This Row],[Physical_Stock_Qty]]-Table13[[#This Row],[System_Stock_Qty]]</f>
        <v>0</v>
      </c>
      <c r="J800" s="53" t="str" cm="1">
        <f t="array" ref="J800">_xlfn.IFS(I800=0,"Matched",I800&gt;0,"Excess",I800&lt;0,"Shortage")</f>
        <v>Matched</v>
      </c>
      <c r="K800" s="50">
        <f>ABS(Table13[[#This Row],[Stock Difference]])</f>
        <v>0</v>
      </c>
      <c r="L800" s="17">
        <f t="shared" si="36"/>
        <v>0</v>
      </c>
      <c r="M800" s="17">
        <f t="shared" si="37"/>
        <v>19900</v>
      </c>
      <c r="N800" s="17" t="str" cm="1">
        <f t="array" ref="N800">_xlfn.IFS(K800=0,"Matched", K800&gt;100,"High", K800&gt;=50,"Medium", K800&lt;50,"Low")</f>
        <v>Matched</v>
      </c>
      <c r="O800" s="17" t="str">
        <f t="shared" si="38"/>
        <v>No Match</v>
      </c>
    </row>
    <row r="801" spans="2:15" hidden="1" x14ac:dyDescent="0.3">
      <c r="B801" s="7">
        <v>799</v>
      </c>
      <c r="C801" s="3" t="s">
        <v>805</v>
      </c>
      <c r="D801" s="2" t="s">
        <v>1073</v>
      </c>
      <c r="E801" s="3" t="s">
        <v>1009</v>
      </c>
      <c r="F801" s="3">
        <v>180</v>
      </c>
      <c r="G801" s="3">
        <v>180</v>
      </c>
      <c r="H801" s="8">
        <v>100</v>
      </c>
      <c r="I801" s="48">
        <f>Table13[[#This Row],[Physical_Stock_Qty]]-Table13[[#This Row],[System_Stock_Qty]]</f>
        <v>0</v>
      </c>
      <c r="J801" s="53" t="str" cm="1">
        <f t="array" ref="J801">_xlfn.IFS(I801=0,"Matched",I801&gt;0,"Excess",I801&lt;0,"Shortage")</f>
        <v>Matched</v>
      </c>
      <c r="K801" s="50">
        <f>ABS(Table13[[#This Row],[Stock Difference]])</f>
        <v>0</v>
      </c>
      <c r="L801" s="17">
        <f t="shared" si="36"/>
        <v>0</v>
      </c>
      <c r="M801" s="17">
        <f t="shared" si="37"/>
        <v>18000</v>
      </c>
      <c r="N801" s="17" t="str" cm="1">
        <f t="array" ref="N801">_xlfn.IFS(K801=0,"Matched", K801&gt;100,"High", K801&gt;=50,"Medium", K801&lt;50,"Low")</f>
        <v>Matched</v>
      </c>
      <c r="O801" s="17" t="str">
        <f t="shared" si="38"/>
        <v>No Match</v>
      </c>
    </row>
    <row r="802" spans="2:15" hidden="1" x14ac:dyDescent="0.3">
      <c r="B802" s="7">
        <v>800</v>
      </c>
      <c r="C802" s="3" t="s">
        <v>806</v>
      </c>
      <c r="D802" s="2" t="s">
        <v>1045</v>
      </c>
      <c r="E802" s="3" t="s">
        <v>1010</v>
      </c>
      <c r="F802" s="3">
        <v>144</v>
      </c>
      <c r="G802" s="3">
        <v>144</v>
      </c>
      <c r="H802" s="8">
        <v>100</v>
      </c>
      <c r="I802" s="48">
        <f>Table13[[#This Row],[Physical_Stock_Qty]]-Table13[[#This Row],[System_Stock_Qty]]</f>
        <v>0</v>
      </c>
      <c r="J802" s="53" t="str" cm="1">
        <f t="array" ref="J802">_xlfn.IFS(I802=0,"Matched",I802&gt;0,"Excess",I802&lt;0,"Shortage")</f>
        <v>Matched</v>
      </c>
      <c r="K802" s="50">
        <f>ABS(Table13[[#This Row],[Stock Difference]])</f>
        <v>0</v>
      </c>
      <c r="L802" s="17">
        <f t="shared" si="36"/>
        <v>0</v>
      </c>
      <c r="M802" s="17">
        <f t="shared" si="37"/>
        <v>14400</v>
      </c>
      <c r="N802" s="17" t="str" cm="1">
        <f t="array" ref="N802">_xlfn.IFS(K802=0,"Matched", K802&gt;100,"High", K802&gt;=50,"Medium", K802&lt;50,"Low")</f>
        <v>Matched</v>
      </c>
      <c r="O802" s="17" t="str">
        <f t="shared" si="38"/>
        <v>No Match</v>
      </c>
    </row>
    <row r="803" spans="2:15" hidden="1" x14ac:dyDescent="0.3">
      <c r="B803" s="7">
        <v>801</v>
      </c>
      <c r="C803" s="3" t="s">
        <v>807</v>
      </c>
      <c r="D803" s="2" t="s">
        <v>1042</v>
      </c>
      <c r="E803" s="3" t="s">
        <v>1007</v>
      </c>
      <c r="F803" s="3">
        <v>45</v>
      </c>
      <c r="G803" s="3">
        <v>45</v>
      </c>
      <c r="H803" s="8">
        <v>3000</v>
      </c>
      <c r="I803" s="48">
        <f>Table13[[#This Row],[Physical_Stock_Qty]]-Table13[[#This Row],[System_Stock_Qty]]</f>
        <v>0</v>
      </c>
      <c r="J803" s="53" t="str" cm="1">
        <f t="array" ref="J803">_xlfn.IFS(I803=0,"Matched",I803&gt;0,"Excess",I803&lt;0,"Shortage")</f>
        <v>Matched</v>
      </c>
      <c r="K803" s="50">
        <f>ABS(Table13[[#This Row],[Stock Difference]])</f>
        <v>0</v>
      </c>
      <c r="L803" s="17">
        <f t="shared" si="36"/>
        <v>0</v>
      </c>
      <c r="M803" s="17">
        <f t="shared" si="37"/>
        <v>135000</v>
      </c>
      <c r="N803" s="17" t="str" cm="1">
        <f t="array" ref="N803">_xlfn.IFS(K803=0,"Matched", K803&gt;100,"High", K803&gt;=50,"Medium", K803&lt;50,"Low")</f>
        <v>Matched</v>
      </c>
      <c r="O803" s="17" t="str">
        <f t="shared" si="38"/>
        <v>No Match</v>
      </c>
    </row>
    <row r="804" spans="2:15" hidden="1" x14ac:dyDescent="0.3">
      <c r="B804" s="7">
        <v>802</v>
      </c>
      <c r="C804" s="3" t="s">
        <v>808</v>
      </c>
      <c r="D804" s="2" t="s">
        <v>1051</v>
      </c>
      <c r="E804" s="3" t="s">
        <v>1010</v>
      </c>
      <c r="F804" s="3">
        <v>196</v>
      </c>
      <c r="G804" s="3">
        <v>196</v>
      </c>
      <c r="H804" s="8">
        <v>50</v>
      </c>
      <c r="I804" s="48">
        <f>Table13[[#This Row],[Physical_Stock_Qty]]-Table13[[#This Row],[System_Stock_Qty]]</f>
        <v>0</v>
      </c>
      <c r="J804" s="53" t="str" cm="1">
        <f t="array" ref="J804">_xlfn.IFS(I804=0,"Matched",I804&gt;0,"Excess",I804&lt;0,"Shortage")</f>
        <v>Matched</v>
      </c>
      <c r="K804" s="50">
        <f>ABS(Table13[[#This Row],[Stock Difference]])</f>
        <v>0</v>
      </c>
      <c r="L804" s="17">
        <f t="shared" si="36"/>
        <v>0</v>
      </c>
      <c r="M804" s="17">
        <f t="shared" si="37"/>
        <v>9800</v>
      </c>
      <c r="N804" s="17" t="str" cm="1">
        <f t="array" ref="N804">_xlfn.IFS(K804=0,"Matched", K804&gt;100,"High", K804&gt;=50,"Medium", K804&lt;50,"Low")</f>
        <v>Matched</v>
      </c>
      <c r="O804" s="17" t="str">
        <f t="shared" si="38"/>
        <v>No Match</v>
      </c>
    </row>
    <row r="805" spans="2:15" hidden="1" x14ac:dyDescent="0.3">
      <c r="B805" s="7">
        <v>803</v>
      </c>
      <c r="C805" s="3" t="s">
        <v>809</v>
      </c>
      <c r="D805" s="2" t="s">
        <v>1051</v>
      </c>
      <c r="E805" s="3" t="s">
        <v>1010</v>
      </c>
      <c r="F805" s="3">
        <v>197</v>
      </c>
      <c r="G805" s="3">
        <v>197</v>
      </c>
      <c r="H805" s="8">
        <v>50</v>
      </c>
      <c r="I805" s="48">
        <f>Table13[[#This Row],[Physical_Stock_Qty]]-Table13[[#This Row],[System_Stock_Qty]]</f>
        <v>0</v>
      </c>
      <c r="J805" s="53" t="str" cm="1">
        <f t="array" ref="J805">_xlfn.IFS(I805=0,"Matched",I805&gt;0,"Excess",I805&lt;0,"Shortage")</f>
        <v>Matched</v>
      </c>
      <c r="K805" s="50">
        <f>ABS(Table13[[#This Row],[Stock Difference]])</f>
        <v>0</v>
      </c>
      <c r="L805" s="17">
        <f t="shared" si="36"/>
        <v>0</v>
      </c>
      <c r="M805" s="17">
        <f t="shared" si="37"/>
        <v>9850</v>
      </c>
      <c r="N805" s="17" t="str" cm="1">
        <f t="array" ref="N805">_xlfn.IFS(K805=0,"Matched", K805&gt;100,"High", K805&gt;=50,"Medium", K805&lt;50,"Low")</f>
        <v>Matched</v>
      </c>
      <c r="O805" s="17" t="str">
        <f t="shared" si="38"/>
        <v>No Match</v>
      </c>
    </row>
    <row r="806" spans="2:15" hidden="1" x14ac:dyDescent="0.3">
      <c r="B806" s="7">
        <v>804</v>
      </c>
      <c r="C806" s="3" t="s">
        <v>810</v>
      </c>
      <c r="D806" s="2" t="s">
        <v>1023</v>
      </c>
      <c r="E806" s="3" t="s">
        <v>1008</v>
      </c>
      <c r="F806" s="3">
        <v>186</v>
      </c>
      <c r="G806" s="3">
        <v>186</v>
      </c>
      <c r="H806" s="8">
        <v>20000</v>
      </c>
      <c r="I806" s="48">
        <f>Table13[[#This Row],[Physical_Stock_Qty]]-Table13[[#This Row],[System_Stock_Qty]]</f>
        <v>0</v>
      </c>
      <c r="J806" s="53" t="str" cm="1">
        <f t="array" ref="J806">_xlfn.IFS(I806=0,"Matched",I806&gt;0,"Excess",I806&lt;0,"Shortage")</f>
        <v>Matched</v>
      </c>
      <c r="K806" s="50">
        <f>ABS(Table13[[#This Row],[Stock Difference]])</f>
        <v>0</v>
      </c>
      <c r="L806" s="17">
        <f t="shared" si="36"/>
        <v>0</v>
      </c>
      <c r="M806" s="17">
        <f t="shared" si="37"/>
        <v>3720000</v>
      </c>
      <c r="N806" s="17" t="str" cm="1">
        <f t="array" ref="N806">_xlfn.IFS(K806=0,"Matched", K806&gt;100,"High", K806&gt;=50,"Medium", K806&lt;50,"Low")</f>
        <v>Matched</v>
      </c>
      <c r="O806" s="17" t="str">
        <f t="shared" si="38"/>
        <v>No Match</v>
      </c>
    </row>
    <row r="807" spans="2:15" hidden="1" x14ac:dyDescent="0.3">
      <c r="B807" s="7">
        <v>805</v>
      </c>
      <c r="C807" s="3" t="s">
        <v>811</v>
      </c>
      <c r="D807" s="2" t="s">
        <v>1080</v>
      </c>
      <c r="E807" s="3" t="s">
        <v>1011</v>
      </c>
      <c r="F807" s="3">
        <v>186</v>
      </c>
      <c r="G807" s="3">
        <v>186</v>
      </c>
      <c r="H807" s="8">
        <v>2500</v>
      </c>
      <c r="I807" s="48">
        <f>Table13[[#This Row],[Physical_Stock_Qty]]-Table13[[#This Row],[System_Stock_Qty]]</f>
        <v>0</v>
      </c>
      <c r="J807" s="53" t="str" cm="1">
        <f t="array" ref="J807">_xlfn.IFS(I807=0,"Matched",I807&gt;0,"Excess",I807&lt;0,"Shortage")</f>
        <v>Matched</v>
      </c>
      <c r="K807" s="50">
        <f>ABS(Table13[[#This Row],[Stock Difference]])</f>
        <v>0</v>
      </c>
      <c r="L807" s="17">
        <f t="shared" si="36"/>
        <v>0</v>
      </c>
      <c r="M807" s="17">
        <f t="shared" si="37"/>
        <v>465000</v>
      </c>
      <c r="N807" s="17" t="str" cm="1">
        <f t="array" ref="N807">_xlfn.IFS(K807=0,"Matched", K807&gt;100,"High", K807&gt;=50,"Medium", K807&lt;50,"Low")</f>
        <v>Matched</v>
      </c>
      <c r="O807" s="17" t="str">
        <f t="shared" si="38"/>
        <v>No Match</v>
      </c>
    </row>
    <row r="808" spans="2:15" hidden="1" x14ac:dyDescent="0.3">
      <c r="B808" s="7">
        <v>806</v>
      </c>
      <c r="C808" s="3" t="s">
        <v>812</v>
      </c>
      <c r="D808" s="2" t="s">
        <v>1061</v>
      </c>
      <c r="E808" s="3" t="s">
        <v>1012</v>
      </c>
      <c r="F808" s="3">
        <v>120</v>
      </c>
      <c r="G808" s="3">
        <v>120</v>
      </c>
      <c r="H808" s="8">
        <v>500</v>
      </c>
      <c r="I808" s="48">
        <f>Table13[[#This Row],[Physical_Stock_Qty]]-Table13[[#This Row],[System_Stock_Qty]]</f>
        <v>0</v>
      </c>
      <c r="J808" s="53" t="str" cm="1">
        <f t="array" ref="J808">_xlfn.IFS(I808=0,"Matched",I808&gt;0,"Excess",I808&lt;0,"Shortage")</f>
        <v>Matched</v>
      </c>
      <c r="K808" s="50">
        <f>ABS(Table13[[#This Row],[Stock Difference]])</f>
        <v>0</v>
      </c>
      <c r="L808" s="17">
        <f t="shared" si="36"/>
        <v>0</v>
      </c>
      <c r="M808" s="17">
        <f t="shared" si="37"/>
        <v>60000</v>
      </c>
      <c r="N808" s="17" t="str" cm="1">
        <f t="array" ref="N808">_xlfn.IFS(K808=0,"Matched", K808&gt;100,"High", K808&gt;=50,"Medium", K808&lt;50,"Low")</f>
        <v>Matched</v>
      </c>
      <c r="O808" s="17" t="str">
        <f t="shared" si="38"/>
        <v>No Match</v>
      </c>
    </row>
    <row r="809" spans="2:15" hidden="1" x14ac:dyDescent="0.3">
      <c r="B809" s="7">
        <v>807</v>
      </c>
      <c r="C809" s="3" t="s">
        <v>813</v>
      </c>
      <c r="D809" s="2" t="s">
        <v>1076</v>
      </c>
      <c r="E809" s="3" t="s">
        <v>1009</v>
      </c>
      <c r="F809" s="3">
        <v>91</v>
      </c>
      <c r="G809" s="3">
        <v>91</v>
      </c>
      <c r="H809" s="8">
        <v>100</v>
      </c>
      <c r="I809" s="48">
        <f>Table13[[#This Row],[Physical_Stock_Qty]]-Table13[[#This Row],[System_Stock_Qty]]</f>
        <v>0</v>
      </c>
      <c r="J809" s="53" t="str" cm="1">
        <f t="array" ref="J809">_xlfn.IFS(I809=0,"Matched",I809&gt;0,"Excess",I809&lt;0,"Shortage")</f>
        <v>Matched</v>
      </c>
      <c r="K809" s="50">
        <f>ABS(Table13[[#This Row],[Stock Difference]])</f>
        <v>0</v>
      </c>
      <c r="L809" s="17">
        <f t="shared" si="36"/>
        <v>0</v>
      </c>
      <c r="M809" s="17">
        <f t="shared" si="37"/>
        <v>9100</v>
      </c>
      <c r="N809" s="17" t="str" cm="1">
        <f t="array" ref="N809">_xlfn.IFS(K809=0,"Matched", K809&gt;100,"High", K809&gt;=50,"Medium", K809&lt;50,"Low")</f>
        <v>Matched</v>
      </c>
      <c r="O809" s="17" t="str">
        <f t="shared" si="38"/>
        <v>No Match</v>
      </c>
    </row>
    <row r="810" spans="2:15" hidden="1" x14ac:dyDescent="0.3">
      <c r="B810" s="7">
        <v>808</v>
      </c>
      <c r="C810" s="3" t="s">
        <v>814</v>
      </c>
      <c r="D810" s="2" t="s">
        <v>1028</v>
      </c>
      <c r="E810" s="3" t="s">
        <v>1008</v>
      </c>
      <c r="F810" s="3">
        <v>61</v>
      </c>
      <c r="G810" s="3">
        <v>61</v>
      </c>
      <c r="H810" s="8">
        <v>15000</v>
      </c>
      <c r="I810" s="48">
        <f>Table13[[#This Row],[Physical_Stock_Qty]]-Table13[[#This Row],[System_Stock_Qty]]</f>
        <v>0</v>
      </c>
      <c r="J810" s="53" t="str" cm="1">
        <f t="array" ref="J810">_xlfn.IFS(I810=0,"Matched",I810&gt;0,"Excess",I810&lt;0,"Shortage")</f>
        <v>Matched</v>
      </c>
      <c r="K810" s="50">
        <f>ABS(Table13[[#This Row],[Stock Difference]])</f>
        <v>0</v>
      </c>
      <c r="L810" s="17">
        <f t="shared" si="36"/>
        <v>0</v>
      </c>
      <c r="M810" s="17">
        <f t="shared" si="37"/>
        <v>915000</v>
      </c>
      <c r="N810" s="17" t="str" cm="1">
        <f t="array" ref="N810">_xlfn.IFS(K810=0,"Matched", K810&gt;100,"High", K810&gt;=50,"Medium", K810&lt;50,"Low")</f>
        <v>Matched</v>
      </c>
      <c r="O810" s="17" t="str">
        <f t="shared" si="38"/>
        <v>No Match</v>
      </c>
    </row>
    <row r="811" spans="2:15" hidden="1" x14ac:dyDescent="0.3">
      <c r="B811" s="7">
        <v>809</v>
      </c>
      <c r="C811" s="3" t="s">
        <v>815</v>
      </c>
      <c r="D811" s="2" t="s">
        <v>1085</v>
      </c>
      <c r="E811" s="3" t="s">
        <v>1011</v>
      </c>
      <c r="F811" s="3">
        <v>85</v>
      </c>
      <c r="G811" s="3">
        <v>85</v>
      </c>
      <c r="H811" s="8">
        <v>1500</v>
      </c>
      <c r="I811" s="48">
        <f>Table13[[#This Row],[Physical_Stock_Qty]]-Table13[[#This Row],[System_Stock_Qty]]</f>
        <v>0</v>
      </c>
      <c r="J811" s="53" t="str" cm="1">
        <f t="array" ref="J811">_xlfn.IFS(I811=0,"Matched",I811&gt;0,"Excess",I811&lt;0,"Shortage")</f>
        <v>Matched</v>
      </c>
      <c r="K811" s="50">
        <f>ABS(Table13[[#This Row],[Stock Difference]])</f>
        <v>0</v>
      </c>
      <c r="L811" s="17">
        <f t="shared" si="36"/>
        <v>0</v>
      </c>
      <c r="M811" s="17">
        <f t="shared" si="37"/>
        <v>127500</v>
      </c>
      <c r="N811" s="17" t="str" cm="1">
        <f t="array" ref="N811">_xlfn.IFS(K811=0,"Matched", K811&gt;100,"High", K811&gt;=50,"Medium", K811&lt;50,"Low")</f>
        <v>Matched</v>
      </c>
      <c r="O811" s="17" t="str">
        <f t="shared" si="38"/>
        <v>No Match</v>
      </c>
    </row>
    <row r="812" spans="2:15" hidden="1" x14ac:dyDescent="0.3">
      <c r="B812" s="7">
        <v>810</v>
      </c>
      <c r="C812" s="3" t="s">
        <v>816</v>
      </c>
      <c r="D812" s="2" t="s">
        <v>1027</v>
      </c>
      <c r="E812" s="3" t="s">
        <v>1008</v>
      </c>
      <c r="F812" s="3">
        <v>168</v>
      </c>
      <c r="G812" s="3">
        <v>168</v>
      </c>
      <c r="H812" s="8">
        <v>30000</v>
      </c>
      <c r="I812" s="48">
        <f>Table13[[#This Row],[Physical_Stock_Qty]]-Table13[[#This Row],[System_Stock_Qty]]</f>
        <v>0</v>
      </c>
      <c r="J812" s="53" t="str" cm="1">
        <f t="array" ref="J812">_xlfn.IFS(I812=0,"Matched",I812&gt;0,"Excess",I812&lt;0,"Shortage")</f>
        <v>Matched</v>
      </c>
      <c r="K812" s="50">
        <f>ABS(Table13[[#This Row],[Stock Difference]])</f>
        <v>0</v>
      </c>
      <c r="L812" s="17">
        <f t="shared" si="36"/>
        <v>0</v>
      </c>
      <c r="M812" s="17">
        <f t="shared" si="37"/>
        <v>5040000</v>
      </c>
      <c r="N812" s="17" t="str" cm="1">
        <f t="array" ref="N812">_xlfn.IFS(K812=0,"Matched", K812&gt;100,"High", K812&gt;=50,"Medium", K812&lt;50,"Low")</f>
        <v>Matched</v>
      </c>
      <c r="O812" s="17" t="str">
        <f t="shared" si="38"/>
        <v>No Match</v>
      </c>
    </row>
    <row r="813" spans="2:15" hidden="1" x14ac:dyDescent="0.3">
      <c r="B813" s="7">
        <v>811</v>
      </c>
      <c r="C813" s="3" t="s">
        <v>817</v>
      </c>
      <c r="D813" s="2" t="s">
        <v>1041</v>
      </c>
      <c r="E813" s="3" t="s">
        <v>1007</v>
      </c>
      <c r="F813" s="3">
        <v>34</v>
      </c>
      <c r="G813" s="3">
        <v>34</v>
      </c>
      <c r="H813" s="8">
        <v>2000</v>
      </c>
      <c r="I813" s="48">
        <f>Table13[[#This Row],[Physical_Stock_Qty]]-Table13[[#This Row],[System_Stock_Qty]]</f>
        <v>0</v>
      </c>
      <c r="J813" s="53" t="str" cm="1">
        <f t="array" ref="J813">_xlfn.IFS(I813=0,"Matched",I813&gt;0,"Excess",I813&lt;0,"Shortage")</f>
        <v>Matched</v>
      </c>
      <c r="K813" s="50">
        <f>ABS(Table13[[#This Row],[Stock Difference]])</f>
        <v>0</v>
      </c>
      <c r="L813" s="17">
        <f t="shared" si="36"/>
        <v>0</v>
      </c>
      <c r="M813" s="17">
        <f t="shared" si="37"/>
        <v>68000</v>
      </c>
      <c r="N813" s="17" t="str" cm="1">
        <f t="array" ref="N813">_xlfn.IFS(K813=0,"Matched", K813&gt;100,"High", K813&gt;=50,"Medium", K813&lt;50,"Low")</f>
        <v>Matched</v>
      </c>
      <c r="O813" s="17" t="str">
        <f t="shared" si="38"/>
        <v>No Match</v>
      </c>
    </row>
    <row r="814" spans="2:15" hidden="1" x14ac:dyDescent="0.3">
      <c r="B814" s="7">
        <v>812</v>
      </c>
      <c r="C814" s="3" t="s">
        <v>818</v>
      </c>
      <c r="D814" s="2" t="s">
        <v>1055</v>
      </c>
      <c r="E814" s="3" t="s">
        <v>1010</v>
      </c>
      <c r="F814" s="3">
        <v>172</v>
      </c>
      <c r="G814" s="3">
        <v>172</v>
      </c>
      <c r="H814" s="8">
        <v>50</v>
      </c>
      <c r="I814" s="48">
        <f>Table13[[#This Row],[Physical_Stock_Qty]]-Table13[[#This Row],[System_Stock_Qty]]</f>
        <v>0</v>
      </c>
      <c r="J814" s="53" t="str" cm="1">
        <f t="array" ref="J814">_xlfn.IFS(I814=0,"Matched",I814&gt;0,"Excess",I814&lt;0,"Shortage")</f>
        <v>Matched</v>
      </c>
      <c r="K814" s="50">
        <f>ABS(Table13[[#This Row],[Stock Difference]])</f>
        <v>0</v>
      </c>
      <c r="L814" s="17">
        <f t="shared" si="36"/>
        <v>0</v>
      </c>
      <c r="M814" s="17">
        <f t="shared" si="37"/>
        <v>8600</v>
      </c>
      <c r="N814" s="17" t="str" cm="1">
        <f t="array" ref="N814">_xlfn.IFS(K814=0,"Matched", K814&gt;100,"High", K814&gt;=50,"Medium", K814&lt;50,"Low")</f>
        <v>Matched</v>
      </c>
      <c r="O814" s="17" t="str">
        <f t="shared" si="38"/>
        <v>No Match</v>
      </c>
    </row>
    <row r="815" spans="2:15" hidden="1" x14ac:dyDescent="0.3">
      <c r="B815" s="7">
        <v>813</v>
      </c>
      <c r="C815" s="3" t="s">
        <v>819</v>
      </c>
      <c r="D815" s="2" t="s">
        <v>1040</v>
      </c>
      <c r="E815" s="3" t="s">
        <v>1007</v>
      </c>
      <c r="F815" s="3">
        <v>181</v>
      </c>
      <c r="G815" s="3">
        <v>181</v>
      </c>
      <c r="H815" s="8">
        <v>5000</v>
      </c>
      <c r="I815" s="48">
        <f>Table13[[#This Row],[Physical_Stock_Qty]]-Table13[[#This Row],[System_Stock_Qty]]</f>
        <v>0</v>
      </c>
      <c r="J815" s="53" t="str" cm="1">
        <f t="array" ref="J815">_xlfn.IFS(I815=0,"Matched",I815&gt;0,"Excess",I815&lt;0,"Shortage")</f>
        <v>Matched</v>
      </c>
      <c r="K815" s="50">
        <f>ABS(Table13[[#This Row],[Stock Difference]])</f>
        <v>0</v>
      </c>
      <c r="L815" s="17">
        <f t="shared" si="36"/>
        <v>0</v>
      </c>
      <c r="M815" s="17">
        <f t="shared" si="37"/>
        <v>905000</v>
      </c>
      <c r="N815" s="17" t="str" cm="1">
        <f t="array" ref="N815">_xlfn.IFS(K815=0,"Matched", K815&gt;100,"High", K815&gt;=50,"Medium", K815&lt;50,"Low")</f>
        <v>Matched</v>
      </c>
      <c r="O815" s="17" t="str">
        <f t="shared" si="38"/>
        <v>No Match</v>
      </c>
    </row>
    <row r="816" spans="2:15" hidden="1" x14ac:dyDescent="0.3">
      <c r="B816" s="7">
        <v>814</v>
      </c>
      <c r="C816" s="3" t="s">
        <v>820</v>
      </c>
      <c r="D816" s="2" t="s">
        <v>1018</v>
      </c>
      <c r="E816" s="3" t="s">
        <v>1012</v>
      </c>
      <c r="F816" s="3">
        <v>151</v>
      </c>
      <c r="G816" s="3">
        <v>151</v>
      </c>
      <c r="H816" s="8">
        <v>3000</v>
      </c>
      <c r="I816" s="48">
        <f>Table13[[#This Row],[Physical_Stock_Qty]]-Table13[[#This Row],[System_Stock_Qty]]</f>
        <v>0</v>
      </c>
      <c r="J816" s="53" t="str" cm="1">
        <f t="array" ref="J816">_xlfn.IFS(I816=0,"Matched",I816&gt;0,"Excess",I816&lt;0,"Shortage")</f>
        <v>Matched</v>
      </c>
      <c r="K816" s="50">
        <f>ABS(Table13[[#This Row],[Stock Difference]])</f>
        <v>0</v>
      </c>
      <c r="L816" s="17">
        <f t="shared" si="36"/>
        <v>0</v>
      </c>
      <c r="M816" s="17">
        <f t="shared" si="37"/>
        <v>453000</v>
      </c>
      <c r="N816" s="17" t="str" cm="1">
        <f t="array" ref="N816">_xlfn.IFS(K816=0,"Matched", K816&gt;100,"High", K816&gt;=50,"Medium", K816&lt;50,"Low")</f>
        <v>Matched</v>
      </c>
      <c r="O816" s="17" t="str">
        <f t="shared" si="38"/>
        <v>No Match</v>
      </c>
    </row>
    <row r="817" spans="2:15" hidden="1" x14ac:dyDescent="0.3">
      <c r="B817" s="7">
        <v>815</v>
      </c>
      <c r="C817" s="3" t="s">
        <v>821</v>
      </c>
      <c r="D817" s="2" t="s">
        <v>1034</v>
      </c>
      <c r="E817" s="3" t="s">
        <v>1008</v>
      </c>
      <c r="F817" s="3">
        <v>181</v>
      </c>
      <c r="G817" s="3">
        <v>181</v>
      </c>
      <c r="H817" s="8">
        <v>50000</v>
      </c>
      <c r="I817" s="48">
        <f>Table13[[#This Row],[Physical_Stock_Qty]]-Table13[[#This Row],[System_Stock_Qty]]</f>
        <v>0</v>
      </c>
      <c r="J817" s="53" t="str" cm="1">
        <f t="array" ref="J817">_xlfn.IFS(I817=0,"Matched",I817&gt;0,"Excess",I817&lt;0,"Shortage")</f>
        <v>Matched</v>
      </c>
      <c r="K817" s="50">
        <f>ABS(Table13[[#This Row],[Stock Difference]])</f>
        <v>0</v>
      </c>
      <c r="L817" s="17">
        <f t="shared" si="36"/>
        <v>0</v>
      </c>
      <c r="M817" s="17">
        <f t="shared" si="37"/>
        <v>9050000</v>
      </c>
      <c r="N817" s="17" t="str" cm="1">
        <f t="array" ref="N817">_xlfn.IFS(K817=0,"Matched", K817&gt;100,"High", K817&gt;=50,"Medium", K817&lt;50,"Low")</f>
        <v>Matched</v>
      </c>
      <c r="O817" s="17" t="str">
        <f t="shared" si="38"/>
        <v>No Match</v>
      </c>
    </row>
    <row r="818" spans="2:15" hidden="1" x14ac:dyDescent="0.3">
      <c r="B818" s="7">
        <v>816</v>
      </c>
      <c r="C818" s="3" t="s">
        <v>822</v>
      </c>
      <c r="D818" s="2" t="s">
        <v>1082</v>
      </c>
      <c r="E818" s="3" t="s">
        <v>1011</v>
      </c>
      <c r="F818" s="3">
        <v>181</v>
      </c>
      <c r="G818" s="3">
        <v>181</v>
      </c>
      <c r="H818" s="8">
        <v>2000</v>
      </c>
      <c r="I818" s="48">
        <f>Table13[[#This Row],[Physical_Stock_Qty]]-Table13[[#This Row],[System_Stock_Qty]]</f>
        <v>0</v>
      </c>
      <c r="J818" s="53" t="str" cm="1">
        <f t="array" ref="J818">_xlfn.IFS(I818=0,"Matched",I818&gt;0,"Excess",I818&lt;0,"Shortage")</f>
        <v>Matched</v>
      </c>
      <c r="K818" s="50">
        <f>ABS(Table13[[#This Row],[Stock Difference]])</f>
        <v>0</v>
      </c>
      <c r="L818" s="17">
        <f t="shared" si="36"/>
        <v>0</v>
      </c>
      <c r="M818" s="17">
        <f t="shared" si="37"/>
        <v>362000</v>
      </c>
      <c r="N818" s="17" t="str" cm="1">
        <f t="array" ref="N818">_xlfn.IFS(K818=0,"Matched", K818&gt;100,"High", K818&gt;=50,"Medium", K818&lt;50,"Low")</f>
        <v>Matched</v>
      </c>
      <c r="O818" s="17" t="str">
        <f t="shared" si="38"/>
        <v>No Match</v>
      </c>
    </row>
    <row r="819" spans="2:15" hidden="1" x14ac:dyDescent="0.3">
      <c r="B819" s="7">
        <v>817</v>
      </c>
      <c r="C819" s="3" t="s">
        <v>823</v>
      </c>
      <c r="D819" s="2" t="s">
        <v>1071</v>
      </c>
      <c r="E819" s="3" t="s">
        <v>1009</v>
      </c>
      <c r="F819" s="3">
        <v>178</v>
      </c>
      <c r="G819" s="3">
        <v>178</v>
      </c>
      <c r="H819" s="8">
        <v>200</v>
      </c>
      <c r="I819" s="48">
        <f>Table13[[#This Row],[Physical_Stock_Qty]]-Table13[[#This Row],[System_Stock_Qty]]</f>
        <v>0</v>
      </c>
      <c r="J819" s="53" t="str" cm="1">
        <f t="array" ref="J819">_xlfn.IFS(I819=0,"Matched",I819&gt;0,"Excess",I819&lt;0,"Shortage")</f>
        <v>Matched</v>
      </c>
      <c r="K819" s="50">
        <f>ABS(Table13[[#This Row],[Stock Difference]])</f>
        <v>0</v>
      </c>
      <c r="L819" s="17">
        <f t="shared" si="36"/>
        <v>0</v>
      </c>
      <c r="M819" s="17">
        <f t="shared" si="37"/>
        <v>35600</v>
      </c>
      <c r="N819" s="17" t="str" cm="1">
        <f t="array" ref="N819">_xlfn.IFS(K819=0,"Matched", K819&gt;100,"High", K819&gt;=50,"Medium", K819&lt;50,"Low")</f>
        <v>Matched</v>
      </c>
      <c r="O819" s="17" t="str">
        <f t="shared" si="38"/>
        <v>No Match</v>
      </c>
    </row>
    <row r="820" spans="2:15" hidden="1" x14ac:dyDescent="0.3">
      <c r="B820" s="7">
        <v>818</v>
      </c>
      <c r="C820" s="3" t="s">
        <v>824</v>
      </c>
      <c r="D820" s="2" t="s">
        <v>1043</v>
      </c>
      <c r="E820" s="3" t="s">
        <v>1010</v>
      </c>
      <c r="F820" s="3">
        <v>95</v>
      </c>
      <c r="G820" s="3">
        <v>95</v>
      </c>
      <c r="H820" s="8">
        <v>50</v>
      </c>
      <c r="I820" s="48">
        <f>Table13[[#This Row],[Physical_Stock_Qty]]-Table13[[#This Row],[System_Stock_Qty]]</f>
        <v>0</v>
      </c>
      <c r="J820" s="53" t="str" cm="1">
        <f t="array" ref="J820">_xlfn.IFS(I820=0,"Matched",I820&gt;0,"Excess",I820&lt;0,"Shortage")</f>
        <v>Matched</v>
      </c>
      <c r="K820" s="50">
        <f>ABS(Table13[[#This Row],[Stock Difference]])</f>
        <v>0</v>
      </c>
      <c r="L820" s="17">
        <f t="shared" si="36"/>
        <v>0</v>
      </c>
      <c r="M820" s="17">
        <f t="shared" si="37"/>
        <v>4750</v>
      </c>
      <c r="N820" s="17" t="str" cm="1">
        <f t="array" ref="N820">_xlfn.IFS(K820=0,"Matched", K820&gt;100,"High", K820&gt;=50,"Medium", K820&lt;50,"Low")</f>
        <v>Matched</v>
      </c>
      <c r="O820" s="17" t="str">
        <f t="shared" si="38"/>
        <v>No Match</v>
      </c>
    </row>
    <row r="821" spans="2:15" hidden="1" x14ac:dyDescent="0.3">
      <c r="B821" s="7">
        <v>819</v>
      </c>
      <c r="C821" s="3" t="s">
        <v>825</v>
      </c>
      <c r="D821" s="2" t="s">
        <v>1072</v>
      </c>
      <c r="E821" s="3" t="s">
        <v>1009</v>
      </c>
      <c r="F821" s="3">
        <v>112</v>
      </c>
      <c r="G821" s="3">
        <v>112</v>
      </c>
      <c r="H821" s="8">
        <v>50</v>
      </c>
      <c r="I821" s="48">
        <f>Table13[[#This Row],[Physical_Stock_Qty]]-Table13[[#This Row],[System_Stock_Qty]]</f>
        <v>0</v>
      </c>
      <c r="J821" s="53" t="str" cm="1">
        <f t="array" ref="J821">_xlfn.IFS(I821=0,"Matched",I821&gt;0,"Excess",I821&lt;0,"Shortage")</f>
        <v>Matched</v>
      </c>
      <c r="K821" s="50">
        <f>ABS(Table13[[#This Row],[Stock Difference]])</f>
        <v>0</v>
      </c>
      <c r="L821" s="17">
        <f t="shared" si="36"/>
        <v>0</v>
      </c>
      <c r="M821" s="17">
        <f t="shared" si="37"/>
        <v>5600</v>
      </c>
      <c r="N821" s="17" t="str" cm="1">
        <f t="array" ref="N821">_xlfn.IFS(K821=0,"Matched", K821&gt;100,"High", K821&gt;=50,"Medium", K821&lt;50,"Low")</f>
        <v>Matched</v>
      </c>
      <c r="O821" s="17" t="str">
        <f t="shared" si="38"/>
        <v>No Match</v>
      </c>
    </row>
    <row r="822" spans="2:15" hidden="1" x14ac:dyDescent="0.3">
      <c r="B822" s="7">
        <v>820</v>
      </c>
      <c r="C822" s="3" t="s">
        <v>826</v>
      </c>
      <c r="D822" s="2" t="s">
        <v>1061</v>
      </c>
      <c r="E822" s="3" t="s">
        <v>1012</v>
      </c>
      <c r="F822" s="3">
        <v>198</v>
      </c>
      <c r="G822" s="3">
        <v>198</v>
      </c>
      <c r="H822" s="8">
        <v>500</v>
      </c>
      <c r="I822" s="48">
        <f>Table13[[#This Row],[Physical_Stock_Qty]]-Table13[[#This Row],[System_Stock_Qty]]</f>
        <v>0</v>
      </c>
      <c r="J822" s="53" t="str" cm="1">
        <f t="array" ref="J822">_xlfn.IFS(I822=0,"Matched",I822&gt;0,"Excess",I822&lt;0,"Shortage")</f>
        <v>Matched</v>
      </c>
      <c r="K822" s="50">
        <f>ABS(Table13[[#This Row],[Stock Difference]])</f>
        <v>0</v>
      </c>
      <c r="L822" s="17">
        <f t="shared" si="36"/>
        <v>0</v>
      </c>
      <c r="M822" s="17">
        <f t="shared" si="37"/>
        <v>99000</v>
      </c>
      <c r="N822" s="17" t="str" cm="1">
        <f t="array" ref="N822">_xlfn.IFS(K822=0,"Matched", K822&gt;100,"High", K822&gt;=50,"Medium", K822&lt;50,"Low")</f>
        <v>Matched</v>
      </c>
      <c r="O822" s="17" t="str">
        <f t="shared" si="38"/>
        <v>No Match</v>
      </c>
    </row>
    <row r="823" spans="2:15" hidden="1" x14ac:dyDescent="0.3">
      <c r="B823" s="7">
        <v>821</v>
      </c>
      <c r="C823" s="3" t="s">
        <v>827</v>
      </c>
      <c r="D823" s="2" t="s">
        <v>1036</v>
      </c>
      <c r="E823" s="3" t="s">
        <v>1007</v>
      </c>
      <c r="F823" s="3">
        <v>77</v>
      </c>
      <c r="G823" s="3">
        <v>77</v>
      </c>
      <c r="H823" s="8">
        <v>8000</v>
      </c>
      <c r="I823" s="48">
        <f>Table13[[#This Row],[Physical_Stock_Qty]]-Table13[[#This Row],[System_Stock_Qty]]</f>
        <v>0</v>
      </c>
      <c r="J823" s="53" t="str" cm="1">
        <f t="array" ref="J823">_xlfn.IFS(I823=0,"Matched",I823&gt;0,"Excess",I823&lt;0,"Shortage")</f>
        <v>Matched</v>
      </c>
      <c r="K823" s="50">
        <f>ABS(Table13[[#This Row],[Stock Difference]])</f>
        <v>0</v>
      </c>
      <c r="L823" s="17">
        <f t="shared" si="36"/>
        <v>0</v>
      </c>
      <c r="M823" s="17">
        <f t="shared" si="37"/>
        <v>616000</v>
      </c>
      <c r="N823" s="17" t="str" cm="1">
        <f t="array" ref="N823">_xlfn.IFS(K823=0,"Matched", K823&gt;100,"High", K823&gt;=50,"Medium", K823&lt;50,"Low")</f>
        <v>Matched</v>
      </c>
      <c r="O823" s="17" t="str">
        <f t="shared" si="38"/>
        <v>No Match</v>
      </c>
    </row>
    <row r="824" spans="2:15" hidden="1" x14ac:dyDescent="0.3">
      <c r="B824" s="7">
        <v>822</v>
      </c>
      <c r="C824" s="3" t="s">
        <v>828</v>
      </c>
      <c r="D824" s="2" t="s">
        <v>1059</v>
      </c>
      <c r="E824" s="3" t="s">
        <v>1012</v>
      </c>
      <c r="F824" s="3">
        <v>121</v>
      </c>
      <c r="G824" s="3">
        <v>121</v>
      </c>
      <c r="H824" s="8">
        <v>200</v>
      </c>
      <c r="I824" s="48">
        <f>Table13[[#This Row],[Physical_Stock_Qty]]-Table13[[#This Row],[System_Stock_Qty]]</f>
        <v>0</v>
      </c>
      <c r="J824" s="53" t="str" cm="1">
        <f t="array" ref="J824">_xlfn.IFS(I824=0,"Matched",I824&gt;0,"Excess",I824&lt;0,"Shortage")</f>
        <v>Matched</v>
      </c>
      <c r="K824" s="50">
        <f>ABS(Table13[[#This Row],[Stock Difference]])</f>
        <v>0</v>
      </c>
      <c r="L824" s="17">
        <f t="shared" si="36"/>
        <v>0</v>
      </c>
      <c r="M824" s="17">
        <f t="shared" si="37"/>
        <v>24200</v>
      </c>
      <c r="N824" s="17" t="str" cm="1">
        <f t="array" ref="N824">_xlfn.IFS(K824=0,"Matched", K824&gt;100,"High", K824&gt;=50,"Medium", K824&lt;50,"Low")</f>
        <v>Matched</v>
      </c>
      <c r="O824" s="17" t="str">
        <f t="shared" si="38"/>
        <v>No Match</v>
      </c>
    </row>
    <row r="825" spans="2:15" hidden="1" x14ac:dyDescent="0.3">
      <c r="B825" s="7">
        <v>823</v>
      </c>
      <c r="C825" s="3" t="s">
        <v>829</v>
      </c>
      <c r="D825" s="2" t="s">
        <v>1023</v>
      </c>
      <c r="E825" s="3" t="s">
        <v>1008</v>
      </c>
      <c r="F825" s="3">
        <v>36</v>
      </c>
      <c r="G825" s="3">
        <v>36</v>
      </c>
      <c r="H825" s="8">
        <v>20000</v>
      </c>
      <c r="I825" s="48">
        <f>Table13[[#This Row],[Physical_Stock_Qty]]-Table13[[#This Row],[System_Stock_Qty]]</f>
        <v>0</v>
      </c>
      <c r="J825" s="53" t="str" cm="1">
        <f t="array" ref="J825">_xlfn.IFS(I825=0,"Matched",I825&gt;0,"Excess",I825&lt;0,"Shortage")</f>
        <v>Matched</v>
      </c>
      <c r="K825" s="50">
        <f>ABS(Table13[[#This Row],[Stock Difference]])</f>
        <v>0</v>
      </c>
      <c r="L825" s="17">
        <f t="shared" si="36"/>
        <v>0</v>
      </c>
      <c r="M825" s="17">
        <f t="shared" si="37"/>
        <v>720000</v>
      </c>
      <c r="N825" s="17" t="str" cm="1">
        <f t="array" ref="N825">_xlfn.IFS(K825=0,"Matched", K825&gt;100,"High", K825&gt;=50,"Medium", K825&lt;50,"Low")</f>
        <v>Matched</v>
      </c>
      <c r="O825" s="17" t="str">
        <f t="shared" si="38"/>
        <v>No Match</v>
      </c>
    </row>
    <row r="826" spans="2:15" hidden="1" x14ac:dyDescent="0.3">
      <c r="B826" s="7">
        <v>824</v>
      </c>
      <c r="C826" s="3" t="s">
        <v>830</v>
      </c>
      <c r="D826" s="2" t="s">
        <v>1033</v>
      </c>
      <c r="E826" s="3" t="s">
        <v>1008</v>
      </c>
      <c r="F826" s="3">
        <v>69</v>
      </c>
      <c r="G826" s="3">
        <v>69</v>
      </c>
      <c r="H826" s="8">
        <v>4000</v>
      </c>
      <c r="I826" s="48">
        <f>Table13[[#This Row],[Physical_Stock_Qty]]-Table13[[#This Row],[System_Stock_Qty]]</f>
        <v>0</v>
      </c>
      <c r="J826" s="53" t="str" cm="1">
        <f t="array" ref="J826">_xlfn.IFS(I826=0,"Matched",I826&gt;0,"Excess",I826&lt;0,"Shortage")</f>
        <v>Matched</v>
      </c>
      <c r="K826" s="50">
        <f>ABS(Table13[[#This Row],[Stock Difference]])</f>
        <v>0</v>
      </c>
      <c r="L826" s="17">
        <f t="shared" si="36"/>
        <v>0</v>
      </c>
      <c r="M826" s="17">
        <f t="shared" si="37"/>
        <v>276000</v>
      </c>
      <c r="N826" s="17" t="str" cm="1">
        <f t="array" ref="N826">_xlfn.IFS(K826=0,"Matched", K826&gt;100,"High", K826&gt;=50,"Medium", K826&lt;50,"Low")</f>
        <v>Matched</v>
      </c>
      <c r="O826" s="17" t="str">
        <f t="shared" si="38"/>
        <v>No Match</v>
      </c>
    </row>
    <row r="827" spans="2:15" hidden="1" x14ac:dyDescent="0.3">
      <c r="B827" s="7">
        <v>825</v>
      </c>
      <c r="C827" s="3" t="s">
        <v>831</v>
      </c>
      <c r="D827" s="2" t="s">
        <v>1023</v>
      </c>
      <c r="E827" s="3" t="s">
        <v>1008</v>
      </c>
      <c r="F827" s="3">
        <v>160</v>
      </c>
      <c r="G827" s="3">
        <v>160</v>
      </c>
      <c r="H827" s="8">
        <v>20000</v>
      </c>
      <c r="I827" s="48">
        <f>Table13[[#This Row],[Physical_Stock_Qty]]-Table13[[#This Row],[System_Stock_Qty]]</f>
        <v>0</v>
      </c>
      <c r="J827" s="53" t="str" cm="1">
        <f t="array" ref="J827">_xlfn.IFS(I827=0,"Matched",I827&gt;0,"Excess",I827&lt;0,"Shortage")</f>
        <v>Matched</v>
      </c>
      <c r="K827" s="50">
        <f>ABS(Table13[[#This Row],[Stock Difference]])</f>
        <v>0</v>
      </c>
      <c r="L827" s="17">
        <f t="shared" si="36"/>
        <v>0</v>
      </c>
      <c r="M827" s="17">
        <f t="shared" si="37"/>
        <v>3200000</v>
      </c>
      <c r="N827" s="17" t="str" cm="1">
        <f t="array" ref="N827">_xlfn.IFS(K827=0,"Matched", K827&gt;100,"High", K827&gt;=50,"Medium", K827&lt;50,"Low")</f>
        <v>Matched</v>
      </c>
      <c r="O827" s="17" t="str">
        <f t="shared" si="38"/>
        <v>No Match</v>
      </c>
    </row>
    <row r="828" spans="2:15" hidden="1" x14ac:dyDescent="0.3">
      <c r="B828" s="7">
        <v>826</v>
      </c>
      <c r="C828" s="3" t="s">
        <v>832</v>
      </c>
      <c r="D828" s="2" t="s">
        <v>1038</v>
      </c>
      <c r="E828" s="3" t="s">
        <v>1007</v>
      </c>
      <c r="F828" s="3">
        <v>51</v>
      </c>
      <c r="G828" s="3">
        <v>51</v>
      </c>
      <c r="H828" s="8">
        <v>5000</v>
      </c>
      <c r="I828" s="48">
        <f>Table13[[#This Row],[Physical_Stock_Qty]]-Table13[[#This Row],[System_Stock_Qty]]</f>
        <v>0</v>
      </c>
      <c r="J828" s="53" t="str" cm="1">
        <f t="array" ref="J828">_xlfn.IFS(I828=0,"Matched",I828&gt;0,"Excess",I828&lt;0,"Shortage")</f>
        <v>Matched</v>
      </c>
      <c r="K828" s="50">
        <f>ABS(Table13[[#This Row],[Stock Difference]])</f>
        <v>0</v>
      </c>
      <c r="L828" s="17">
        <f t="shared" si="36"/>
        <v>0</v>
      </c>
      <c r="M828" s="17">
        <f t="shared" si="37"/>
        <v>255000</v>
      </c>
      <c r="N828" s="17" t="str" cm="1">
        <f t="array" ref="N828">_xlfn.IFS(K828=0,"Matched", K828&gt;100,"High", K828&gt;=50,"Medium", K828&lt;50,"Low")</f>
        <v>Matched</v>
      </c>
      <c r="O828" s="17" t="str">
        <f t="shared" si="38"/>
        <v>No Match</v>
      </c>
    </row>
    <row r="829" spans="2:15" hidden="1" x14ac:dyDescent="0.3">
      <c r="B829" s="7">
        <v>827</v>
      </c>
      <c r="C829" s="3" t="s">
        <v>833</v>
      </c>
      <c r="D829" s="2" t="s">
        <v>1023</v>
      </c>
      <c r="E829" s="3" t="s">
        <v>1008</v>
      </c>
      <c r="F829" s="3">
        <v>102</v>
      </c>
      <c r="G829" s="3">
        <v>102</v>
      </c>
      <c r="H829" s="8">
        <v>20000</v>
      </c>
      <c r="I829" s="48">
        <f>Table13[[#This Row],[Physical_Stock_Qty]]-Table13[[#This Row],[System_Stock_Qty]]</f>
        <v>0</v>
      </c>
      <c r="J829" s="53" t="str" cm="1">
        <f t="array" ref="J829">_xlfn.IFS(I829=0,"Matched",I829&gt;0,"Excess",I829&lt;0,"Shortage")</f>
        <v>Matched</v>
      </c>
      <c r="K829" s="50">
        <f>ABS(Table13[[#This Row],[Stock Difference]])</f>
        <v>0</v>
      </c>
      <c r="L829" s="17">
        <f t="shared" si="36"/>
        <v>0</v>
      </c>
      <c r="M829" s="17">
        <f t="shared" si="37"/>
        <v>2040000</v>
      </c>
      <c r="N829" s="17" t="str" cm="1">
        <f t="array" ref="N829">_xlfn.IFS(K829=0,"Matched", K829&gt;100,"High", K829&gt;=50,"Medium", K829&lt;50,"Low")</f>
        <v>Matched</v>
      </c>
      <c r="O829" s="17" t="str">
        <f t="shared" si="38"/>
        <v>No Match</v>
      </c>
    </row>
    <row r="830" spans="2:15" hidden="1" x14ac:dyDescent="0.3">
      <c r="B830" s="7">
        <v>828</v>
      </c>
      <c r="C830" s="3" t="s">
        <v>834</v>
      </c>
      <c r="D830" s="2" t="s">
        <v>1026</v>
      </c>
      <c r="E830" s="3" t="s">
        <v>1008</v>
      </c>
      <c r="F830" s="3">
        <v>191</v>
      </c>
      <c r="G830" s="3">
        <v>191</v>
      </c>
      <c r="H830" s="8">
        <v>6000</v>
      </c>
      <c r="I830" s="48">
        <f>Table13[[#This Row],[Physical_Stock_Qty]]-Table13[[#This Row],[System_Stock_Qty]]</f>
        <v>0</v>
      </c>
      <c r="J830" s="53" t="str" cm="1">
        <f t="array" ref="J830">_xlfn.IFS(I830=0,"Matched",I830&gt;0,"Excess",I830&lt;0,"Shortage")</f>
        <v>Matched</v>
      </c>
      <c r="K830" s="50">
        <f>ABS(Table13[[#This Row],[Stock Difference]])</f>
        <v>0</v>
      </c>
      <c r="L830" s="17">
        <f t="shared" si="36"/>
        <v>0</v>
      </c>
      <c r="M830" s="17">
        <f t="shared" si="37"/>
        <v>1146000</v>
      </c>
      <c r="N830" s="17" t="str" cm="1">
        <f t="array" ref="N830">_xlfn.IFS(K830=0,"Matched", K830&gt;100,"High", K830&gt;=50,"Medium", K830&lt;50,"Low")</f>
        <v>Matched</v>
      </c>
      <c r="O830" s="17" t="str">
        <f t="shared" si="38"/>
        <v>No Match</v>
      </c>
    </row>
    <row r="831" spans="2:15" hidden="1" x14ac:dyDescent="0.3">
      <c r="B831" s="7">
        <v>829</v>
      </c>
      <c r="C831" s="3" t="s">
        <v>835</v>
      </c>
      <c r="D831" s="2" t="s">
        <v>1056</v>
      </c>
      <c r="E831" s="3" t="s">
        <v>1012</v>
      </c>
      <c r="F831" s="3">
        <v>100</v>
      </c>
      <c r="G831" s="3">
        <v>100</v>
      </c>
      <c r="H831" s="8">
        <v>100</v>
      </c>
      <c r="I831" s="48">
        <f>Table13[[#This Row],[Physical_Stock_Qty]]-Table13[[#This Row],[System_Stock_Qty]]</f>
        <v>0</v>
      </c>
      <c r="J831" s="53" t="str" cm="1">
        <f t="array" ref="J831">_xlfn.IFS(I831=0,"Matched",I831&gt;0,"Excess",I831&lt;0,"Shortage")</f>
        <v>Matched</v>
      </c>
      <c r="K831" s="50">
        <f>ABS(Table13[[#This Row],[Stock Difference]])</f>
        <v>0</v>
      </c>
      <c r="L831" s="17">
        <f t="shared" si="36"/>
        <v>0</v>
      </c>
      <c r="M831" s="17">
        <f t="shared" si="37"/>
        <v>10000</v>
      </c>
      <c r="N831" s="17" t="str" cm="1">
        <f t="array" ref="N831">_xlfn.IFS(K831=0,"Matched", K831&gt;100,"High", K831&gt;=50,"Medium", K831&lt;50,"Low")</f>
        <v>Matched</v>
      </c>
      <c r="O831" s="17" t="str">
        <f t="shared" si="38"/>
        <v>No Match</v>
      </c>
    </row>
    <row r="832" spans="2:15" hidden="1" x14ac:dyDescent="0.3">
      <c r="B832" s="7">
        <v>830</v>
      </c>
      <c r="C832" s="3" t="s">
        <v>836</v>
      </c>
      <c r="D832" s="2" t="s">
        <v>1024</v>
      </c>
      <c r="E832" s="3" t="s">
        <v>1008</v>
      </c>
      <c r="F832" s="3">
        <v>175</v>
      </c>
      <c r="G832" s="3">
        <v>175</v>
      </c>
      <c r="H832" s="8">
        <v>150000</v>
      </c>
      <c r="I832" s="48">
        <f>Table13[[#This Row],[Physical_Stock_Qty]]-Table13[[#This Row],[System_Stock_Qty]]</f>
        <v>0</v>
      </c>
      <c r="J832" s="53" t="str" cm="1">
        <f t="array" ref="J832">_xlfn.IFS(I832=0,"Matched",I832&gt;0,"Excess",I832&lt;0,"Shortage")</f>
        <v>Matched</v>
      </c>
      <c r="K832" s="50">
        <f>ABS(Table13[[#This Row],[Stock Difference]])</f>
        <v>0</v>
      </c>
      <c r="L832" s="17">
        <f t="shared" si="36"/>
        <v>0</v>
      </c>
      <c r="M832" s="17">
        <f t="shared" si="37"/>
        <v>26250000</v>
      </c>
      <c r="N832" s="17" t="str" cm="1">
        <f t="array" ref="N832">_xlfn.IFS(K832=0,"Matched", K832&gt;100,"High", K832&gt;=50,"Medium", K832&lt;50,"Low")</f>
        <v>Matched</v>
      </c>
      <c r="O832" s="17" t="str">
        <f t="shared" si="38"/>
        <v>No Match</v>
      </c>
    </row>
    <row r="833" spans="2:15" hidden="1" x14ac:dyDescent="0.3">
      <c r="B833" s="7">
        <v>831</v>
      </c>
      <c r="C833" s="3" t="s">
        <v>837</v>
      </c>
      <c r="D833" s="2" t="s">
        <v>1047</v>
      </c>
      <c r="E833" s="3" t="s">
        <v>1010</v>
      </c>
      <c r="F833" s="3">
        <v>132</v>
      </c>
      <c r="G833" s="3">
        <v>132</v>
      </c>
      <c r="H833" s="8">
        <v>500</v>
      </c>
      <c r="I833" s="48">
        <f>Table13[[#This Row],[Physical_Stock_Qty]]-Table13[[#This Row],[System_Stock_Qty]]</f>
        <v>0</v>
      </c>
      <c r="J833" s="53" t="str" cm="1">
        <f t="array" ref="J833">_xlfn.IFS(I833=0,"Matched",I833&gt;0,"Excess",I833&lt;0,"Shortage")</f>
        <v>Matched</v>
      </c>
      <c r="K833" s="50">
        <f>ABS(Table13[[#This Row],[Stock Difference]])</f>
        <v>0</v>
      </c>
      <c r="L833" s="17">
        <f t="shared" si="36"/>
        <v>0</v>
      </c>
      <c r="M833" s="17">
        <f t="shared" si="37"/>
        <v>66000</v>
      </c>
      <c r="N833" s="17" t="str" cm="1">
        <f t="array" ref="N833">_xlfn.IFS(K833=0,"Matched", K833&gt;100,"High", K833&gt;=50,"Medium", K833&lt;50,"Low")</f>
        <v>Matched</v>
      </c>
      <c r="O833" s="17" t="str">
        <f t="shared" si="38"/>
        <v>No Match</v>
      </c>
    </row>
    <row r="834" spans="2:15" hidden="1" x14ac:dyDescent="0.3">
      <c r="B834" s="7">
        <v>832</v>
      </c>
      <c r="C834" s="3" t="s">
        <v>838</v>
      </c>
      <c r="D834" s="2" t="s">
        <v>1030</v>
      </c>
      <c r="E834" s="3" t="s">
        <v>1008</v>
      </c>
      <c r="F834" s="3">
        <v>135</v>
      </c>
      <c r="G834" s="3">
        <v>135</v>
      </c>
      <c r="H834" s="8">
        <v>70000</v>
      </c>
      <c r="I834" s="48">
        <f>Table13[[#This Row],[Physical_Stock_Qty]]-Table13[[#This Row],[System_Stock_Qty]]</f>
        <v>0</v>
      </c>
      <c r="J834" s="53" t="str" cm="1">
        <f t="array" ref="J834">_xlfn.IFS(I834=0,"Matched",I834&gt;0,"Excess",I834&lt;0,"Shortage")</f>
        <v>Matched</v>
      </c>
      <c r="K834" s="50">
        <f>ABS(Table13[[#This Row],[Stock Difference]])</f>
        <v>0</v>
      </c>
      <c r="L834" s="17">
        <f t="shared" si="36"/>
        <v>0</v>
      </c>
      <c r="M834" s="17">
        <f t="shared" si="37"/>
        <v>9450000</v>
      </c>
      <c r="N834" s="17" t="str" cm="1">
        <f t="array" ref="N834">_xlfn.IFS(K834=0,"Matched", K834&gt;100,"High", K834&gt;=50,"Medium", K834&lt;50,"Low")</f>
        <v>Matched</v>
      </c>
      <c r="O834" s="17" t="str">
        <f t="shared" si="38"/>
        <v>No Match</v>
      </c>
    </row>
    <row r="835" spans="2:15" hidden="1" x14ac:dyDescent="0.3">
      <c r="B835" s="7">
        <v>833</v>
      </c>
      <c r="C835" s="3" t="s">
        <v>839</v>
      </c>
      <c r="D835" s="2" t="s">
        <v>1042</v>
      </c>
      <c r="E835" s="3" t="s">
        <v>1007</v>
      </c>
      <c r="F835" s="3">
        <v>191</v>
      </c>
      <c r="G835" s="3">
        <v>191</v>
      </c>
      <c r="H835" s="8">
        <v>3000</v>
      </c>
      <c r="I835" s="48">
        <f>Table13[[#This Row],[Physical_Stock_Qty]]-Table13[[#This Row],[System_Stock_Qty]]</f>
        <v>0</v>
      </c>
      <c r="J835" s="53" t="str" cm="1">
        <f t="array" ref="J835">_xlfn.IFS(I835=0,"Matched",I835&gt;0,"Excess",I835&lt;0,"Shortage")</f>
        <v>Matched</v>
      </c>
      <c r="K835" s="50">
        <f>ABS(Table13[[#This Row],[Stock Difference]])</f>
        <v>0</v>
      </c>
      <c r="L835" s="17">
        <f t="shared" si="36"/>
        <v>0</v>
      </c>
      <c r="M835" s="17">
        <f t="shared" si="37"/>
        <v>573000</v>
      </c>
      <c r="N835" s="17" t="str" cm="1">
        <f t="array" ref="N835">_xlfn.IFS(K835=0,"Matched", K835&gt;100,"High", K835&gt;=50,"Medium", K835&lt;50,"Low")</f>
        <v>Matched</v>
      </c>
      <c r="O835" s="17" t="str">
        <f t="shared" si="38"/>
        <v>No Match</v>
      </c>
    </row>
    <row r="836" spans="2:15" hidden="1" x14ac:dyDescent="0.3">
      <c r="B836" s="7">
        <v>834</v>
      </c>
      <c r="C836" s="3" t="s">
        <v>840</v>
      </c>
      <c r="D836" s="2" t="s">
        <v>1038</v>
      </c>
      <c r="E836" s="3" t="s">
        <v>1007</v>
      </c>
      <c r="F836" s="3">
        <v>97</v>
      </c>
      <c r="G836" s="3">
        <v>97</v>
      </c>
      <c r="H836" s="8">
        <v>5000</v>
      </c>
      <c r="I836" s="48">
        <f>Table13[[#This Row],[Physical_Stock_Qty]]-Table13[[#This Row],[System_Stock_Qty]]</f>
        <v>0</v>
      </c>
      <c r="J836" s="53" t="str" cm="1">
        <f t="array" ref="J836">_xlfn.IFS(I836=0,"Matched",I836&gt;0,"Excess",I836&lt;0,"Shortage")</f>
        <v>Matched</v>
      </c>
      <c r="K836" s="50">
        <f>ABS(Table13[[#This Row],[Stock Difference]])</f>
        <v>0</v>
      </c>
      <c r="L836" s="17">
        <f t="shared" ref="L836:L899" si="39">(K836*H836)</f>
        <v>0</v>
      </c>
      <c r="M836" s="17">
        <f t="shared" ref="M836:M899" si="40">F836*H836</f>
        <v>485000</v>
      </c>
      <c r="N836" s="17" t="str" cm="1">
        <f t="array" ref="N836">_xlfn.IFS(K836=0,"Matched", K836&gt;100,"High", K836&gt;=50,"Medium", K836&lt;50,"Low")</f>
        <v>Matched</v>
      </c>
      <c r="O836" s="17" t="str">
        <f t="shared" ref="O836:O899" si="41">IF(L836&gt;500000,"Yes",IF(L836=0,"No Match","No"))</f>
        <v>No Match</v>
      </c>
    </row>
    <row r="837" spans="2:15" hidden="1" x14ac:dyDescent="0.3">
      <c r="B837" s="7">
        <v>835</v>
      </c>
      <c r="C837" s="3" t="s">
        <v>841</v>
      </c>
      <c r="D837" s="2" t="s">
        <v>1041</v>
      </c>
      <c r="E837" s="3" t="s">
        <v>1007</v>
      </c>
      <c r="F837" s="3">
        <v>137</v>
      </c>
      <c r="G837" s="3">
        <v>137</v>
      </c>
      <c r="H837" s="8">
        <v>2000</v>
      </c>
      <c r="I837" s="48">
        <f>Table13[[#This Row],[Physical_Stock_Qty]]-Table13[[#This Row],[System_Stock_Qty]]</f>
        <v>0</v>
      </c>
      <c r="J837" s="53" t="str" cm="1">
        <f t="array" ref="J837">_xlfn.IFS(I837=0,"Matched",I837&gt;0,"Excess",I837&lt;0,"Shortage")</f>
        <v>Matched</v>
      </c>
      <c r="K837" s="50">
        <f>ABS(Table13[[#This Row],[Stock Difference]])</f>
        <v>0</v>
      </c>
      <c r="L837" s="17">
        <f t="shared" si="39"/>
        <v>0</v>
      </c>
      <c r="M837" s="17">
        <f t="shared" si="40"/>
        <v>274000</v>
      </c>
      <c r="N837" s="17" t="str" cm="1">
        <f t="array" ref="N837">_xlfn.IFS(K837=0,"Matched", K837&gt;100,"High", K837&gt;=50,"Medium", K837&lt;50,"Low")</f>
        <v>Matched</v>
      </c>
      <c r="O837" s="17" t="str">
        <f t="shared" si="41"/>
        <v>No Match</v>
      </c>
    </row>
    <row r="838" spans="2:15" hidden="1" x14ac:dyDescent="0.3">
      <c r="B838" s="7">
        <v>836</v>
      </c>
      <c r="C838" s="3" t="s">
        <v>842</v>
      </c>
      <c r="D838" s="2" t="s">
        <v>1071</v>
      </c>
      <c r="E838" s="3" t="s">
        <v>1009</v>
      </c>
      <c r="F838" s="3">
        <v>61</v>
      </c>
      <c r="G838" s="3">
        <v>61</v>
      </c>
      <c r="H838" s="8">
        <v>200</v>
      </c>
      <c r="I838" s="48">
        <f>Table13[[#This Row],[Physical_Stock_Qty]]-Table13[[#This Row],[System_Stock_Qty]]</f>
        <v>0</v>
      </c>
      <c r="J838" s="53" t="str" cm="1">
        <f t="array" ref="J838">_xlfn.IFS(I838=0,"Matched",I838&gt;0,"Excess",I838&lt;0,"Shortage")</f>
        <v>Matched</v>
      </c>
      <c r="K838" s="50">
        <f>ABS(Table13[[#This Row],[Stock Difference]])</f>
        <v>0</v>
      </c>
      <c r="L838" s="17">
        <f t="shared" si="39"/>
        <v>0</v>
      </c>
      <c r="M838" s="17">
        <f t="shared" si="40"/>
        <v>12200</v>
      </c>
      <c r="N838" s="17" t="str" cm="1">
        <f t="array" ref="N838">_xlfn.IFS(K838=0,"Matched", K838&gt;100,"High", K838&gt;=50,"Medium", K838&lt;50,"Low")</f>
        <v>Matched</v>
      </c>
      <c r="O838" s="17" t="str">
        <f t="shared" si="41"/>
        <v>No Match</v>
      </c>
    </row>
    <row r="839" spans="2:15" hidden="1" x14ac:dyDescent="0.3">
      <c r="B839" s="7">
        <v>837</v>
      </c>
      <c r="C839" s="3" t="s">
        <v>843</v>
      </c>
      <c r="D839" s="2" t="s">
        <v>1041</v>
      </c>
      <c r="E839" s="3" t="s">
        <v>1007</v>
      </c>
      <c r="F839" s="3">
        <v>63</v>
      </c>
      <c r="G839" s="3">
        <v>63</v>
      </c>
      <c r="H839" s="8">
        <v>2000</v>
      </c>
      <c r="I839" s="48">
        <f>Table13[[#This Row],[Physical_Stock_Qty]]-Table13[[#This Row],[System_Stock_Qty]]</f>
        <v>0</v>
      </c>
      <c r="J839" s="53" t="str" cm="1">
        <f t="array" ref="J839">_xlfn.IFS(I839=0,"Matched",I839&gt;0,"Excess",I839&lt;0,"Shortage")</f>
        <v>Matched</v>
      </c>
      <c r="K839" s="50">
        <f>ABS(Table13[[#This Row],[Stock Difference]])</f>
        <v>0</v>
      </c>
      <c r="L839" s="17">
        <f t="shared" si="39"/>
        <v>0</v>
      </c>
      <c r="M839" s="17">
        <f t="shared" si="40"/>
        <v>126000</v>
      </c>
      <c r="N839" s="17" t="str" cm="1">
        <f t="array" ref="N839">_xlfn.IFS(K839=0,"Matched", K839&gt;100,"High", K839&gt;=50,"Medium", K839&lt;50,"Low")</f>
        <v>Matched</v>
      </c>
      <c r="O839" s="17" t="str">
        <f t="shared" si="41"/>
        <v>No Match</v>
      </c>
    </row>
    <row r="840" spans="2:15" hidden="1" x14ac:dyDescent="0.3">
      <c r="B840" s="7">
        <v>838</v>
      </c>
      <c r="C840" s="3" t="s">
        <v>844</v>
      </c>
      <c r="D840" s="2" t="s">
        <v>1050</v>
      </c>
      <c r="E840" s="3" t="s">
        <v>1010</v>
      </c>
      <c r="F840" s="3">
        <v>159</v>
      </c>
      <c r="G840" s="3">
        <v>159</v>
      </c>
      <c r="H840" s="8">
        <v>30</v>
      </c>
      <c r="I840" s="48">
        <f>Table13[[#This Row],[Physical_Stock_Qty]]-Table13[[#This Row],[System_Stock_Qty]]</f>
        <v>0</v>
      </c>
      <c r="J840" s="53" t="str" cm="1">
        <f t="array" ref="J840">_xlfn.IFS(I840=0,"Matched",I840&gt;0,"Excess",I840&lt;0,"Shortage")</f>
        <v>Matched</v>
      </c>
      <c r="K840" s="50">
        <f>ABS(Table13[[#This Row],[Stock Difference]])</f>
        <v>0</v>
      </c>
      <c r="L840" s="17">
        <f t="shared" si="39"/>
        <v>0</v>
      </c>
      <c r="M840" s="17">
        <f t="shared" si="40"/>
        <v>4770</v>
      </c>
      <c r="N840" s="17" t="str" cm="1">
        <f t="array" ref="N840">_xlfn.IFS(K840=0,"Matched", K840&gt;100,"High", K840&gt;=50,"Medium", K840&lt;50,"Low")</f>
        <v>Matched</v>
      </c>
      <c r="O840" s="17" t="str">
        <f t="shared" si="41"/>
        <v>No Match</v>
      </c>
    </row>
    <row r="841" spans="2:15" hidden="1" x14ac:dyDescent="0.3">
      <c r="B841" s="7">
        <v>839</v>
      </c>
      <c r="C841" s="3" t="s">
        <v>845</v>
      </c>
      <c r="D841" s="2" t="s">
        <v>1041</v>
      </c>
      <c r="E841" s="3" t="s">
        <v>1007</v>
      </c>
      <c r="F841" s="3">
        <v>66</v>
      </c>
      <c r="G841" s="3">
        <v>66</v>
      </c>
      <c r="H841" s="8">
        <v>2000</v>
      </c>
      <c r="I841" s="48">
        <f>Table13[[#This Row],[Physical_Stock_Qty]]-Table13[[#This Row],[System_Stock_Qty]]</f>
        <v>0</v>
      </c>
      <c r="J841" s="53" t="str" cm="1">
        <f t="array" ref="J841">_xlfn.IFS(I841=0,"Matched",I841&gt;0,"Excess",I841&lt;0,"Shortage")</f>
        <v>Matched</v>
      </c>
      <c r="K841" s="50">
        <f>ABS(Table13[[#This Row],[Stock Difference]])</f>
        <v>0</v>
      </c>
      <c r="L841" s="17">
        <f t="shared" si="39"/>
        <v>0</v>
      </c>
      <c r="M841" s="17">
        <f t="shared" si="40"/>
        <v>132000</v>
      </c>
      <c r="N841" s="17" t="str" cm="1">
        <f t="array" ref="N841">_xlfn.IFS(K841=0,"Matched", K841&gt;100,"High", K841&gt;=50,"Medium", K841&lt;50,"Low")</f>
        <v>Matched</v>
      </c>
      <c r="O841" s="17" t="str">
        <f t="shared" si="41"/>
        <v>No Match</v>
      </c>
    </row>
    <row r="842" spans="2:15" hidden="1" x14ac:dyDescent="0.3">
      <c r="B842" s="7">
        <v>840</v>
      </c>
      <c r="C842" s="3" t="s">
        <v>846</v>
      </c>
      <c r="D842" s="2" t="s">
        <v>1041</v>
      </c>
      <c r="E842" s="3" t="s">
        <v>1007</v>
      </c>
      <c r="F842" s="3">
        <v>192</v>
      </c>
      <c r="G842" s="3">
        <v>192</v>
      </c>
      <c r="H842" s="8">
        <v>2000</v>
      </c>
      <c r="I842" s="48">
        <f>Table13[[#This Row],[Physical_Stock_Qty]]-Table13[[#This Row],[System_Stock_Qty]]</f>
        <v>0</v>
      </c>
      <c r="J842" s="53" t="str" cm="1">
        <f t="array" ref="J842">_xlfn.IFS(I842=0,"Matched",I842&gt;0,"Excess",I842&lt;0,"Shortage")</f>
        <v>Matched</v>
      </c>
      <c r="K842" s="50">
        <f>ABS(Table13[[#This Row],[Stock Difference]])</f>
        <v>0</v>
      </c>
      <c r="L842" s="17">
        <f t="shared" si="39"/>
        <v>0</v>
      </c>
      <c r="M842" s="17">
        <f t="shared" si="40"/>
        <v>384000</v>
      </c>
      <c r="N842" s="17" t="str" cm="1">
        <f t="array" ref="N842">_xlfn.IFS(K842=0,"Matched", K842&gt;100,"High", K842&gt;=50,"Medium", K842&lt;50,"Low")</f>
        <v>Matched</v>
      </c>
      <c r="O842" s="17" t="str">
        <f t="shared" si="41"/>
        <v>No Match</v>
      </c>
    </row>
    <row r="843" spans="2:15" hidden="1" x14ac:dyDescent="0.3">
      <c r="B843" s="7">
        <v>841</v>
      </c>
      <c r="C843" s="3" t="s">
        <v>847</v>
      </c>
      <c r="D843" s="2" t="s">
        <v>1079</v>
      </c>
      <c r="E843" s="3" t="s">
        <v>1011</v>
      </c>
      <c r="F843" s="3">
        <v>46</v>
      </c>
      <c r="G843" s="3">
        <v>46</v>
      </c>
      <c r="H843" s="8">
        <v>5000</v>
      </c>
      <c r="I843" s="48">
        <f>Table13[[#This Row],[Physical_Stock_Qty]]-Table13[[#This Row],[System_Stock_Qty]]</f>
        <v>0</v>
      </c>
      <c r="J843" s="53" t="str" cm="1">
        <f t="array" ref="J843">_xlfn.IFS(I843=0,"Matched",I843&gt;0,"Excess",I843&lt;0,"Shortage")</f>
        <v>Matched</v>
      </c>
      <c r="K843" s="50">
        <f>ABS(Table13[[#This Row],[Stock Difference]])</f>
        <v>0</v>
      </c>
      <c r="L843" s="17">
        <f t="shared" si="39"/>
        <v>0</v>
      </c>
      <c r="M843" s="17">
        <f t="shared" si="40"/>
        <v>230000</v>
      </c>
      <c r="N843" s="17" t="str" cm="1">
        <f t="array" ref="N843">_xlfn.IFS(K843=0,"Matched", K843&gt;100,"High", K843&gt;=50,"Medium", K843&lt;50,"Low")</f>
        <v>Matched</v>
      </c>
      <c r="O843" s="17" t="str">
        <f t="shared" si="41"/>
        <v>No Match</v>
      </c>
    </row>
    <row r="844" spans="2:15" hidden="1" x14ac:dyDescent="0.3">
      <c r="B844" s="7">
        <v>842</v>
      </c>
      <c r="C844" s="3" t="s">
        <v>848</v>
      </c>
      <c r="D844" s="2" t="s">
        <v>1079</v>
      </c>
      <c r="E844" s="3" t="s">
        <v>1011</v>
      </c>
      <c r="F844" s="3">
        <v>49</v>
      </c>
      <c r="G844" s="3">
        <v>49</v>
      </c>
      <c r="H844" s="8">
        <v>5000</v>
      </c>
      <c r="I844" s="48">
        <f>Table13[[#This Row],[Physical_Stock_Qty]]-Table13[[#This Row],[System_Stock_Qty]]</f>
        <v>0</v>
      </c>
      <c r="J844" s="53" t="str" cm="1">
        <f t="array" ref="J844">_xlfn.IFS(I844=0,"Matched",I844&gt;0,"Excess",I844&lt;0,"Shortage")</f>
        <v>Matched</v>
      </c>
      <c r="K844" s="50">
        <f>ABS(Table13[[#This Row],[Stock Difference]])</f>
        <v>0</v>
      </c>
      <c r="L844" s="17">
        <f t="shared" si="39"/>
        <v>0</v>
      </c>
      <c r="M844" s="17">
        <f t="shared" si="40"/>
        <v>245000</v>
      </c>
      <c r="N844" s="17" t="str" cm="1">
        <f t="array" ref="N844">_xlfn.IFS(K844=0,"Matched", K844&gt;100,"High", K844&gt;=50,"Medium", K844&lt;50,"Low")</f>
        <v>Matched</v>
      </c>
      <c r="O844" s="17" t="str">
        <f t="shared" si="41"/>
        <v>No Match</v>
      </c>
    </row>
    <row r="845" spans="2:15" hidden="1" x14ac:dyDescent="0.3">
      <c r="B845" s="7">
        <v>843</v>
      </c>
      <c r="C845" s="3" t="s">
        <v>849</v>
      </c>
      <c r="D845" s="2" t="s">
        <v>1075</v>
      </c>
      <c r="E845" s="3" t="s">
        <v>1009</v>
      </c>
      <c r="F845" s="3">
        <v>42</v>
      </c>
      <c r="G845" s="3">
        <v>42</v>
      </c>
      <c r="H845" s="8">
        <v>2000</v>
      </c>
      <c r="I845" s="48">
        <f>Table13[[#This Row],[Physical_Stock_Qty]]-Table13[[#This Row],[System_Stock_Qty]]</f>
        <v>0</v>
      </c>
      <c r="J845" s="53" t="str" cm="1">
        <f t="array" ref="J845">_xlfn.IFS(I845=0,"Matched",I845&gt;0,"Excess",I845&lt;0,"Shortage")</f>
        <v>Matched</v>
      </c>
      <c r="K845" s="50">
        <f>ABS(Table13[[#This Row],[Stock Difference]])</f>
        <v>0</v>
      </c>
      <c r="L845" s="17">
        <f t="shared" si="39"/>
        <v>0</v>
      </c>
      <c r="M845" s="17">
        <f t="shared" si="40"/>
        <v>84000</v>
      </c>
      <c r="N845" s="17" t="str" cm="1">
        <f t="array" ref="N845">_xlfn.IFS(K845=0,"Matched", K845&gt;100,"High", K845&gt;=50,"Medium", K845&lt;50,"Low")</f>
        <v>Matched</v>
      </c>
      <c r="O845" s="17" t="str">
        <f t="shared" si="41"/>
        <v>No Match</v>
      </c>
    </row>
    <row r="846" spans="2:15" hidden="1" x14ac:dyDescent="0.3">
      <c r="B846" s="7">
        <v>844</v>
      </c>
      <c r="C846" s="3" t="s">
        <v>850</v>
      </c>
      <c r="D846" s="2" t="s">
        <v>1065</v>
      </c>
      <c r="E846" s="3" t="s">
        <v>1009</v>
      </c>
      <c r="F846" s="3">
        <v>108</v>
      </c>
      <c r="G846" s="3">
        <v>108</v>
      </c>
      <c r="H846" s="8">
        <v>200</v>
      </c>
      <c r="I846" s="48">
        <f>Table13[[#This Row],[Physical_Stock_Qty]]-Table13[[#This Row],[System_Stock_Qty]]</f>
        <v>0</v>
      </c>
      <c r="J846" s="53" t="str" cm="1">
        <f t="array" ref="J846">_xlfn.IFS(I846=0,"Matched",I846&gt;0,"Excess",I846&lt;0,"Shortage")</f>
        <v>Matched</v>
      </c>
      <c r="K846" s="50">
        <f>ABS(Table13[[#This Row],[Stock Difference]])</f>
        <v>0</v>
      </c>
      <c r="L846" s="17">
        <f t="shared" si="39"/>
        <v>0</v>
      </c>
      <c r="M846" s="17">
        <f t="shared" si="40"/>
        <v>21600</v>
      </c>
      <c r="N846" s="17" t="str" cm="1">
        <f t="array" ref="N846">_xlfn.IFS(K846=0,"Matched", K846&gt;100,"High", K846&gt;=50,"Medium", K846&lt;50,"Low")</f>
        <v>Matched</v>
      </c>
      <c r="O846" s="17" t="str">
        <f t="shared" si="41"/>
        <v>No Match</v>
      </c>
    </row>
    <row r="847" spans="2:15" hidden="1" x14ac:dyDescent="0.3">
      <c r="B847" s="7">
        <v>845</v>
      </c>
      <c r="C847" s="3" t="s">
        <v>851</v>
      </c>
      <c r="D847" s="2" t="s">
        <v>1027</v>
      </c>
      <c r="E847" s="3" t="s">
        <v>1008</v>
      </c>
      <c r="F847" s="3">
        <v>78</v>
      </c>
      <c r="G847" s="3">
        <v>78</v>
      </c>
      <c r="H847" s="8">
        <v>30000</v>
      </c>
      <c r="I847" s="48">
        <f>Table13[[#This Row],[Physical_Stock_Qty]]-Table13[[#This Row],[System_Stock_Qty]]</f>
        <v>0</v>
      </c>
      <c r="J847" s="53" t="str" cm="1">
        <f t="array" ref="J847">_xlfn.IFS(I847=0,"Matched",I847&gt;0,"Excess",I847&lt;0,"Shortage")</f>
        <v>Matched</v>
      </c>
      <c r="K847" s="50">
        <f>ABS(Table13[[#This Row],[Stock Difference]])</f>
        <v>0</v>
      </c>
      <c r="L847" s="17">
        <f t="shared" si="39"/>
        <v>0</v>
      </c>
      <c r="M847" s="17">
        <f t="shared" si="40"/>
        <v>2340000</v>
      </c>
      <c r="N847" s="17" t="str" cm="1">
        <f t="array" ref="N847">_xlfn.IFS(K847=0,"Matched", K847&gt;100,"High", K847&gt;=50,"Medium", K847&lt;50,"Low")</f>
        <v>Matched</v>
      </c>
      <c r="O847" s="17" t="str">
        <f t="shared" si="41"/>
        <v>No Match</v>
      </c>
    </row>
    <row r="848" spans="2:15" hidden="1" x14ac:dyDescent="0.3">
      <c r="B848" s="7">
        <v>846</v>
      </c>
      <c r="C848" s="3" t="s">
        <v>852</v>
      </c>
      <c r="D848" s="2" t="s">
        <v>1023</v>
      </c>
      <c r="E848" s="3" t="s">
        <v>1008</v>
      </c>
      <c r="F848" s="3">
        <v>57</v>
      </c>
      <c r="G848" s="3">
        <v>57</v>
      </c>
      <c r="H848" s="8">
        <v>20000</v>
      </c>
      <c r="I848" s="48">
        <f>Table13[[#This Row],[Physical_Stock_Qty]]-Table13[[#This Row],[System_Stock_Qty]]</f>
        <v>0</v>
      </c>
      <c r="J848" s="53" t="str" cm="1">
        <f t="array" ref="J848">_xlfn.IFS(I848=0,"Matched",I848&gt;0,"Excess",I848&lt;0,"Shortage")</f>
        <v>Matched</v>
      </c>
      <c r="K848" s="50">
        <f>ABS(Table13[[#This Row],[Stock Difference]])</f>
        <v>0</v>
      </c>
      <c r="L848" s="17">
        <f t="shared" si="39"/>
        <v>0</v>
      </c>
      <c r="M848" s="17">
        <f t="shared" si="40"/>
        <v>1140000</v>
      </c>
      <c r="N848" s="17" t="str" cm="1">
        <f t="array" ref="N848">_xlfn.IFS(K848=0,"Matched", K848&gt;100,"High", K848&gt;=50,"Medium", K848&lt;50,"Low")</f>
        <v>Matched</v>
      </c>
      <c r="O848" s="17" t="str">
        <f t="shared" si="41"/>
        <v>No Match</v>
      </c>
    </row>
    <row r="849" spans="2:15" hidden="1" x14ac:dyDescent="0.3">
      <c r="B849" s="7">
        <v>847</v>
      </c>
      <c r="C849" s="3" t="s">
        <v>853</v>
      </c>
      <c r="D849" s="2" t="s">
        <v>1040</v>
      </c>
      <c r="E849" s="3" t="s">
        <v>1007</v>
      </c>
      <c r="F849" s="3">
        <v>189</v>
      </c>
      <c r="G849" s="3">
        <v>189</v>
      </c>
      <c r="H849" s="8">
        <v>5000</v>
      </c>
      <c r="I849" s="48">
        <f>Table13[[#This Row],[Physical_Stock_Qty]]-Table13[[#This Row],[System_Stock_Qty]]</f>
        <v>0</v>
      </c>
      <c r="J849" s="53" t="str" cm="1">
        <f t="array" ref="J849">_xlfn.IFS(I849=0,"Matched",I849&gt;0,"Excess",I849&lt;0,"Shortage")</f>
        <v>Matched</v>
      </c>
      <c r="K849" s="50">
        <f>ABS(Table13[[#This Row],[Stock Difference]])</f>
        <v>0</v>
      </c>
      <c r="L849" s="17">
        <f t="shared" si="39"/>
        <v>0</v>
      </c>
      <c r="M849" s="17">
        <f t="shared" si="40"/>
        <v>945000</v>
      </c>
      <c r="N849" s="17" t="str" cm="1">
        <f t="array" ref="N849">_xlfn.IFS(K849=0,"Matched", K849&gt;100,"High", K849&gt;=50,"Medium", K849&lt;50,"Low")</f>
        <v>Matched</v>
      </c>
      <c r="O849" s="17" t="str">
        <f t="shared" si="41"/>
        <v>No Match</v>
      </c>
    </row>
    <row r="850" spans="2:15" hidden="1" x14ac:dyDescent="0.3">
      <c r="B850" s="7">
        <v>848</v>
      </c>
      <c r="C850" s="3" t="s">
        <v>854</v>
      </c>
      <c r="D850" s="2" t="s">
        <v>1074</v>
      </c>
      <c r="E850" s="3" t="s">
        <v>1009</v>
      </c>
      <c r="F850" s="3">
        <v>98</v>
      </c>
      <c r="G850" s="3">
        <v>98</v>
      </c>
      <c r="H850" s="8">
        <v>500</v>
      </c>
      <c r="I850" s="48">
        <f>Table13[[#This Row],[Physical_Stock_Qty]]-Table13[[#This Row],[System_Stock_Qty]]</f>
        <v>0</v>
      </c>
      <c r="J850" s="53" t="str" cm="1">
        <f t="array" ref="J850">_xlfn.IFS(I850=0,"Matched",I850&gt;0,"Excess",I850&lt;0,"Shortage")</f>
        <v>Matched</v>
      </c>
      <c r="K850" s="50">
        <f>ABS(Table13[[#This Row],[Stock Difference]])</f>
        <v>0</v>
      </c>
      <c r="L850" s="17">
        <f t="shared" si="39"/>
        <v>0</v>
      </c>
      <c r="M850" s="17">
        <f t="shared" si="40"/>
        <v>49000</v>
      </c>
      <c r="N850" s="17" t="str" cm="1">
        <f t="array" ref="N850">_xlfn.IFS(K850=0,"Matched", K850&gt;100,"High", K850&gt;=50,"Medium", K850&lt;50,"Low")</f>
        <v>Matched</v>
      </c>
      <c r="O850" s="17" t="str">
        <f t="shared" si="41"/>
        <v>No Match</v>
      </c>
    </row>
    <row r="851" spans="2:15" hidden="1" x14ac:dyDescent="0.3">
      <c r="B851" s="7">
        <v>849</v>
      </c>
      <c r="C851" s="3" t="s">
        <v>855</v>
      </c>
      <c r="D851" s="2" t="s">
        <v>1058</v>
      </c>
      <c r="E851" s="3" t="s">
        <v>1012</v>
      </c>
      <c r="F851" s="3">
        <v>145</v>
      </c>
      <c r="G851" s="3">
        <v>145</v>
      </c>
      <c r="H851" s="8">
        <v>500</v>
      </c>
      <c r="I851" s="48">
        <f>Table13[[#This Row],[Physical_Stock_Qty]]-Table13[[#This Row],[System_Stock_Qty]]</f>
        <v>0</v>
      </c>
      <c r="J851" s="53" t="str" cm="1">
        <f t="array" ref="J851">_xlfn.IFS(I851=0,"Matched",I851&gt;0,"Excess",I851&lt;0,"Shortage")</f>
        <v>Matched</v>
      </c>
      <c r="K851" s="50">
        <f>ABS(Table13[[#This Row],[Stock Difference]])</f>
        <v>0</v>
      </c>
      <c r="L851" s="17">
        <f t="shared" si="39"/>
        <v>0</v>
      </c>
      <c r="M851" s="17">
        <f t="shared" si="40"/>
        <v>72500</v>
      </c>
      <c r="N851" s="17" t="str" cm="1">
        <f t="array" ref="N851">_xlfn.IFS(K851=0,"Matched", K851&gt;100,"High", K851&gt;=50,"Medium", K851&lt;50,"Low")</f>
        <v>Matched</v>
      </c>
      <c r="O851" s="17" t="str">
        <f t="shared" si="41"/>
        <v>No Match</v>
      </c>
    </row>
    <row r="852" spans="2:15" hidden="1" x14ac:dyDescent="0.3">
      <c r="B852" s="7">
        <v>850</v>
      </c>
      <c r="C852" s="3" t="s">
        <v>856</v>
      </c>
      <c r="D852" s="2" t="s">
        <v>1032</v>
      </c>
      <c r="E852" s="3" t="s">
        <v>1008</v>
      </c>
      <c r="F852" s="3">
        <v>143</v>
      </c>
      <c r="G852" s="3">
        <v>143</v>
      </c>
      <c r="H852" s="8">
        <v>2000</v>
      </c>
      <c r="I852" s="48">
        <f>Table13[[#This Row],[Physical_Stock_Qty]]-Table13[[#This Row],[System_Stock_Qty]]</f>
        <v>0</v>
      </c>
      <c r="J852" s="53" t="str" cm="1">
        <f t="array" ref="J852">_xlfn.IFS(I852=0,"Matched",I852&gt;0,"Excess",I852&lt;0,"Shortage")</f>
        <v>Matched</v>
      </c>
      <c r="K852" s="50">
        <f>ABS(Table13[[#This Row],[Stock Difference]])</f>
        <v>0</v>
      </c>
      <c r="L852" s="17">
        <f t="shared" si="39"/>
        <v>0</v>
      </c>
      <c r="M852" s="17">
        <f t="shared" si="40"/>
        <v>286000</v>
      </c>
      <c r="N852" s="17" t="str" cm="1">
        <f t="array" ref="N852">_xlfn.IFS(K852=0,"Matched", K852&gt;100,"High", K852&gt;=50,"Medium", K852&lt;50,"Low")</f>
        <v>Matched</v>
      </c>
      <c r="O852" s="17" t="str">
        <f t="shared" si="41"/>
        <v>No Match</v>
      </c>
    </row>
    <row r="853" spans="2:15" hidden="1" x14ac:dyDescent="0.3">
      <c r="B853" s="7">
        <v>851</v>
      </c>
      <c r="C853" s="3" t="s">
        <v>857</v>
      </c>
      <c r="D853" s="2" t="s">
        <v>1052</v>
      </c>
      <c r="E853" s="3" t="s">
        <v>1010</v>
      </c>
      <c r="F853" s="3">
        <v>91</v>
      </c>
      <c r="G853" s="3">
        <v>91</v>
      </c>
      <c r="H853" s="8">
        <v>100</v>
      </c>
      <c r="I853" s="48">
        <f>Table13[[#This Row],[Physical_Stock_Qty]]-Table13[[#This Row],[System_Stock_Qty]]</f>
        <v>0</v>
      </c>
      <c r="J853" s="53" t="str" cm="1">
        <f t="array" ref="J853">_xlfn.IFS(I853=0,"Matched",I853&gt;0,"Excess",I853&lt;0,"Shortage")</f>
        <v>Matched</v>
      </c>
      <c r="K853" s="50">
        <f>ABS(Table13[[#This Row],[Stock Difference]])</f>
        <v>0</v>
      </c>
      <c r="L853" s="17">
        <f t="shared" si="39"/>
        <v>0</v>
      </c>
      <c r="M853" s="17">
        <f t="shared" si="40"/>
        <v>9100</v>
      </c>
      <c r="N853" s="17" t="str" cm="1">
        <f t="array" ref="N853">_xlfn.IFS(K853=0,"Matched", K853&gt;100,"High", K853&gt;=50,"Medium", K853&lt;50,"Low")</f>
        <v>Matched</v>
      </c>
      <c r="O853" s="17" t="str">
        <f t="shared" si="41"/>
        <v>No Match</v>
      </c>
    </row>
    <row r="854" spans="2:15" hidden="1" x14ac:dyDescent="0.3">
      <c r="B854" s="7">
        <v>852</v>
      </c>
      <c r="C854" s="3" t="s">
        <v>858</v>
      </c>
      <c r="D854" s="2" t="s">
        <v>1034</v>
      </c>
      <c r="E854" s="3" t="s">
        <v>1008</v>
      </c>
      <c r="F854" s="3">
        <v>184</v>
      </c>
      <c r="G854" s="3">
        <v>184</v>
      </c>
      <c r="H854" s="8">
        <v>50000</v>
      </c>
      <c r="I854" s="48">
        <f>Table13[[#This Row],[Physical_Stock_Qty]]-Table13[[#This Row],[System_Stock_Qty]]</f>
        <v>0</v>
      </c>
      <c r="J854" s="53" t="str" cm="1">
        <f t="array" ref="J854">_xlfn.IFS(I854=0,"Matched",I854&gt;0,"Excess",I854&lt;0,"Shortage")</f>
        <v>Matched</v>
      </c>
      <c r="K854" s="50">
        <f>ABS(Table13[[#This Row],[Stock Difference]])</f>
        <v>0</v>
      </c>
      <c r="L854" s="17">
        <f t="shared" si="39"/>
        <v>0</v>
      </c>
      <c r="M854" s="17">
        <f t="shared" si="40"/>
        <v>9200000</v>
      </c>
      <c r="N854" s="17" t="str" cm="1">
        <f t="array" ref="N854">_xlfn.IFS(K854=0,"Matched", K854&gt;100,"High", K854&gt;=50,"Medium", K854&lt;50,"Low")</f>
        <v>Matched</v>
      </c>
      <c r="O854" s="17" t="str">
        <f t="shared" si="41"/>
        <v>No Match</v>
      </c>
    </row>
    <row r="855" spans="2:15" hidden="1" x14ac:dyDescent="0.3">
      <c r="B855" s="7">
        <v>853</v>
      </c>
      <c r="C855" s="3" t="s">
        <v>859</v>
      </c>
      <c r="D855" s="2" t="s">
        <v>1051</v>
      </c>
      <c r="E855" s="3" t="s">
        <v>1010</v>
      </c>
      <c r="F855" s="3">
        <v>196</v>
      </c>
      <c r="G855" s="3">
        <v>196</v>
      </c>
      <c r="H855" s="8">
        <v>50</v>
      </c>
      <c r="I855" s="48">
        <f>Table13[[#This Row],[Physical_Stock_Qty]]-Table13[[#This Row],[System_Stock_Qty]]</f>
        <v>0</v>
      </c>
      <c r="J855" s="53" t="str" cm="1">
        <f t="array" ref="J855">_xlfn.IFS(I855=0,"Matched",I855&gt;0,"Excess",I855&lt;0,"Shortage")</f>
        <v>Matched</v>
      </c>
      <c r="K855" s="50">
        <f>ABS(Table13[[#This Row],[Stock Difference]])</f>
        <v>0</v>
      </c>
      <c r="L855" s="17">
        <f t="shared" si="39"/>
        <v>0</v>
      </c>
      <c r="M855" s="17">
        <f t="shared" si="40"/>
        <v>9800</v>
      </c>
      <c r="N855" s="17" t="str" cm="1">
        <f t="array" ref="N855">_xlfn.IFS(K855=0,"Matched", K855&gt;100,"High", K855&gt;=50,"Medium", K855&lt;50,"Low")</f>
        <v>Matched</v>
      </c>
      <c r="O855" s="17" t="str">
        <f t="shared" si="41"/>
        <v>No Match</v>
      </c>
    </row>
    <row r="856" spans="2:15" hidden="1" x14ac:dyDescent="0.3">
      <c r="B856" s="7">
        <v>854</v>
      </c>
      <c r="C856" s="3" t="s">
        <v>860</v>
      </c>
      <c r="D856" s="2" t="s">
        <v>1047</v>
      </c>
      <c r="E856" s="3" t="s">
        <v>1010</v>
      </c>
      <c r="F856" s="3">
        <v>179</v>
      </c>
      <c r="G856" s="3">
        <v>179</v>
      </c>
      <c r="H856" s="8">
        <v>500</v>
      </c>
      <c r="I856" s="48">
        <f>Table13[[#This Row],[Physical_Stock_Qty]]-Table13[[#This Row],[System_Stock_Qty]]</f>
        <v>0</v>
      </c>
      <c r="J856" s="53" t="str" cm="1">
        <f t="array" ref="J856">_xlfn.IFS(I856=0,"Matched",I856&gt;0,"Excess",I856&lt;0,"Shortage")</f>
        <v>Matched</v>
      </c>
      <c r="K856" s="50">
        <f>ABS(Table13[[#This Row],[Stock Difference]])</f>
        <v>0</v>
      </c>
      <c r="L856" s="17">
        <f t="shared" si="39"/>
        <v>0</v>
      </c>
      <c r="M856" s="17">
        <f t="shared" si="40"/>
        <v>89500</v>
      </c>
      <c r="N856" s="17" t="str" cm="1">
        <f t="array" ref="N856">_xlfn.IFS(K856=0,"Matched", K856&gt;100,"High", K856&gt;=50,"Medium", K856&lt;50,"Low")</f>
        <v>Matched</v>
      </c>
      <c r="O856" s="17" t="str">
        <f t="shared" si="41"/>
        <v>No Match</v>
      </c>
    </row>
    <row r="857" spans="2:15" hidden="1" x14ac:dyDescent="0.3">
      <c r="B857" s="7">
        <v>855</v>
      </c>
      <c r="C857" s="3" t="s">
        <v>861</v>
      </c>
      <c r="D857" s="2" t="s">
        <v>1042</v>
      </c>
      <c r="E857" s="3" t="s">
        <v>1007</v>
      </c>
      <c r="F857" s="3">
        <v>135</v>
      </c>
      <c r="G857" s="3">
        <v>135</v>
      </c>
      <c r="H857" s="8">
        <v>3000</v>
      </c>
      <c r="I857" s="48">
        <f>Table13[[#This Row],[Physical_Stock_Qty]]-Table13[[#This Row],[System_Stock_Qty]]</f>
        <v>0</v>
      </c>
      <c r="J857" s="53" t="str" cm="1">
        <f t="array" ref="J857">_xlfn.IFS(I857=0,"Matched",I857&gt;0,"Excess",I857&lt;0,"Shortage")</f>
        <v>Matched</v>
      </c>
      <c r="K857" s="50">
        <f>ABS(Table13[[#This Row],[Stock Difference]])</f>
        <v>0</v>
      </c>
      <c r="L857" s="17">
        <f t="shared" si="39"/>
        <v>0</v>
      </c>
      <c r="M857" s="17">
        <f t="shared" si="40"/>
        <v>405000</v>
      </c>
      <c r="N857" s="17" t="str" cm="1">
        <f t="array" ref="N857">_xlfn.IFS(K857=0,"Matched", K857&gt;100,"High", K857&gt;=50,"Medium", K857&lt;50,"Low")</f>
        <v>Matched</v>
      </c>
      <c r="O857" s="17" t="str">
        <f t="shared" si="41"/>
        <v>No Match</v>
      </c>
    </row>
    <row r="858" spans="2:15" hidden="1" x14ac:dyDescent="0.3">
      <c r="B858" s="7">
        <v>856</v>
      </c>
      <c r="C858" s="3" t="s">
        <v>862</v>
      </c>
      <c r="D858" s="2" t="s">
        <v>1072</v>
      </c>
      <c r="E858" s="3" t="s">
        <v>1009</v>
      </c>
      <c r="F858" s="3">
        <v>138</v>
      </c>
      <c r="G858" s="3">
        <v>138</v>
      </c>
      <c r="H858" s="8">
        <v>50</v>
      </c>
      <c r="I858" s="48">
        <f>Table13[[#This Row],[Physical_Stock_Qty]]-Table13[[#This Row],[System_Stock_Qty]]</f>
        <v>0</v>
      </c>
      <c r="J858" s="53" t="str" cm="1">
        <f t="array" ref="J858">_xlfn.IFS(I858=0,"Matched",I858&gt;0,"Excess",I858&lt;0,"Shortage")</f>
        <v>Matched</v>
      </c>
      <c r="K858" s="50">
        <f>ABS(Table13[[#This Row],[Stock Difference]])</f>
        <v>0</v>
      </c>
      <c r="L858" s="17">
        <f t="shared" si="39"/>
        <v>0</v>
      </c>
      <c r="M858" s="17">
        <f t="shared" si="40"/>
        <v>6900</v>
      </c>
      <c r="N858" s="17" t="str" cm="1">
        <f t="array" ref="N858">_xlfn.IFS(K858=0,"Matched", K858&gt;100,"High", K858&gt;=50,"Medium", K858&lt;50,"Low")</f>
        <v>Matched</v>
      </c>
      <c r="O858" s="17" t="str">
        <f t="shared" si="41"/>
        <v>No Match</v>
      </c>
    </row>
    <row r="859" spans="2:15" hidden="1" x14ac:dyDescent="0.3">
      <c r="B859" s="7">
        <v>857</v>
      </c>
      <c r="C859" s="3" t="s">
        <v>863</v>
      </c>
      <c r="D859" s="2" t="s">
        <v>1018</v>
      </c>
      <c r="E859" s="3" t="s">
        <v>1012</v>
      </c>
      <c r="F859" s="3">
        <v>60</v>
      </c>
      <c r="G859" s="3">
        <v>60</v>
      </c>
      <c r="H859" s="8">
        <v>3000</v>
      </c>
      <c r="I859" s="48">
        <f>Table13[[#This Row],[Physical_Stock_Qty]]-Table13[[#This Row],[System_Stock_Qty]]</f>
        <v>0</v>
      </c>
      <c r="J859" s="53" t="str" cm="1">
        <f t="array" ref="J859">_xlfn.IFS(I859=0,"Matched",I859&gt;0,"Excess",I859&lt;0,"Shortage")</f>
        <v>Matched</v>
      </c>
      <c r="K859" s="50">
        <f>ABS(Table13[[#This Row],[Stock Difference]])</f>
        <v>0</v>
      </c>
      <c r="L859" s="17">
        <f t="shared" si="39"/>
        <v>0</v>
      </c>
      <c r="M859" s="17">
        <f t="shared" si="40"/>
        <v>180000</v>
      </c>
      <c r="N859" s="17" t="str" cm="1">
        <f t="array" ref="N859">_xlfn.IFS(K859=0,"Matched", K859&gt;100,"High", K859&gt;=50,"Medium", K859&lt;50,"Low")</f>
        <v>Matched</v>
      </c>
      <c r="O859" s="17" t="str">
        <f t="shared" si="41"/>
        <v>No Match</v>
      </c>
    </row>
    <row r="860" spans="2:15" hidden="1" x14ac:dyDescent="0.3">
      <c r="B860" s="7">
        <v>858</v>
      </c>
      <c r="C860" s="3" t="s">
        <v>864</v>
      </c>
      <c r="D860" s="2" t="s">
        <v>1073</v>
      </c>
      <c r="E860" s="3" t="s">
        <v>1009</v>
      </c>
      <c r="F860" s="3">
        <v>187</v>
      </c>
      <c r="G860" s="3">
        <v>187</v>
      </c>
      <c r="H860" s="8">
        <v>100</v>
      </c>
      <c r="I860" s="48">
        <f>Table13[[#This Row],[Physical_Stock_Qty]]-Table13[[#This Row],[System_Stock_Qty]]</f>
        <v>0</v>
      </c>
      <c r="J860" s="53" t="str" cm="1">
        <f t="array" ref="J860">_xlfn.IFS(I860=0,"Matched",I860&gt;0,"Excess",I860&lt;0,"Shortage")</f>
        <v>Matched</v>
      </c>
      <c r="K860" s="50">
        <f>ABS(Table13[[#This Row],[Stock Difference]])</f>
        <v>0</v>
      </c>
      <c r="L860" s="17">
        <f t="shared" si="39"/>
        <v>0</v>
      </c>
      <c r="M860" s="17">
        <f t="shared" si="40"/>
        <v>18700</v>
      </c>
      <c r="N860" s="17" t="str" cm="1">
        <f t="array" ref="N860">_xlfn.IFS(K860=0,"Matched", K860&gt;100,"High", K860&gt;=50,"Medium", K860&lt;50,"Low")</f>
        <v>Matched</v>
      </c>
      <c r="O860" s="17" t="str">
        <f t="shared" si="41"/>
        <v>No Match</v>
      </c>
    </row>
    <row r="861" spans="2:15" hidden="1" x14ac:dyDescent="0.3">
      <c r="B861" s="7">
        <v>859</v>
      </c>
      <c r="C861" s="3" t="s">
        <v>865</v>
      </c>
      <c r="D861" s="2" t="s">
        <v>1075</v>
      </c>
      <c r="E861" s="3" t="s">
        <v>1009</v>
      </c>
      <c r="F861" s="3">
        <v>109</v>
      </c>
      <c r="G861" s="3">
        <v>109</v>
      </c>
      <c r="H861" s="8">
        <v>2000</v>
      </c>
      <c r="I861" s="48">
        <f>Table13[[#This Row],[Physical_Stock_Qty]]-Table13[[#This Row],[System_Stock_Qty]]</f>
        <v>0</v>
      </c>
      <c r="J861" s="53" t="str" cm="1">
        <f t="array" ref="J861">_xlfn.IFS(I861=0,"Matched",I861&gt;0,"Excess",I861&lt;0,"Shortage")</f>
        <v>Matched</v>
      </c>
      <c r="K861" s="50">
        <f>ABS(Table13[[#This Row],[Stock Difference]])</f>
        <v>0</v>
      </c>
      <c r="L861" s="17">
        <f t="shared" si="39"/>
        <v>0</v>
      </c>
      <c r="M861" s="17">
        <f t="shared" si="40"/>
        <v>218000</v>
      </c>
      <c r="N861" s="17" t="str" cm="1">
        <f t="array" ref="N861">_xlfn.IFS(K861=0,"Matched", K861&gt;100,"High", K861&gt;=50,"Medium", K861&lt;50,"Low")</f>
        <v>Matched</v>
      </c>
      <c r="O861" s="17" t="str">
        <f t="shared" si="41"/>
        <v>No Match</v>
      </c>
    </row>
    <row r="862" spans="2:15" hidden="1" x14ac:dyDescent="0.3">
      <c r="B862" s="7">
        <v>860</v>
      </c>
      <c r="C862" s="3" t="s">
        <v>866</v>
      </c>
      <c r="D862" s="2" t="s">
        <v>1039</v>
      </c>
      <c r="E862" s="3" t="s">
        <v>1007</v>
      </c>
      <c r="F862" s="3">
        <v>158</v>
      </c>
      <c r="G862" s="3">
        <v>158</v>
      </c>
      <c r="H862" s="8">
        <v>12000</v>
      </c>
      <c r="I862" s="48">
        <f>Table13[[#This Row],[Physical_Stock_Qty]]-Table13[[#This Row],[System_Stock_Qty]]</f>
        <v>0</v>
      </c>
      <c r="J862" s="53" t="str" cm="1">
        <f t="array" ref="J862">_xlfn.IFS(I862=0,"Matched",I862&gt;0,"Excess",I862&lt;0,"Shortage")</f>
        <v>Matched</v>
      </c>
      <c r="K862" s="50">
        <f>ABS(Table13[[#This Row],[Stock Difference]])</f>
        <v>0</v>
      </c>
      <c r="L862" s="17">
        <f t="shared" si="39"/>
        <v>0</v>
      </c>
      <c r="M862" s="17">
        <f t="shared" si="40"/>
        <v>1896000</v>
      </c>
      <c r="N862" s="17" t="str" cm="1">
        <f t="array" ref="N862">_xlfn.IFS(K862=0,"Matched", K862&gt;100,"High", K862&gt;=50,"Medium", K862&lt;50,"Low")</f>
        <v>Matched</v>
      </c>
      <c r="O862" s="17" t="str">
        <f t="shared" si="41"/>
        <v>No Match</v>
      </c>
    </row>
    <row r="863" spans="2:15" hidden="1" x14ac:dyDescent="0.3">
      <c r="B863" s="7">
        <v>861</v>
      </c>
      <c r="C863" s="3" t="s">
        <v>867</v>
      </c>
      <c r="D863" s="2" t="s">
        <v>1078</v>
      </c>
      <c r="E863" s="3" t="s">
        <v>1011</v>
      </c>
      <c r="F863" s="3">
        <v>126</v>
      </c>
      <c r="G863" s="3">
        <v>126</v>
      </c>
      <c r="H863" s="8">
        <v>200</v>
      </c>
      <c r="I863" s="48">
        <f>Table13[[#This Row],[Physical_Stock_Qty]]-Table13[[#This Row],[System_Stock_Qty]]</f>
        <v>0</v>
      </c>
      <c r="J863" s="53" t="str" cm="1">
        <f t="array" ref="J863">_xlfn.IFS(I863=0,"Matched",I863&gt;0,"Excess",I863&lt;0,"Shortage")</f>
        <v>Matched</v>
      </c>
      <c r="K863" s="50">
        <f>ABS(Table13[[#This Row],[Stock Difference]])</f>
        <v>0</v>
      </c>
      <c r="L863" s="17">
        <f t="shared" si="39"/>
        <v>0</v>
      </c>
      <c r="M863" s="17">
        <f t="shared" si="40"/>
        <v>25200</v>
      </c>
      <c r="N863" s="17" t="str" cm="1">
        <f t="array" ref="N863">_xlfn.IFS(K863=0,"Matched", K863&gt;100,"High", K863&gt;=50,"Medium", K863&lt;50,"Low")</f>
        <v>Matched</v>
      </c>
      <c r="O863" s="17" t="str">
        <f t="shared" si="41"/>
        <v>No Match</v>
      </c>
    </row>
    <row r="864" spans="2:15" hidden="1" x14ac:dyDescent="0.3">
      <c r="B864" s="7">
        <v>862</v>
      </c>
      <c r="C864" s="3" t="s">
        <v>868</v>
      </c>
      <c r="D864" s="2" t="s">
        <v>1030</v>
      </c>
      <c r="E864" s="3" t="s">
        <v>1008</v>
      </c>
      <c r="F864" s="3">
        <v>167</v>
      </c>
      <c r="G864" s="3">
        <v>167</v>
      </c>
      <c r="H864" s="8">
        <v>70000</v>
      </c>
      <c r="I864" s="48">
        <f>Table13[[#This Row],[Physical_Stock_Qty]]-Table13[[#This Row],[System_Stock_Qty]]</f>
        <v>0</v>
      </c>
      <c r="J864" s="53" t="str" cm="1">
        <f t="array" ref="J864">_xlfn.IFS(I864=0,"Matched",I864&gt;0,"Excess",I864&lt;0,"Shortage")</f>
        <v>Matched</v>
      </c>
      <c r="K864" s="50">
        <f>ABS(Table13[[#This Row],[Stock Difference]])</f>
        <v>0</v>
      </c>
      <c r="L864" s="17">
        <f t="shared" si="39"/>
        <v>0</v>
      </c>
      <c r="M864" s="17">
        <f t="shared" si="40"/>
        <v>11690000</v>
      </c>
      <c r="N864" s="17" t="str" cm="1">
        <f t="array" ref="N864">_xlfn.IFS(K864=0,"Matched", K864&gt;100,"High", K864&gt;=50,"Medium", K864&lt;50,"Low")</f>
        <v>Matched</v>
      </c>
      <c r="O864" s="17" t="str">
        <f t="shared" si="41"/>
        <v>No Match</v>
      </c>
    </row>
    <row r="865" spans="2:15" hidden="1" x14ac:dyDescent="0.3">
      <c r="B865" s="7">
        <v>863</v>
      </c>
      <c r="C865" s="3" t="s">
        <v>869</v>
      </c>
      <c r="D865" s="2" t="s">
        <v>1063</v>
      </c>
      <c r="E865" s="3" t="s">
        <v>1009</v>
      </c>
      <c r="F865" s="3">
        <v>61</v>
      </c>
      <c r="G865" s="3">
        <v>61</v>
      </c>
      <c r="H865" s="8">
        <v>4500</v>
      </c>
      <c r="I865" s="48">
        <f>Table13[[#This Row],[Physical_Stock_Qty]]-Table13[[#This Row],[System_Stock_Qty]]</f>
        <v>0</v>
      </c>
      <c r="J865" s="53" t="str" cm="1">
        <f t="array" ref="J865">_xlfn.IFS(I865=0,"Matched",I865&gt;0,"Excess",I865&lt;0,"Shortage")</f>
        <v>Matched</v>
      </c>
      <c r="K865" s="50">
        <f>ABS(Table13[[#This Row],[Stock Difference]])</f>
        <v>0</v>
      </c>
      <c r="L865" s="17">
        <f t="shared" si="39"/>
        <v>0</v>
      </c>
      <c r="M865" s="17">
        <f t="shared" si="40"/>
        <v>274500</v>
      </c>
      <c r="N865" s="17" t="str" cm="1">
        <f t="array" ref="N865">_xlfn.IFS(K865=0,"Matched", K865&gt;100,"High", K865&gt;=50,"Medium", K865&lt;50,"Low")</f>
        <v>Matched</v>
      </c>
      <c r="O865" s="17" t="str">
        <f t="shared" si="41"/>
        <v>No Match</v>
      </c>
    </row>
    <row r="866" spans="2:15" hidden="1" x14ac:dyDescent="0.3">
      <c r="B866" s="7">
        <v>864</v>
      </c>
      <c r="C866" s="3" t="s">
        <v>870</v>
      </c>
      <c r="D866" s="2" t="s">
        <v>1028</v>
      </c>
      <c r="E866" s="3" t="s">
        <v>1008</v>
      </c>
      <c r="F866" s="3">
        <v>72</v>
      </c>
      <c r="G866" s="3">
        <v>72</v>
      </c>
      <c r="H866" s="8">
        <v>15000</v>
      </c>
      <c r="I866" s="48">
        <f>Table13[[#This Row],[Physical_Stock_Qty]]-Table13[[#This Row],[System_Stock_Qty]]</f>
        <v>0</v>
      </c>
      <c r="J866" s="53" t="str" cm="1">
        <f t="array" ref="J866">_xlfn.IFS(I866=0,"Matched",I866&gt;0,"Excess",I866&lt;0,"Shortage")</f>
        <v>Matched</v>
      </c>
      <c r="K866" s="50">
        <f>ABS(Table13[[#This Row],[Stock Difference]])</f>
        <v>0</v>
      </c>
      <c r="L866" s="17">
        <f t="shared" si="39"/>
        <v>0</v>
      </c>
      <c r="M866" s="17">
        <f t="shared" si="40"/>
        <v>1080000</v>
      </c>
      <c r="N866" s="17" t="str" cm="1">
        <f t="array" ref="N866">_xlfn.IFS(K866=0,"Matched", K866&gt;100,"High", K866&gt;=50,"Medium", K866&lt;50,"Low")</f>
        <v>Matched</v>
      </c>
      <c r="O866" s="17" t="str">
        <f t="shared" si="41"/>
        <v>No Match</v>
      </c>
    </row>
    <row r="867" spans="2:15" hidden="1" x14ac:dyDescent="0.3">
      <c r="B867" s="7">
        <v>865</v>
      </c>
      <c r="C867" s="3" t="s">
        <v>871</v>
      </c>
      <c r="D867" s="2" t="s">
        <v>1041</v>
      </c>
      <c r="E867" s="3" t="s">
        <v>1007</v>
      </c>
      <c r="F867" s="3">
        <v>107</v>
      </c>
      <c r="G867" s="3">
        <v>107</v>
      </c>
      <c r="H867" s="8">
        <v>2000</v>
      </c>
      <c r="I867" s="48">
        <f>Table13[[#This Row],[Physical_Stock_Qty]]-Table13[[#This Row],[System_Stock_Qty]]</f>
        <v>0</v>
      </c>
      <c r="J867" s="53" t="str" cm="1">
        <f t="array" ref="J867">_xlfn.IFS(I867=0,"Matched",I867&gt;0,"Excess",I867&lt;0,"Shortage")</f>
        <v>Matched</v>
      </c>
      <c r="K867" s="50">
        <f>ABS(Table13[[#This Row],[Stock Difference]])</f>
        <v>0</v>
      </c>
      <c r="L867" s="17">
        <f t="shared" si="39"/>
        <v>0</v>
      </c>
      <c r="M867" s="17">
        <f t="shared" si="40"/>
        <v>214000</v>
      </c>
      <c r="N867" s="17" t="str" cm="1">
        <f t="array" ref="N867">_xlfn.IFS(K867=0,"Matched", K867&gt;100,"High", K867&gt;=50,"Medium", K867&lt;50,"Low")</f>
        <v>Matched</v>
      </c>
      <c r="O867" s="17" t="str">
        <f t="shared" si="41"/>
        <v>No Match</v>
      </c>
    </row>
    <row r="868" spans="2:15" hidden="1" x14ac:dyDescent="0.3">
      <c r="B868" s="7">
        <v>866</v>
      </c>
      <c r="C868" s="3" t="s">
        <v>872</v>
      </c>
      <c r="D868" s="2" t="s">
        <v>1018</v>
      </c>
      <c r="E868" s="3" t="s">
        <v>1012</v>
      </c>
      <c r="F868" s="3">
        <v>175</v>
      </c>
      <c r="G868" s="3">
        <v>175</v>
      </c>
      <c r="H868" s="8">
        <v>3000</v>
      </c>
      <c r="I868" s="48">
        <f>Table13[[#This Row],[Physical_Stock_Qty]]-Table13[[#This Row],[System_Stock_Qty]]</f>
        <v>0</v>
      </c>
      <c r="J868" s="53" t="str" cm="1">
        <f t="array" ref="J868">_xlfn.IFS(I868=0,"Matched",I868&gt;0,"Excess",I868&lt;0,"Shortage")</f>
        <v>Matched</v>
      </c>
      <c r="K868" s="50">
        <f>ABS(Table13[[#This Row],[Stock Difference]])</f>
        <v>0</v>
      </c>
      <c r="L868" s="17">
        <f t="shared" si="39"/>
        <v>0</v>
      </c>
      <c r="M868" s="17">
        <f t="shared" si="40"/>
        <v>525000</v>
      </c>
      <c r="N868" s="17" t="str" cm="1">
        <f t="array" ref="N868">_xlfn.IFS(K868=0,"Matched", K868&gt;100,"High", K868&gt;=50,"Medium", K868&lt;50,"Low")</f>
        <v>Matched</v>
      </c>
      <c r="O868" s="17" t="str">
        <f t="shared" si="41"/>
        <v>No Match</v>
      </c>
    </row>
    <row r="869" spans="2:15" hidden="1" x14ac:dyDescent="0.3">
      <c r="B869" s="7">
        <v>867</v>
      </c>
      <c r="C869" s="3" t="s">
        <v>873</v>
      </c>
      <c r="D869" s="2" t="s">
        <v>1061</v>
      </c>
      <c r="E869" s="3" t="s">
        <v>1012</v>
      </c>
      <c r="F869" s="3">
        <v>88</v>
      </c>
      <c r="G869" s="3">
        <v>88</v>
      </c>
      <c r="H869" s="8">
        <v>500</v>
      </c>
      <c r="I869" s="48">
        <f>Table13[[#This Row],[Physical_Stock_Qty]]-Table13[[#This Row],[System_Stock_Qty]]</f>
        <v>0</v>
      </c>
      <c r="J869" s="53" t="str" cm="1">
        <f t="array" ref="J869">_xlfn.IFS(I869=0,"Matched",I869&gt;0,"Excess",I869&lt;0,"Shortage")</f>
        <v>Matched</v>
      </c>
      <c r="K869" s="50">
        <f>ABS(Table13[[#This Row],[Stock Difference]])</f>
        <v>0</v>
      </c>
      <c r="L869" s="17">
        <f t="shared" si="39"/>
        <v>0</v>
      </c>
      <c r="M869" s="17">
        <f t="shared" si="40"/>
        <v>44000</v>
      </c>
      <c r="N869" s="17" t="str" cm="1">
        <f t="array" ref="N869">_xlfn.IFS(K869=0,"Matched", K869&gt;100,"High", K869&gt;=50,"Medium", K869&lt;50,"Low")</f>
        <v>Matched</v>
      </c>
      <c r="O869" s="17" t="str">
        <f t="shared" si="41"/>
        <v>No Match</v>
      </c>
    </row>
    <row r="870" spans="2:15" hidden="1" x14ac:dyDescent="0.3">
      <c r="B870" s="7">
        <v>868</v>
      </c>
      <c r="C870" s="3" t="s">
        <v>874</v>
      </c>
      <c r="D870" s="2" t="s">
        <v>1056</v>
      </c>
      <c r="E870" s="3" t="s">
        <v>1012</v>
      </c>
      <c r="F870" s="3">
        <v>97</v>
      </c>
      <c r="G870" s="3">
        <v>97</v>
      </c>
      <c r="H870" s="8">
        <v>100</v>
      </c>
      <c r="I870" s="48">
        <f>Table13[[#This Row],[Physical_Stock_Qty]]-Table13[[#This Row],[System_Stock_Qty]]</f>
        <v>0</v>
      </c>
      <c r="J870" s="53" t="str" cm="1">
        <f t="array" ref="J870">_xlfn.IFS(I870=0,"Matched",I870&gt;0,"Excess",I870&lt;0,"Shortage")</f>
        <v>Matched</v>
      </c>
      <c r="K870" s="50">
        <f>ABS(Table13[[#This Row],[Stock Difference]])</f>
        <v>0</v>
      </c>
      <c r="L870" s="17">
        <f t="shared" si="39"/>
        <v>0</v>
      </c>
      <c r="M870" s="17">
        <f t="shared" si="40"/>
        <v>9700</v>
      </c>
      <c r="N870" s="17" t="str" cm="1">
        <f t="array" ref="N870">_xlfn.IFS(K870=0,"Matched", K870&gt;100,"High", K870&gt;=50,"Medium", K870&lt;50,"Low")</f>
        <v>Matched</v>
      </c>
      <c r="O870" s="17" t="str">
        <f t="shared" si="41"/>
        <v>No Match</v>
      </c>
    </row>
    <row r="871" spans="2:15" hidden="1" x14ac:dyDescent="0.3">
      <c r="B871" s="7">
        <v>869</v>
      </c>
      <c r="C871" s="3" t="s">
        <v>875</v>
      </c>
      <c r="D871" s="2" t="s">
        <v>1061</v>
      </c>
      <c r="E871" s="3" t="s">
        <v>1012</v>
      </c>
      <c r="F871" s="3">
        <v>138</v>
      </c>
      <c r="G871" s="3">
        <v>138</v>
      </c>
      <c r="H871" s="8">
        <v>500</v>
      </c>
      <c r="I871" s="48">
        <f>Table13[[#This Row],[Physical_Stock_Qty]]-Table13[[#This Row],[System_Stock_Qty]]</f>
        <v>0</v>
      </c>
      <c r="J871" s="53" t="str" cm="1">
        <f t="array" ref="J871">_xlfn.IFS(I871=0,"Matched",I871&gt;0,"Excess",I871&lt;0,"Shortage")</f>
        <v>Matched</v>
      </c>
      <c r="K871" s="50">
        <f>ABS(Table13[[#This Row],[Stock Difference]])</f>
        <v>0</v>
      </c>
      <c r="L871" s="17">
        <f t="shared" si="39"/>
        <v>0</v>
      </c>
      <c r="M871" s="17">
        <f t="shared" si="40"/>
        <v>69000</v>
      </c>
      <c r="N871" s="17" t="str" cm="1">
        <f t="array" ref="N871">_xlfn.IFS(K871=0,"Matched", K871&gt;100,"High", K871&gt;=50,"Medium", K871&lt;50,"Low")</f>
        <v>Matched</v>
      </c>
      <c r="O871" s="17" t="str">
        <f t="shared" si="41"/>
        <v>No Match</v>
      </c>
    </row>
    <row r="872" spans="2:15" hidden="1" x14ac:dyDescent="0.3">
      <c r="B872" s="7">
        <v>870</v>
      </c>
      <c r="C872" s="3" t="s">
        <v>876</v>
      </c>
      <c r="D872" s="2" t="s">
        <v>1061</v>
      </c>
      <c r="E872" s="3" t="s">
        <v>1012</v>
      </c>
      <c r="F872" s="3">
        <v>107</v>
      </c>
      <c r="G872" s="3">
        <v>107</v>
      </c>
      <c r="H872" s="8">
        <v>500</v>
      </c>
      <c r="I872" s="48">
        <f>Table13[[#This Row],[Physical_Stock_Qty]]-Table13[[#This Row],[System_Stock_Qty]]</f>
        <v>0</v>
      </c>
      <c r="J872" s="53" t="str" cm="1">
        <f t="array" ref="J872">_xlfn.IFS(I872=0,"Matched",I872&gt;0,"Excess",I872&lt;0,"Shortage")</f>
        <v>Matched</v>
      </c>
      <c r="K872" s="50">
        <f>ABS(Table13[[#This Row],[Stock Difference]])</f>
        <v>0</v>
      </c>
      <c r="L872" s="17">
        <f t="shared" si="39"/>
        <v>0</v>
      </c>
      <c r="M872" s="17">
        <f t="shared" si="40"/>
        <v>53500</v>
      </c>
      <c r="N872" s="17" t="str" cm="1">
        <f t="array" ref="N872">_xlfn.IFS(K872=0,"Matched", K872&gt;100,"High", K872&gt;=50,"Medium", K872&lt;50,"Low")</f>
        <v>Matched</v>
      </c>
      <c r="O872" s="17" t="str">
        <f t="shared" si="41"/>
        <v>No Match</v>
      </c>
    </row>
    <row r="873" spans="2:15" hidden="1" x14ac:dyDescent="0.3">
      <c r="B873" s="7">
        <v>871</v>
      </c>
      <c r="C873" s="3" t="s">
        <v>877</v>
      </c>
      <c r="D873" s="2" t="s">
        <v>1041</v>
      </c>
      <c r="E873" s="3" t="s">
        <v>1007</v>
      </c>
      <c r="F873" s="3">
        <v>102</v>
      </c>
      <c r="G873" s="3">
        <v>102</v>
      </c>
      <c r="H873" s="8">
        <v>2000</v>
      </c>
      <c r="I873" s="48">
        <f>Table13[[#This Row],[Physical_Stock_Qty]]-Table13[[#This Row],[System_Stock_Qty]]</f>
        <v>0</v>
      </c>
      <c r="J873" s="53" t="str" cm="1">
        <f t="array" ref="J873">_xlfn.IFS(I873=0,"Matched",I873&gt;0,"Excess",I873&lt;0,"Shortage")</f>
        <v>Matched</v>
      </c>
      <c r="K873" s="50">
        <f>ABS(Table13[[#This Row],[Stock Difference]])</f>
        <v>0</v>
      </c>
      <c r="L873" s="17">
        <f t="shared" si="39"/>
        <v>0</v>
      </c>
      <c r="M873" s="17">
        <f t="shared" si="40"/>
        <v>204000</v>
      </c>
      <c r="N873" s="17" t="str" cm="1">
        <f t="array" ref="N873">_xlfn.IFS(K873=0,"Matched", K873&gt;100,"High", K873&gt;=50,"Medium", K873&lt;50,"Low")</f>
        <v>Matched</v>
      </c>
      <c r="O873" s="17" t="str">
        <f t="shared" si="41"/>
        <v>No Match</v>
      </c>
    </row>
    <row r="874" spans="2:15" hidden="1" x14ac:dyDescent="0.3">
      <c r="B874" s="7">
        <v>872</v>
      </c>
      <c r="C874" s="3" t="s">
        <v>878</v>
      </c>
      <c r="D874" s="2" t="s">
        <v>1065</v>
      </c>
      <c r="E874" s="3" t="s">
        <v>1009</v>
      </c>
      <c r="F874" s="3">
        <v>142</v>
      </c>
      <c r="G874" s="3">
        <v>142</v>
      </c>
      <c r="H874" s="8">
        <v>200</v>
      </c>
      <c r="I874" s="48">
        <f>Table13[[#This Row],[Physical_Stock_Qty]]-Table13[[#This Row],[System_Stock_Qty]]</f>
        <v>0</v>
      </c>
      <c r="J874" s="53" t="str" cm="1">
        <f t="array" ref="J874">_xlfn.IFS(I874=0,"Matched",I874&gt;0,"Excess",I874&lt;0,"Shortage")</f>
        <v>Matched</v>
      </c>
      <c r="K874" s="50">
        <f>ABS(Table13[[#This Row],[Stock Difference]])</f>
        <v>0</v>
      </c>
      <c r="L874" s="17">
        <f t="shared" si="39"/>
        <v>0</v>
      </c>
      <c r="M874" s="17">
        <f t="shared" si="40"/>
        <v>28400</v>
      </c>
      <c r="N874" s="17" t="str" cm="1">
        <f t="array" ref="N874">_xlfn.IFS(K874=0,"Matched", K874&gt;100,"High", K874&gt;=50,"Medium", K874&lt;50,"Low")</f>
        <v>Matched</v>
      </c>
      <c r="O874" s="17" t="str">
        <f t="shared" si="41"/>
        <v>No Match</v>
      </c>
    </row>
    <row r="875" spans="2:15" hidden="1" x14ac:dyDescent="0.3">
      <c r="B875" s="7">
        <v>873</v>
      </c>
      <c r="C875" s="3" t="s">
        <v>879</v>
      </c>
      <c r="D875" s="2" t="s">
        <v>1053</v>
      </c>
      <c r="E875" s="3" t="s">
        <v>1010</v>
      </c>
      <c r="F875" s="3">
        <v>159</v>
      </c>
      <c r="G875" s="3">
        <v>159</v>
      </c>
      <c r="H875" s="8">
        <v>10</v>
      </c>
      <c r="I875" s="48">
        <f>Table13[[#This Row],[Physical_Stock_Qty]]-Table13[[#This Row],[System_Stock_Qty]]</f>
        <v>0</v>
      </c>
      <c r="J875" s="53" t="str" cm="1">
        <f t="array" ref="J875">_xlfn.IFS(I875=0,"Matched",I875&gt;0,"Excess",I875&lt;0,"Shortage")</f>
        <v>Matched</v>
      </c>
      <c r="K875" s="50">
        <f>ABS(Table13[[#This Row],[Stock Difference]])</f>
        <v>0</v>
      </c>
      <c r="L875" s="17">
        <f t="shared" si="39"/>
        <v>0</v>
      </c>
      <c r="M875" s="17">
        <f t="shared" si="40"/>
        <v>1590</v>
      </c>
      <c r="N875" s="17" t="str" cm="1">
        <f t="array" ref="N875">_xlfn.IFS(K875=0,"Matched", K875&gt;100,"High", K875&gt;=50,"Medium", K875&lt;50,"Low")</f>
        <v>Matched</v>
      </c>
      <c r="O875" s="17" t="str">
        <f t="shared" si="41"/>
        <v>No Match</v>
      </c>
    </row>
    <row r="876" spans="2:15" hidden="1" x14ac:dyDescent="0.3">
      <c r="B876" s="7">
        <v>874</v>
      </c>
      <c r="C876" s="3" t="s">
        <v>880</v>
      </c>
      <c r="D876" s="2" t="s">
        <v>1028</v>
      </c>
      <c r="E876" s="3" t="s">
        <v>1008</v>
      </c>
      <c r="F876" s="3">
        <v>104</v>
      </c>
      <c r="G876" s="3">
        <v>104</v>
      </c>
      <c r="H876" s="8">
        <v>15000</v>
      </c>
      <c r="I876" s="48">
        <f>Table13[[#This Row],[Physical_Stock_Qty]]-Table13[[#This Row],[System_Stock_Qty]]</f>
        <v>0</v>
      </c>
      <c r="J876" s="53" t="str" cm="1">
        <f t="array" ref="J876">_xlfn.IFS(I876=0,"Matched",I876&gt;0,"Excess",I876&lt;0,"Shortage")</f>
        <v>Matched</v>
      </c>
      <c r="K876" s="50">
        <f>ABS(Table13[[#This Row],[Stock Difference]])</f>
        <v>0</v>
      </c>
      <c r="L876" s="17">
        <f t="shared" si="39"/>
        <v>0</v>
      </c>
      <c r="M876" s="17">
        <f t="shared" si="40"/>
        <v>1560000</v>
      </c>
      <c r="N876" s="17" t="str" cm="1">
        <f t="array" ref="N876">_xlfn.IFS(K876=0,"Matched", K876&gt;100,"High", K876&gt;=50,"Medium", K876&lt;50,"Low")</f>
        <v>Matched</v>
      </c>
      <c r="O876" s="17" t="str">
        <f t="shared" si="41"/>
        <v>No Match</v>
      </c>
    </row>
    <row r="877" spans="2:15" hidden="1" x14ac:dyDescent="0.3">
      <c r="B877" s="7">
        <v>875</v>
      </c>
      <c r="C877" s="3" t="s">
        <v>881</v>
      </c>
      <c r="D877" s="2" t="s">
        <v>1048</v>
      </c>
      <c r="E877" s="3" t="s">
        <v>1010</v>
      </c>
      <c r="F877" s="3">
        <v>100</v>
      </c>
      <c r="G877" s="3">
        <v>100</v>
      </c>
      <c r="H877" s="8">
        <v>50</v>
      </c>
      <c r="I877" s="48">
        <f>Table13[[#This Row],[Physical_Stock_Qty]]-Table13[[#This Row],[System_Stock_Qty]]</f>
        <v>0</v>
      </c>
      <c r="J877" s="53" t="str" cm="1">
        <f t="array" ref="J877">_xlfn.IFS(I877=0,"Matched",I877&gt;0,"Excess",I877&lt;0,"Shortage")</f>
        <v>Matched</v>
      </c>
      <c r="K877" s="50">
        <f>ABS(Table13[[#This Row],[Stock Difference]])</f>
        <v>0</v>
      </c>
      <c r="L877" s="17">
        <f t="shared" si="39"/>
        <v>0</v>
      </c>
      <c r="M877" s="17">
        <f t="shared" si="40"/>
        <v>5000</v>
      </c>
      <c r="N877" s="17" t="str" cm="1">
        <f t="array" ref="N877">_xlfn.IFS(K877=0,"Matched", K877&gt;100,"High", K877&gt;=50,"Medium", K877&lt;50,"Low")</f>
        <v>Matched</v>
      </c>
      <c r="O877" s="17" t="str">
        <f t="shared" si="41"/>
        <v>No Match</v>
      </c>
    </row>
    <row r="878" spans="2:15" hidden="1" x14ac:dyDescent="0.3">
      <c r="B878" s="7">
        <v>876</v>
      </c>
      <c r="C878" s="3" t="s">
        <v>882</v>
      </c>
      <c r="D878" s="2" t="s">
        <v>1044</v>
      </c>
      <c r="E878" s="3" t="s">
        <v>1010</v>
      </c>
      <c r="F878" s="3">
        <v>157</v>
      </c>
      <c r="G878" s="3">
        <v>157</v>
      </c>
      <c r="H878" s="8">
        <v>100</v>
      </c>
      <c r="I878" s="48">
        <f>Table13[[#This Row],[Physical_Stock_Qty]]-Table13[[#This Row],[System_Stock_Qty]]</f>
        <v>0</v>
      </c>
      <c r="J878" s="53" t="str" cm="1">
        <f t="array" ref="J878">_xlfn.IFS(I878=0,"Matched",I878&gt;0,"Excess",I878&lt;0,"Shortage")</f>
        <v>Matched</v>
      </c>
      <c r="K878" s="50">
        <f>ABS(Table13[[#This Row],[Stock Difference]])</f>
        <v>0</v>
      </c>
      <c r="L878" s="17">
        <f t="shared" si="39"/>
        <v>0</v>
      </c>
      <c r="M878" s="17">
        <f t="shared" si="40"/>
        <v>15700</v>
      </c>
      <c r="N878" s="17" t="str" cm="1">
        <f t="array" ref="N878">_xlfn.IFS(K878=0,"Matched", K878&gt;100,"High", K878&gt;=50,"Medium", K878&lt;50,"Low")</f>
        <v>Matched</v>
      </c>
      <c r="O878" s="17" t="str">
        <f t="shared" si="41"/>
        <v>No Match</v>
      </c>
    </row>
    <row r="879" spans="2:15" hidden="1" x14ac:dyDescent="0.3">
      <c r="B879" s="7">
        <v>877</v>
      </c>
      <c r="C879" s="3" t="s">
        <v>883</v>
      </c>
      <c r="D879" s="2" t="s">
        <v>1079</v>
      </c>
      <c r="E879" s="3" t="s">
        <v>1011</v>
      </c>
      <c r="F879" s="3">
        <v>54</v>
      </c>
      <c r="G879" s="3">
        <v>54</v>
      </c>
      <c r="H879" s="8">
        <v>5000</v>
      </c>
      <c r="I879" s="48">
        <f>Table13[[#This Row],[Physical_Stock_Qty]]-Table13[[#This Row],[System_Stock_Qty]]</f>
        <v>0</v>
      </c>
      <c r="J879" s="53" t="str" cm="1">
        <f t="array" ref="J879">_xlfn.IFS(I879=0,"Matched",I879&gt;0,"Excess",I879&lt;0,"Shortage")</f>
        <v>Matched</v>
      </c>
      <c r="K879" s="50">
        <f>ABS(Table13[[#This Row],[Stock Difference]])</f>
        <v>0</v>
      </c>
      <c r="L879" s="17">
        <f t="shared" si="39"/>
        <v>0</v>
      </c>
      <c r="M879" s="17">
        <f t="shared" si="40"/>
        <v>270000</v>
      </c>
      <c r="N879" s="17" t="str" cm="1">
        <f t="array" ref="N879">_xlfn.IFS(K879=0,"Matched", K879&gt;100,"High", K879&gt;=50,"Medium", K879&lt;50,"Low")</f>
        <v>Matched</v>
      </c>
      <c r="O879" s="17" t="str">
        <f t="shared" si="41"/>
        <v>No Match</v>
      </c>
    </row>
    <row r="880" spans="2:15" hidden="1" x14ac:dyDescent="0.3">
      <c r="B880" s="7">
        <v>878</v>
      </c>
      <c r="C880" s="3" t="s">
        <v>884</v>
      </c>
      <c r="D880" s="2" t="s">
        <v>1021</v>
      </c>
      <c r="E880" s="3" t="s">
        <v>1008</v>
      </c>
      <c r="F880" s="3">
        <v>36</v>
      </c>
      <c r="G880" s="3">
        <v>36</v>
      </c>
      <c r="H880" s="8">
        <v>20000</v>
      </c>
      <c r="I880" s="48">
        <f>Table13[[#This Row],[Physical_Stock_Qty]]-Table13[[#This Row],[System_Stock_Qty]]</f>
        <v>0</v>
      </c>
      <c r="J880" s="53" t="str" cm="1">
        <f t="array" ref="J880">_xlfn.IFS(I880=0,"Matched",I880&gt;0,"Excess",I880&lt;0,"Shortage")</f>
        <v>Matched</v>
      </c>
      <c r="K880" s="50">
        <f>ABS(Table13[[#This Row],[Stock Difference]])</f>
        <v>0</v>
      </c>
      <c r="L880" s="17">
        <f t="shared" si="39"/>
        <v>0</v>
      </c>
      <c r="M880" s="17">
        <f t="shared" si="40"/>
        <v>720000</v>
      </c>
      <c r="N880" s="17" t="str" cm="1">
        <f t="array" ref="N880">_xlfn.IFS(K880=0,"Matched", K880&gt;100,"High", K880&gt;=50,"Medium", K880&lt;50,"Low")</f>
        <v>Matched</v>
      </c>
      <c r="O880" s="17" t="str">
        <f t="shared" si="41"/>
        <v>No Match</v>
      </c>
    </row>
    <row r="881" spans="2:15" hidden="1" x14ac:dyDescent="0.3">
      <c r="B881" s="7">
        <v>879</v>
      </c>
      <c r="C881" s="3" t="s">
        <v>885</v>
      </c>
      <c r="D881" s="2" t="s">
        <v>1074</v>
      </c>
      <c r="E881" s="3" t="s">
        <v>1009</v>
      </c>
      <c r="F881" s="3">
        <v>93</v>
      </c>
      <c r="G881" s="3">
        <v>93</v>
      </c>
      <c r="H881" s="8">
        <v>500</v>
      </c>
      <c r="I881" s="48">
        <f>Table13[[#This Row],[Physical_Stock_Qty]]-Table13[[#This Row],[System_Stock_Qty]]</f>
        <v>0</v>
      </c>
      <c r="J881" s="53" t="str" cm="1">
        <f t="array" ref="J881">_xlfn.IFS(I881=0,"Matched",I881&gt;0,"Excess",I881&lt;0,"Shortage")</f>
        <v>Matched</v>
      </c>
      <c r="K881" s="50">
        <f>ABS(Table13[[#This Row],[Stock Difference]])</f>
        <v>0</v>
      </c>
      <c r="L881" s="17">
        <f t="shared" si="39"/>
        <v>0</v>
      </c>
      <c r="M881" s="17">
        <f t="shared" si="40"/>
        <v>46500</v>
      </c>
      <c r="N881" s="17" t="str" cm="1">
        <f t="array" ref="N881">_xlfn.IFS(K881=0,"Matched", K881&gt;100,"High", K881&gt;=50,"Medium", K881&lt;50,"Low")</f>
        <v>Matched</v>
      </c>
      <c r="O881" s="17" t="str">
        <f t="shared" si="41"/>
        <v>No Match</v>
      </c>
    </row>
    <row r="882" spans="2:15" hidden="1" x14ac:dyDescent="0.3">
      <c r="B882" s="7">
        <v>880</v>
      </c>
      <c r="C882" s="3" t="s">
        <v>886</v>
      </c>
      <c r="D882" s="2" t="s">
        <v>1058</v>
      </c>
      <c r="E882" s="3" t="s">
        <v>1012</v>
      </c>
      <c r="F882" s="3">
        <v>56</v>
      </c>
      <c r="G882" s="3">
        <v>56</v>
      </c>
      <c r="H882" s="8">
        <v>500</v>
      </c>
      <c r="I882" s="48">
        <f>Table13[[#This Row],[Physical_Stock_Qty]]-Table13[[#This Row],[System_Stock_Qty]]</f>
        <v>0</v>
      </c>
      <c r="J882" s="53" t="str" cm="1">
        <f t="array" ref="J882">_xlfn.IFS(I882=0,"Matched",I882&gt;0,"Excess",I882&lt;0,"Shortage")</f>
        <v>Matched</v>
      </c>
      <c r="K882" s="50">
        <f>ABS(Table13[[#This Row],[Stock Difference]])</f>
        <v>0</v>
      </c>
      <c r="L882" s="17">
        <f t="shared" si="39"/>
        <v>0</v>
      </c>
      <c r="M882" s="17">
        <f t="shared" si="40"/>
        <v>28000</v>
      </c>
      <c r="N882" s="17" t="str" cm="1">
        <f t="array" ref="N882">_xlfn.IFS(K882=0,"Matched", K882&gt;100,"High", K882&gt;=50,"Medium", K882&lt;50,"Low")</f>
        <v>Matched</v>
      </c>
      <c r="O882" s="17" t="str">
        <f t="shared" si="41"/>
        <v>No Match</v>
      </c>
    </row>
    <row r="883" spans="2:15" hidden="1" x14ac:dyDescent="0.3">
      <c r="B883" s="7">
        <v>881</v>
      </c>
      <c r="C883" s="3" t="s">
        <v>887</v>
      </c>
      <c r="D883" s="2" t="s">
        <v>1018</v>
      </c>
      <c r="E883" s="3" t="s">
        <v>1012</v>
      </c>
      <c r="F883" s="3">
        <v>100</v>
      </c>
      <c r="G883" s="3">
        <v>100</v>
      </c>
      <c r="H883" s="8">
        <v>3000</v>
      </c>
      <c r="I883" s="48">
        <f>Table13[[#This Row],[Physical_Stock_Qty]]-Table13[[#This Row],[System_Stock_Qty]]</f>
        <v>0</v>
      </c>
      <c r="J883" s="53" t="str" cm="1">
        <f t="array" ref="J883">_xlfn.IFS(I883=0,"Matched",I883&gt;0,"Excess",I883&lt;0,"Shortage")</f>
        <v>Matched</v>
      </c>
      <c r="K883" s="50">
        <f>ABS(Table13[[#This Row],[Stock Difference]])</f>
        <v>0</v>
      </c>
      <c r="L883" s="17">
        <f t="shared" si="39"/>
        <v>0</v>
      </c>
      <c r="M883" s="17">
        <f t="shared" si="40"/>
        <v>300000</v>
      </c>
      <c r="N883" s="17" t="str" cm="1">
        <f t="array" ref="N883">_xlfn.IFS(K883=0,"Matched", K883&gt;100,"High", K883&gt;=50,"Medium", K883&lt;50,"Low")</f>
        <v>Matched</v>
      </c>
      <c r="O883" s="17" t="str">
        <f t="shared" si="41"/>
        <v>No Match</v>
      </c>
    </row>
    <row r="884" spans="2:15" hidden="1" x14ac:dyDescent="0.3">
      <c r="B884" s="7">
        <v>882</v>
      </c>
      <c r="C884" s="3" t="s">
        <v>888</v>
      </c>
      <c r="D884" s="2" t="s">
        <v>1024</v>
      </c>
      <c r="E884" s="3" t="s">
        <v>1008</v>
      </c>
      <c r="F884" s="3">
        <v>184</v>
      </c>
      <c r="G884" s="3">
        <v>184</v>
      </c>
      <c r="H884" s="8">
        <v>150000</v>
      </c>
      <c r="I884" s="48">
        <f>Table13[[#This Row],[Physical_Stock_Qty]]-Table13[[#This Row],[System_Stock_Qty]]</f>
        <v>0</v>
      </c>
      <c r="J884" s="53" t="str" cm="1">
        <f t="array" ref="J884">_xlfn.IFS(I884=0,"Matched",I884&gt;0,"Excess",I884&lt;0,"Shortage")</f>
        <v>Matched</v>
      </c>
      <c r="K884" s="50">
        <f>ABS(Table13[[#This Row],[Stock Difference]])</f>
        <v>0</v>
      </c>
      <c r="L884" s="17">
        <f t="shared" si="39"/>
        <v>0</v>
      </c>
      <c r="M884" s="17">
        <f t="shared" si="40"/>
        <v>27600000</v>
      </c>
      <c r="N884" s="17" t="str" cm="1">
        <f t="array" ref="N884">_xlfn.IFS(K884=0,"Matched", K884&gt;100,"High", K884&gt;=50,"Medium", K884&lt;50,"Low")</f>
        <v>Matched</v>
      </c>
      <c r="O884" s="17" t="str">
        <f t="shared" si="41"/>
        <v>No Match</v>
      </c>
    </row>
    <row r="885" spans="2:15" hidden="1" x14ac:dyDescent="0.3">
      <c r="B885" s="7">
        <v>883</v>
      </c>
      <c r="C885" s="3" t="s">
        <v>889</v>
      </c>
      <c r="D885" s="2" t="s">
        <v>1075</v>
      </c>
      <c r="E885" s="3" t="s">
        <v>1009</v>
      </c>
      <c r="F885" s="3">
        <v>136</v>
      </c>
      <c r="G885" s="3">
        <v>136</v>
      </c>
      <c r="H885" s="8">
        <v>2000</v>
      </c>
      <c r="I885" s="48">
        <f>Table13[[#This Row],[Physical_Stock_Qty]]-Table13[[#This Row],[System_Stock_Qty]]</f>
        <v>0</v>
      </c>
      <c r="J885" s="53" t="str" cm="1">
        <f t="array" ref="J885">_xlfn.IFS(I885=0,"Matched",I885&gt;0,"Excess",I885&lt;0,"Shortage")</f>
        <v>Matched</v>
      </c>
      <c r="K885" s="50">
        <f>ABS(Table13[[#This Row],[Stock Difference]])</f>
        <v>0</v>
      </c>
      <c r="L885" s="17">
        <f t="shared" si="39"/>
        <v>0</v>
      </c>
      <c r="M885" s="17">
        <f t="shared" si="40"/>
        <v>272000</v>
      </c>
      <c r="N885" s="17" t="str" cm="1">
        <f t="array" ref="N885">_xlfn.IFS(K885=0,"Matched", K885&gt;100,"High", K885&gt;=50,"Medium", K885&lt;50,"Low")</f>
        <v>Matched</v>
      </c>
      <c r="O885" s="17" t="str">
        <f t="shared" si="41"/>
        <v>No Match</v>
      </c>
    </row>
    <row r="886" spans="2:15" hidden="1" x14ac:dyDescent="0.3">
      <c r="B886" s="7">
        <v>884</v>
      </c>
      <c r="C886" s="3" t="s">
        <v>890</v>
      </c>
      <c r="D886" s="2" t="s">
        <v>1060</v>
      </c>
      <c r="E886" s="3" t="s">
        <v>1012</v>
      </c>
      <c r="F886" s="3">
        <v>98</v>
      </c>
      <c r="G886" s="3">
        <v>98</v>
      </c>
      <c r="H886" s="8">
        <v>1500</v>
      </c>
      <c r="I886" s="48">
        <f>Table13[[#This Row],[Physical_Stock_Qty]]-Table13[[#This Row],[System_Stock_Qty]]</f>
        <v>0</v>
      </c>
      <c r="J886" s="53" t="str" cm="1">
        <f t="array" ref="J886">_xlfn.IFS(I886=0,"Matched",I886&gt;0,"Excess",I886&lt;0,"Shortage")</f>
        <v>Matched</v>
      </c>
      <c r="K886" s="50">
        <f>ABS(Table13[[#This Row],[Stock Difference]])</f>
        <v>0</v>
      </c>
      <c r="L886" s="17">
        <f t="shared" si="39"/>
        <v>0</v>
      </c>
      <c r="M886" s="17">
        <f t="shared" si="40"/>
        <v>147000</v>
      </c>
      <c r="N886" s="17" t="str" cm="1">
        <f t="array" ref="N886">_xlfn.IFS(K886=0,"Matched", K886&gt;100,"High", K886&gt;=50,"Medium", K886&lt;50,"Low")</f>
        <v>Matched</v>
      </c>
      <c r="O886" s="17" t="str">
        <f t="shared" si="41"/>
        <v>No Match</v>
      </c>
    </row>
    <row r="887" spans="2:15" hidden="1" x14ac:dyDescent="0.3">
      <c r="B887" s="7">
        <v>885</v>
      </c>
      <c r="C887" s="3" t="s">
        <v>891</v>
      </c>
      <c r="D887" s="2" t="s">
        <v>1048</v>
      </c>
      <c r="E887" s="3" t="s">
        <v>1010</v>
      </c>
      <c r="F887" s="3">
        <v>77</v>
      </c>
      <c r="G887" s="3">
        <v>77</v>
      </c>
      <c r="H887" s="8">
        <v>50</v>
      </c>
      <c r="I887" s="48">
        <f>Table13[[#This Row],[Physical_Stock_Qty]]-Table13[[#This Row],[System_Stock_Qty]]</f>
        <v>0</v>
      </c>
      <c r="J887" s="53" t="str" cm="1">
        <f t="array" ref="J887">_xlfn.IFS(I887=0,"Matched",I887&gt;0,"Excess",I887&lt;0,"Shortage")</f>
        <v>Matched</v>
      </c>
      <c r="K887" s="50">
        <f>ABS(Table13[[#This Row],[Stock Difference]])</f>
        <v>0</v>
      </c>
      <c r="L887" s="17">
        <f t="shared" si="39"/>
        <v>0</v>
      </c>
      <c r="M887" s="17">
        <f t="shared" si="40"/>
        <v>3850</v>
      </c>
      <c r="N887" s="17" t="str" cm="1">
        <f t="array" ref="N887">_xlfn.IFS(K887=0,"Matched", K887&gt;100,"High", K887&gt;=50,"Medium", K887&lt;50,"Low")</f>
        <v>Matched</v>
      </c>
      <c r="O887" s="17" t="str">
        <f t="shared" si="41"/>
        <v>No Match</v>
      </c>
    </row>
    <row r="888" spans="2:15" hidden="1" x14ac:dyDescent="0.3">
      <c r="B888" s="7">
        <v>886</v>
      </c>
      <c r="C888" s="3" t="s">
        <v>892</v>
      </c>
      <c r="D888" s="2" t="s">
        <v>1083</v>
      </c>
      <c r="E888" s="3" t="s">
        <v>1011</v>
      </c>
      <c r="F888" s="3">
        <v>136</v>
      </c>
      <c r="G888" s="3">
        <v>136</v>
      </c>
      <c r="H888" s="8">
        <v>3000</v>
      </c>
      <c r="I888" s="48">
        <f>Table13[[#This Row],[Physical_Stock_Qty]]-Table13[[#This Row],[System_Stock_Qty]]</f>
        <v>0</v>
      </c>
      <c r="J888" s="53" t="str" cm="1">
        <f t="array" ref="J888">_xlfn.IFS(I888=0,"Matched",I888&gt;0,"Excess",I888&lt;0,"Shortage")</f>
        <v>Matched</v>
      </c>
      <c r="K888" s="50">
        <f>ABS(Table13[[#This Row],[Stock Difference]])</f>
        <v>0</v>
      </c>
      <c r="L888" s="17">
        <f t="shared" si="39"/>
        <v>0</v>
      </c>
      <c r="M888" s="17">
        <f t="shared" si="40"/>
        <v>408000</v>
      </c>
      <c r="N888" s="17" t="str" cm="1">
        <f t="array" ref="N888">_xlfn.IFS(K888=0,"Matched", K888&gt;100,"High", K888&gt;=50,"Medium", K888&lt;50,"Low")</f>
        <v>Matched</v>
      </c>
      <c r="O888" s="17" t="str">
        <f t="shared" si="41"/>
        <v>No Match</v>
      </c>
    </row>
    <row r="889" spans="2:15" hidden="1" x14ac:dyDescent="0.3">
      <c r="B889" s="7">
        <v>887</v>
      </c>
      <c r="C889" s="3" t="s">
        <v>893</v>
      </c>
      <c r="D889" s="2" t="s">
        <v>1049</v>
      </c>
      <c r="E889" s="3" t="s">
        <v>1010</v>
      </c>
      <c r="F889" s="3">
        <v>89</v>
      </c>
      <c r="G889" s="3">
        <v>89</v>
      </c>
      <c r="H889" s="8">
        <v>20</v>
      </c>
      <c r="I889" s="48">
        <f>Table13[[#This Row],[Physical_Stock_Qty]]-Table13[[#This Row],[System_Stock_Qty]]</f>
        <v>0</v>
      </c>
      <c r="J889" s="53" t="str" cm="1">
        <f t="array" ref="J889">_xlfn.IFS(I889=0,"Matched",I889&gt;0,"Excess",I889&lt;0,"Shortage")</f>
        <v>Matched</v>
      </c>
      <c r="K889" s="50">
        <f>ABS(Table13[[#This Row],[Stock Difference]])</f>
        <v>0</v>
      </c>
      <c r="L889" s="17">
        <f t="shared" si="39"/>
        <v>0</v>
      </c>
      <c r="M889" s="17">
        <f t="shared" si="40"/>
        <v>1780</v>
      </c>
      <c r="N889" s="17" t="str" cm="1">
        <f t="array" ref="N889">_xlfn.IFS(K889=0,"Matched", K889&gt;100,"High", K889&gt;=50,"Medium", K889&lt;50,"Low")</f>
        <v>Matched</v>
      </c>
      <c r="O889" s="17" t="str">
        <f t="shared" si="41"/>
        <v>No Match</v>
      </c>
    </row>
    <row r="890" spans="2:15" hidden="1" x14ac:dyDescent="0.3">
      <c r="B890" s="7">
        <v>888</v>
      </c>
      <c r="C890" s="3" t="s">
        <v>894</v>
      </c>
      <c r="D890" s="2" t="s">
        <v>1051</v>
      </c>
      <c r="E890" s="3" t="s">
        <v>1010</v>
      </c>
      <c r="F890" s="3">
        <v>105</v>
      </c>
      <c r="G890" s="3">
        <v>105</v>
      </c>
      <c r="H890" s="8">
        <v>50</v>
      </c>
      <c r="I890" s="48">
        <f>Table13[[#This Row],[Physical_Stock_Qty]]-Table13[[#This Row],[System_Stock_Qty]]</f>
        <v>0</v>
      </c>
      <c r="J890" s="53" t="str" cm="1">
        <f t="array" ref="J890">_xlfn.IFS(I890=0,"Matched",I890&gt;0,"Excess",I890&lt;0,"Shortage")</f>
        <v>Matched</v>
      </c>
      <c r="K890" s="50">
        <f>ABS(Table13[[#This Row],[Stock Difference]])</f>
        <v>0</v>
      </c>
      <c r="L890" s="17">
        <f t="shared" si="39"/>
        <v>0</v>
      </c>
      <c r="M890" s="17">
        <f t="shared" si="40"/>
        <v>5250</v>
      </c>
      <c r="N890" s="17" t="str" cm="1">
        <f t="array" ref="N890">_xlfn.IFS(K890=0,"Matched", K890&gt;100,"High", K890&gt;=50,"Medium", K890&lt;50,"Low")</f>
        <v>Matched</v>
      </c>
      <c r="O890" s="17" t="str">
        <f t="shared" si="41"/>
        <v>No Match</v>
      </c>
    </row>
    <row r="891" spans="2:15" hidden="1" x14ac:dyDescent="0.3">
      <c r="B891" s="7">
        <v>889</v>
      </c>
      <c r="C891" s="3" t="s">
        <v>895</v>
      </c>
      <c r="D891" s="2" t="s">
        <v>1051</v>
      </c>
      <c r="E891" s="3" t="s">
        <v>1010</v>
      </c>
      <c r="F891" s="3">
        <v>183</v>
      </c>
      <c r="G891" s="3">
        <v>183</v>
      </c>
      <c r="H891" s="8">
        <v>50</v>
      </c>
      <c r="I891" s="48">
        <f>Table13[[#This Row],[Physical_Stock_Qty]]-Table13[[#This Row],[System_Stock_Qty]]</f>
        <v>0</v>
      </c>
      <c r="J891" s="53" t="str" cm="1">
        <f t="array" ref="J891">_xlfn.IFS(I891=0,"Matched",I891&gt;0,"Excess",I891&lt;0,"Shortage")</f>
        <v>Matched</v>
      </c>
      <c r="K891" s="50">
        <f>ABS(Table13[[#This Row],[Stock Difference]])</f>
        <v>0</v>
      </c>
      <c r="L891" s="17">
        <f t="shared" si="39"/>
        <v>0</v>
      </c>
      <c r="M891" s="17">
        <f t="shared" si="40"/>
        <v>9150</v>
      </c>
      <c r="N891" s="17" t="str" cm="1">
        <f t="array" ref="N891">_xlfn.IFS(K891=0,"Matched", K891&gt;100,"High", K891&gt;=50,"Medium", K891&lt;50,"Low")</f>
        <v>Matched</v>
      </c>
      <c r="O891" s="17" t="str">
        <f t="shared" si="41"/>
        <v>No Match</v>
      </c>
    </row>
    <row r="892" spans="2:15" hidden="1" x14ac:dyDescent="0.3">
      <c r="B892" s="7">
        <v>890</v>
      </c>
      <c r="C892" s="3" t="s">
        <v>896</v>
      </c>
      <c r="D892" s="2" t="s">
        <v>1057</v>
      </c>
      <c r="E892" s="3" t="s">
        <v>1012</v>
      </c>
      <c r="F892" s="3">
        <v>156</v>
      </c>
      <c r="G892" s="3">
        <v>156</v>
      </c>
      <c r="H892" s="8">
        <v>500</v>
      </c>
      <c r="I892" s="48">
        <f>Table13[[#This Row],[Physical_Stock_Qty]]-Table13[[#This Row],[System_Stock_Qty]]</f>
        <v>0</v>
      </c>
      <c r="J892" s="53" t="str" cm="1">
        <f t="array" ref="J892">_xlfn.IFS(I892=0,"Matched",I892&gt;0,"Excess",I892&lt;0,"Shortage")</f>
        <v>Matched</v>
      </c>
      <c r="K892" s="50">
        <f>ABS(Table13[[#This Row],[Stock Difference]])</f>
        <v>0</v>
      </c>
      <c r="L892" s="17">
        <f t="shared" si="39"/>
        <v>0</v>
      </c>
      <c r="M892" s="17">
        <f t="shared" si="40"/>
        <v>78000</v>
      </c>
      <c r="N892" s="17" t="str" cm="1">
        <f t="array" ref="N892">_xlfn.IFS(K892=0,"Matched", K892&gt;100,"High", K892&gt;=50,"Medium", K892&lt;50,"Low")</f>
        <v>Matched</v>
      </c>
      <c r="O892" s="17" t="str">
        <f t="shared" si="41"/>
        <v>No Match</v>
      </c>
    </row>
    <row r="893" spans="2:15" hidden="1" x14ac:dyDescent="0.3">
      <c r="B893" s="7">
        <v>891</v>
      </c>
      <c r="C893" s="3" t="s">
        <v>897</v>
      </c>
      <c r="D893" s="2" t="s">
        <v>1043</v>
      </c>
      <c r="E893" s="3" t="s">
        <v>1010</v>
      </c>
      <c r="F893" s="3">
        <v>50</v>
      </c>
      <c r="G893" s="3">
        <v>50</v>
      </c>
      <c r="H893" s="8">
        <v>50</v>
      </c>
      <c r="I893" s="48">
        <f>Table13[[#This Row],[Physical_Stock_Qty]]-Table13[[#This Row],[System_Stock_Qty]]</f>
        <v>0</v>
      </c>
      <c r="J893" s="53" t="str" cm="1">
        <f t="array" ref="J893">_xlfn.IFS(I893=0,"Matched",I893&gt;0,"Excess",I893&lt;0,"Shortage")</f>
        <v>Matched</v>
      </c>
      <c r="K893" s="50">
        <f>ABS(Table13[[#This Row],[Stock Difference]])</f>
        <v>0</v>
      </c>
      <c r="L893" s="17">
        <f t="shared" si="39"/>
        <v>0</v>
      </c>
      <c r="M893" s="17">
        <f t="shared" si="40"/>
        <v>2500</v>
      </c>
      <c r="N893" s="17" t="str" cm="1">
        <f t="array" ref="N893">_xlfn.IFS(K893=0,"Matched", K893&gt;100,"High", K893&gt;=50,"Medium", K893&lt;50,"Low")</f>
        <v>Matched</v>
      </c>
      <c r="O893" s="17" t="str">
        <f t="shared" si="41"/>
        <v>No Match</v>
      </c>
    </row>
    <row r="894" spans="2:15" hidden="1" x14ac:dyDescent="0.3">
      <c r="B894" s="7">
        <v>892</v>
      </c>
      <c r="C894" s="3" t="s">
        <v>898</v>
      </c>
      <c r="D894" s="2" t="s">
        <v>1046</v>
      </c>
      <c r="E894" s="3" t="s">
        <v>1010</v>
      </c>
      <c r="F894" s="3">
        <v>159</v>
      </c>
      <c r="G894" s="3">
        <v>159</v>
      </c>
      <c r="H894" s="8">
        <v>100</v>
      </c>
      <c r="I894" s="48">
        <f>Table13[[#This Row],[Physical_Stock_Qty]]-Table13[[#This Row],[System_Stock_Qty]]</f>
        <v>0</v>
      </c>
      <c r="J894" s="53" t="str" cm="1">
        <f t="array" ref="J894">_xlfn.IFS(I894=0,"Matched",I894&gt;0,"Excess",I894&lt;0,"Shortage")</f>
        <v>Matched</v>
      </c>
      <c r="K894" s="50">
        <f>ABS(Table13[[#This Row],[Stock Difference]])</f>
        <v>0</v>
      </c>
      <c r="L894" s="17">
        <f t="shared" si="39"/>
        <v>0</v>
      </c>
      <c r="M894" s="17">
        <f t="shared" si="40"/>
        <v>15900</v>
      </c>
      <c r="N894" s="17" t="str" cm="1">
        <f t="array" ref="N894">_xlfn.IFS(K894=0,"Matched", K894&gt;100,"High", K894&gt;=50,"Medium", K894&lt;50,"Low")</f>
        <v>Matched</v>
      </c>
      <c r="O894" s="17" t="str">
        <f t="shared" si="41"/>
        <v>No Match</v>
      </c>
    </row>
    <row r="895" spans="2:15" hidden="1" x14ac:dyDescent="0.3">
      <c r="B895" s="7">
        <v>893</v>
      </c>
      <c r="C895" s="3" t="s">
        <v>899</v>
      </c>
      <c r="D895" s="2" t="s">
        <v>1047</v>
      </c>
      <c r="E895" s="3" t="s">
        <v>1010</v>
      </c>
      <c r="F895" s="3">
        <v>116</v>
      </c>
      <c r="G895" s="3">
        <v>116</v>
      </c>
      <c r="H895" s="8">
        <v>500</v>
      </c>
      <c r="I895" s="48">
        <f>Table13[[#This Row],[Physical_Stock_Qty]]-Table13[[#This Row],[System_Stock_Qty]]</f>
        <v>0</v>
      </c>
      <c r="J895" s="53" t="str" cm="1">
        <f t="array" ref="J895">_xlfn.IFS(I895=0,"Matched",I895&gt;0,"Excess",I895&lt;0,"Shortage")</f>
        <v>Matched</v>
      </c>
      <c r="K895" s="50">
        <f>ABS(Table13[[#This Row],[Stock Difference]])</f>
        <v>0</v>
      </c>
      <c r="L895" s="17">
        <f t="shared" si="39"/>
        <v>0</v>
      </c>
      <c r="M895" s="17">
        <f t="shared" si="40"/>
        <v>58000</v>
      </c>
      <c r="N895" s="17" t="str" cm="1">
        <f t="array" ref="N895">_xlfn.IFS(K895=0,"Matched", K895&gt;100,"High", K895&gt;=50,"Medium", K895&lt;50,"Low")</f>
        <v>Matched</v>
      </c>
      <c r="O895" s="17" t="str">
        <f t="shared" si="41"/>
        <v>No Match</v>
      </c>
    </row>
    <row r="896" spans="2:15" hidden="1" x14ac:dyDescent="0.3">
      <c r="B896" s="7">
        <v>894</v>
      </c>
      <c r="C896" s="3" t="s">
        <v>900</v>
      </c>
      <c r="D896" s="2" t="s">
        <v>1074</v>
      </c>
      <c r="E896" s="3" t="s">
        <v>1009</v>
      </c>
      <c r="F896" s="3">
        <v>54</v>
      </c>
      <c r="G896" s="3">
        <v>54</v>
      </c>
      <c r="H896" s="8">
        <v>500</v>
      </c>
      <c r="I896" s="48">
        <f>Table13[[#This Row],[Physical_Stock_Qty]]-Table13[[#This Row],[System_Stock_Qty]]</f>
        <v>0</v>
      </c>
      <c r="J896" s="53" t="str" cm="1">
        <f t="array" ref="J896">_xlfn.IFS(I896=0,"Matched",I896&gt;0,"Excess",I896&lt;0,"Shortage")</f>
        <v>Matched</v>
      </c>
      <c r="K896" s="50">
        <f>ABS(Table13[[#This Row],[Stock Difference]])</f>
        <v>0</v>
      </c>
      <c r="L896" s="17">
        <f t="shared" si="39"/>
        <v>0</v>
      </c>
      <c r="M896" s="17">
        <f t="shared" si="40"/>
        <v>27000</v>
      </c>
      <c r="N896" s="17" t="str" cm="1">
        <f t="array" ref="N896">_xlfn.IFS(K896=0,"Matched", K896&gt;100,"High", K896&gt;=50,"Medium", K896&lt;50,"Low")</f>
        <v>Matched</v>
      </c>
      <c r="O896" s="17" t="str">
        <f t="shared" si="41"/>
        <v>No Match</v>
      </c>
    </row>
    <row r="897" spans="2:15" hidden="1" x14ac:dyDescent="0.3">
      <c r="B897" s="7">
        <v>895</v>
      </c>
      <c r="C897" s="3" t="s">
        <v>901</v>
      </c>
      <c r="D897" s="2" t="s">
        <v>1018</v>
      </c>
      <c r="E897" s="3" t="s">
        <v>1012</v>
      </c>
      <c r="F897" s="3">
        <v>58</v>
      </c>
      <c r="G897" s="3">
        <v>58</v>
      </c>
      <c r="H897" s="8">
        <v>3000</v>
      </c>
      <c r="I897" s="48">
        <f>Table13[[#This Row],[Physical_Stock_Qty]]-Table13[[#This Row],[System_Stock_Qty]]</f>
        <v>0</v>
      </c>
      <c r="J897" s="53" t="str" cm="1">
        <f t="array" ref="J897">_xlfn.IFS(I897=0,"Matched",I897&gt;0,"Excess",I897&lt;0,"Shortage")</f>
        <v>Matched</v>
      </c>
      <c r="K897" s="50">
        <f>ABS(Table13[[#This Row],[Stock Difference]])</f>
        <v>0</v>
      </c>
      <c r="L897" s="17">
        <f t="shared" si="39"/>
        <v>0</v>
      </c>
      <c r="M897" s="17">
        <f t="shared" si="40"/>
        <v>174000</v>
      </c>
      <c r="N897" s="17" t="str" cm="1">
        <f t="array" ref="N897">_xlfn.IFS(K897=0,"Matched", K897&gt;100,"High", K897&gt;=50,"Medium", K897&lt;50,"Low")</f>
        <v>Matched</v>
      </c>
      <c r="O897" s="17" t="str">
        <f t="shared" si="41"/>
        <v>No Match</v>
      </c>
    </row>
    <row r="898" spans="2:15" hidden="1" x14ac:dyDescent="0.3">
      <c r="B898" s="7">
        <v>896</v>
      </c>
      <c r="C898" s="3" t="s">
        <v>902</v>
      </c>
      <c r="D898" s="2" t="s">
        <v>1042</v>
      </c>
      <c r="E898" s="3" t="s">
        <v>1007</v>
      </c>
      <c r="F898" s="3">
        <v>198</v>
      </c>
      <c r="G898" s="3">
        <v>198</v>
      </c>
      <c r="H898" s="8">
        <v>3000</v>
      </c>
      <c r="I898" s="48">
        <f>Table13[[#This Row],[Physical_Stock_Qty]]-Table13[[#This Row],[System_Stock_Qty]]</f>
        <v>0</v>
      </c>
      <c r="J898" s="53" t="str" cm="1">
        <f t="array" ref="J898">_xlfn.IFS(I898=0,"Matched",I898&gt;0,"Excess",I898&lt;0,"Shortage")</f>
        <v>Matched</v>
      </c>
      <c r="K898" s="50">
        <f>ABS(Table13[[#This Row],[Stock Difference]])</f>
        <v>0</v>
      </c>
      <c r="L898" s="17">
        <f t="shared" si="39"/>
        <v>0</v>
      </c>
      <c r="M898" s="17">
        <f t="shared" si="40"/>
        <v>594000</v>
      </c>
      <c r="N898" s="17" t="str" cm="1">
        <f t="array" ref="N898">_xlfn.IFS(K898=0,"Matched", K898&gt;100,"High", K898&gt;=50,"Medium", K898&lt;50,"Low")</f>
        <v>Matched</v>
      </c>
      <c r="O898" s="17" t="str">
        <f t="shared" si="41"/>
        <v>No Match</v>
      </c>
    </row>
    <row r="899" spans="2:15" hidden="1" x14ac:dyDescent="0.3">
      <c r="B899" s="7">
        <v>897</v>
      </c>
      <c r="C899" s="3" t="s">
        <v>903</v>
      </c>
      <c r="D899" s="2" t="s">
        <v>1062</v>
      </c>
      <c r="E899" s="3" t="s">
        <v>1009</v>
      </c>
      <c r="F899" s="3">
        <v>167</v>
      </c>
      <c r="G899" s="3">
        <v>167</v>
      </c>
      <c r="H899" s="8">
        <v>100</v>
      </c>
      <c r="I899" s="48">
        <f>Table13[[#This Row],[Physical_Stock_Qty]]-Table13[[#This Row],[System_Stock_Qty]]</f>
        <v>0</v>
      </c>
      <c r="J899" s="53" t="str" cm="1">
        <f t="array" ref="J899">_xlfn.IFS(I899=0,"Matched",I899&gt;0,"Excess",I899&lt;0,"Shortage")</f>
        <v>Matched</v>
      </c>
      <c r="K899" s="50">
        <f>ABS(Table13[[#This Row],[Stock Difference]])</f>
        <v>0</v>
      </c>
      <c r="L899" s="17">
        <f t="shared" si="39"/>
        <v>0</v>
      </c>
      <c r="M899" s="17">
        <f t="shared" si="40"/>
        <v>16700</v>
      </c>
      <c r="N899" s="17" t="str" cm="1">
        <f t="array" ref="N899">_xlfn.IFS(K899=0,"Matched", K899&gt;100,"High", K899&gt;=50,"Medium", K899&lt;50,"Low")</f>
        <v>Matched</v>
      </c>
      <c r="O899" s="17" t="str">
        <f t="shared" si="41"/>
        <v>No Match</v>
      </c>
    </row>
    <row r="900" spans="2:15" hidden="1" x14ac:dyDescent="0.3">
      <c r="B900" s="7">
        <v>898</v>
      </c>
      <c r="C900" s="3" t="s">
        <v>904</v>
      </c>
      <c r="D900" s="2" t="s">
        <v>1038</v>
      </c>
      <c r="E900" s="3" t="s">
        <v>1007</v>
      </c>
      <c r="F900" s="3">
        <v>48</v>
      </c>
      <c r="G900" s="3">
        <v>48</v>
      </c>
      <c r="H900" s="8">
        <v>5000</v>
      </c>
      <c r="I900" s="48">
        <f>Table13[[#This Row],[Physical_Stock_Qty]]-Table13[[#This Row],[System_Stock_Qty]]</f>
        <v>0</v>
      </c>
      <c r="J900" s="53" t="str" cm="1">
        <f t="array" ref="J900">_xlfn.IFS(I900=0,"Matched",I900&gt;0,"Excess",I900&lt;0,"Shortage")</f>
        <v>Matched</v>
      </c>
      <c r="K900" s="50">
        <f>ABS(Table13[[#This Row],[Stock Difference]])</f>
        <v>0</v>
      </c>
      <c r="L900" s="17">
        <f t="shared" ref="L900:L963" si="42">(K900*H900)</f>
        <v>0</v>
      </c>
      <c r="M900" s="17">
        <f t="shared" ref="M900:M963" si="43">F900*H900</f>
        <v>240000</v>
      </c>
      <c r="N900" s="17" t="str" cm="1">
        <f t="array" ref="N900">_xlfn.IFS(K900=0,"Matched", K900&gt;100,"High", K900&gt;=50,"Medium", K900&lt;50,"Low")</f>
        <v>Matched</v>
      </c>
      <c r="O900" s="17" t="str">
        <f t="shared" ref="O900:O963" si="44">IF(L900&gt;500000,"Yes",IF(L900=0,"No Match","No"))</f>
        <v>No Match</v>
      </c>
    </row>
    <row r="901" spans="2:15" hidden="1" x14ac:dyDescent="0.3">
      <c r="B901" s="7">
        <v>899</v>
      </c>
      <c r="C901" s="3" t="s">
        <v>905</v>
      </c>
      <c r="D901" s="2" t="s">
        <v>1076</v>
      </c>
      <c r="E901" s="3" t="s">
        <v>1009</v>
      </c>
      <c r="F901" s="3">
        <v>36</v>
      </c>
      <c r="G901" s="3">
        <v>36</v>
      </c>
      <c r="H901" s="8">
        <v>100</v>
      </c>
      <c r="I901" s="48">
        <f>Table13[[#This Row],[Physical_Stock_Qty]]-Table13[[#This Row],[System_Stock_Qty]]</f>
        <v>0</v>
      </c>
      <c r="J901" s="53" t="str" cm="1">
        <f t="array" ref="J901">_xlfn.IFS(I901=0,"Matched",I901&gt;0,"Excess",I901&lt;0,"Shortage")</f>
        <v>Matched</v>
      </c>
      <c r="K901" s="50">
        <f>ABS(Table13[[#This Row],[Stock Difference]])</f>
        <v>0</v>
      </c>
      <c r="L901" s="17">
        <f t="shared" si="42"/>
        <v>0</v>
      </c>
      <c r="M901" s="17">
        <f t="shared" si="43"/>
        <v>3600</v>
      </c>
      <c r="N901" s="17" t="str" cm="1">
        <f t="array" ref="N901">_xlfn.IFS(K901=0,"Matched", K901&gt;100,"High", K901&gt;=50,"Medium", K901&lt;50,"Low")</f>
        <v>Matched</v>
      </c>
      <c r="O901" s="17" t="str">
        <f t="shared" si="44"/>
        <v>No Match</v>
      </c>
    </row>
    <row r="902" spans="2:15" hidden="1" x14ac:dyDescent="0.3">
      <c r="B902" s="7">
        <v>900</v>
      </c>
      <c r="C902" s="3" t="s">
        <v>906</v>
      </c>
      <c r="D902" s="2" t="s">
        <v>1030</v>
      </c>
      <c r="E902" s="3" t="s">
        <v>1008</v>
      </c>
      <c r="F902" s="3">
        <v>43</v>
      </c>
      <c r="G902" s="3">
        <v>43</v>
      </c>
      <c r="H902" s="8">
        <v>70000</v>
      </c>
      <c r="I902" s="48">
        <f>Table13[[#This Row],[Physical_Stock_Qty]]-Table13[[#This Row],[System_Stock_Qty]]</f>
        <v>0</v>
      </c>
      <c r="J902" s="53" t="str" cm="1">
        <f t="array" ref="J902">_xlfn.IFS(I902=0,"Matched",I902&gt;0,"Excess",I902&lt;0,"Shortage")</f>
        <v>Matched</v>
      </c>
      <c r="K902" s="50">
        <f>ABS(Table13[[#This Row],[Stock Difference]])</f>
        <v>0</v>
      </c>
      <c r="L902" s="17">
        <f t="shared" si="42"/>
        <v>0</v>
      </c>
      <c r="M902" s="17">
        <f t="shared" si="43"/>
        <v>3010000</v>
      </c>
      <c r="N902" s="17" t="str" cm="1">
        <f t="array" ref="N902">_xlfn.IFS(K902=0,"Matched", K902&gt;100,"High", K902&gt;=50,"Medium", K902&lt;50,"Low")</f>
        <v>Matched</v>
      </c>
      <c r="O902" s="17" t="str">
        <f t="shared" si="44"/>
        <v>No Match</v>
      </c>
    </row>
    <row r="903" spans="2:15" hidden="1" x14ac:dyDescent="0.3">
      <c r="B903" s="7">
        <v>901</v>
      </c>
      <c r="C903" s="3" t="s">
        <v>907</v>
      </c>
      <c r="D903" s="2" t="s">
        <v>1065</v>
      </c>
      <c r="E903" s="3" t="s">
        <v>1009</v>
      </c>
      <c r="F903" s="3">
        <v>35</v>
      </c>
      <c r="G903" s="3">
        <v>35</v>
      </c>
      <c r="H903" s="8">
        <v>200</v>
      </c>
      <c r="I903" s="48">
        <f>Table13[[#This Row],[Physical_Stock_Qty]]-Table13[[#This Row],[System_Stock_Qty]]</f>
        <v>0</v>
      </c>
      <c r="J903" s="53" t="str" cm="1">
        <f t="array" ref="J903">_xlfn.IFS(I903=0,"Matched",I903&gt;0,"Excess",I903&lt;0,"Shortage")</f>
        <v>Matched</v>
      </c>
      <c r="K903" s="50">
        <f>ABS(Table13[[#This Row],[Stock Difference]])</f>
        <v>0</v>
      </c>
      <c r="L903" s="17">
        <f t="shared" si="42"/>
        <v>0</v>
      </c>
      <c r="M903" s="17">
        <f t="shared" si="43"/>
        <v>7000</v>
      </c>
      <c r="N903" s="17" t="str" cm="1">
        <f t="array" ref="N903">_xlfn.IFS(K903=0,"Matched", K903&gt;100,"High", K903&gt;=50,"Medium", K903&lt;50,"Low")</f>
        <v>Matched</v>
      </c>
      <c r="O903" s="17" t="str">
        <f t="shared" si="44"/>
        <v>No Match</v>
      </c>
    </row>
    <row r="904" spans="2:15" hidden="1" x14ac:dyDescent="0.3">
      <c r="B904" s="7">
        <v>902</v>
      </c>
      <c r="C904" s="3" t="s">
        <v>908</v>
      </c>
      <c r="D904" s="2" t="s">
        <v>1071</v>
      </c>
      <c r="E904" s="3" t="s">
        <v>1009</v>
      </c>
      <c r="F904" s="3">
        <v>80</v>
      </c>
      <c r="G904" s="3">
        <v>80</v>
      </c>
      <c r="H904" s="8">
        <v>200</v>
      </c>
      <c r="I904" s="48">
        <f>Table13[[#This Row],[Physical_Stock_Qty]]-Table13[[#This Row],[System_Stock_Qty]]</f>
        <v>0</v>
      </c>
      <c r="J904" s="53" t="str" cm="1">
        <f t="array" ref="J904">_xlfn.IFS(I904=0,"Matched",I904&gt;0,"Excess",I904&lt;0,"Shortage")</f>
        <v>Matched</v>
      </c>
      <c r="K904" s="50">
        <f>ABS(Table13[[#This Row],[Stock Difference]])</f>
        <v>0</v>
      </c>
      <c r="L904" s="17">
        <f t="shared" si="42"/>
        <v>0</v>
      </c>
      <c r="M904" s="17">
        <f t="shared" si="43"/>
        <v>16000</v>
      </c>
      <c r="N904" s="17" t="str" cm="1">
        <f t="array" ref="N904">_xlfn.IFS(K904=0,"Matched", K904&gt;100,"High", K904&gt;=50,"Medium", K904&lt;50,"Low")</f>
        <v>Matched</v>
      </c>
      <c r="O904" s="17" t="str">
        <f t="shared" si="44"/>
        <v>No Match</v>
      </c>
    </row>
    <row r="905" spans="2:15" hidden="1" x14ac:dyDescent="0.3">
      <c r="B905" s="7">
        <v>903</v>
      </c>
      <c r="C905" s="3" t="s">
        <v>909</v>
      </c>
      <c r="D905" s="2" t="s">
        <v>1078</v>
      </c>
      <c r="E905" s="3" t="s">
        <v>1011</v>
      </c>
      <c r="F905" s="3">
        <v>72</v>
      </c>
      <c r="G905" s="3">
        <v>72</v>
      </c>
      <c r="H905" s="8">
        <v>200</v>
      </c>
      <c r="I905" s="48">
        <f>Table13[[#This Row],[Physical_Stock_Qty]]-Table13[[#This Row],[System_Stock_Qty]]</f>
        <v>0</v>
      </c>
      <c r="J905" s="53" t="str" cm="1">
        <f t="array" ref="J905">_xlfn.IFS(I905=0,"Matched",I905&gt;0,"Excess",I905&lt;0,"Shortage")</f>
        <v>Matched</v>
      </c>
      <c r="K905" s="50">
        <f>ABS(Table13[[#This Row],[Stock Difference]])</f>
        <v>0</v>
      </c>
      <c r="L905" s="17">
        <f t="shared" si="42"/>
        <v>0</v>
      </c>
      <c r="M905" s="17">
        <f t="shared" si="43"/>
        <v>14400</v>
      </c>
      <c r="N905" s="17" t="str" cm="1">
        <f t="array" ref="N905">_xlfn.IFS(K905=0,"Matched", K905&gt;100,"High", K905&gt;=50,"Medium", K905&lt;50,"Low")</f>
        <v>Matched</v>
      </c>
      <c r="O905" s="17" t="str">
        <f t="shared" si="44"/>
        <v>No Match</v>
      </c>
    </row>
    <row r="906" spans="2:15" hidden="1" x14ac:dyDescent="0.3">
      <c r="B906" s="7">
        <v>904</v>
      </c>
      <c r="C906" s="3" t="s">
        <v>910</v>
      </c>
      <c r="D906" s="2" t="s">
        <v>1052</v>
      </c>
      <c r="E906" s="3" t="s">
        <v>1010</v>
      </c>
      <c r="F906" s="3">
        <v>100</v>
      </c>
      <c r="G906" s="3">
        <v>100</v>
      </c>
      <c r="H906" s="8">
        <v>100</v>
      </c>
      <c r="I906" s="48">
        <f>Table13[[#This Row],[Physical_Stock_Qty]]-Table13[[#This Row],[System_Stock_Qty]]</f>
        <v>0</v>
      </c>
      <c r="J906" s="53" t="str" cm="1">
        <f t="array" ref="J906">_xlfn.IFS(I906=0,"Matched",I906&gt;0,"Excess",I906&lt;0,"Shortage")</f>
        <v>Matched</v>
      </c>
      <c r="K906" s="50">
        <f>ABS(Table13[[#This Row],[Stock Difference]])</f>
        <v>0</v>
      </c>
      <c r="L906" s="17">
        <f t="shared" si="42"/>
        <v>0</v>
      </c>
      <c r="M906" s="17">
        <f t="shared" si="43"/>
        <v>10000</v>
      </c>
      <c r="N906" s="17" t="str" cm="1">
        <f t="array" ref="N906">_xlfn.IFS(K906=0,"Matched", K906&gt;100,"High", K906&gt;=50,"Medium", K906&lt;50,"Low")</f>
        <v>Matched</v>
      </c>
      <c r="O906" s="17" t="str">
        <f t="shared" si="44"/>
        <v>No Match</v>
      </c>
    </row>
    <row r="907" spans="2:15" hidden="1" x14ac:dyDescent="0.3">
      <c r="B907" s="7">
        <v>905</v>
      </c>
      <c r="C907" s="3" t="s">
        <v>911</v>
      </c>
      <c r="D907" s="2" t="s">
        <v>1054</v>
      </c>
      <c r="E907" s="3" t="s">
        <v>1010</v>
      </c>
      <c r="F907" s="3">
        <v>74</v>
      </c>
      <c r="G907" s="3">
        <v>74</v>
      </c>
      <c r="H907" s="8">
        <v>30</v>
      </c>
      <c r="I907" s="48">
        <f>Table13[[#This Row],[Physical_Stock_Qty]]-Table13[[#This Row],[System_Stock_Qty]]</f>
        <v>0</v>
      </c>
      <c r="J907" s="53" t="str" cm="1">
        <f t="array" ref="J907">_xlfn.IFS(I907=0,"Matched",I907&gt;0,"Excess",I907&lt;0,"Shortage")</f>
        <v>Matched</v>
      </c>
      <c r="K907" s="50">
        <f>ABS(Table13[[#This Row],[Stock Difference]])</f>
        <v>0</v>
      </c>
      <c r="L907" s="17">
        <f t="shared" si="42"/>
        <v>0</v>
      </c>
      <c r="M907" s="17">
        <f t="shared" si="43"/>
        <v>2220</v>
      </c>
      <c r="N907" s="17" t="str" cm="1">
        <f t="array" ref="N907">_xlfn.IFS(K907=0,"Matched", K907&gt;100,"High", K907&gt;=50,"Medium", K907&lt;50,"Low")</f>
        <v>Matched</v>
      </c>
      <c r="O907" s="17" t="str">
        <f t="shared" si="44"/>
        <v>No Match</v>
      </c>
    </row>
    <row r="908" spans="2:15" hidden="1" x14ac:dyDescent="0.3">
      <c r="B908" s="7">
        <v>906</v>
      </c>
      <c r="C908" s="3" t="s">
        <v>912</v>
      </c>
      <c r="D908" s="2" t="s">
        <v>1037</v>
      </c>
      <c r="E908" s="3" t="s">
        <v>1007</v>
      </c>
      <c r="F908" s="3">
        <v>64</v>
      </c>
      <c r="G908" s="3">
        <v>64</v>
      </c>
      <c r="H908" s="8">
        <v>10000</v>
      </c>
      <c r="I908" s="48">
        <f>Table13[[#This Row],[Physical_Stock_Qty]]-Table13[[#This Row],[System_Stock_Qty]]</f>
        <v>0</v>
      </c>
      <c r="J908" s="53" t="str" cm="1">
        <f t="array" ref="J908">_xlfn.IFS(I908=0,"Matched",I908&gt;0,"Excess",I908&lt;0,"Shortage")</f>
        <v>Matched</v>
      </c>
      <c r="K908" s="50">
        <f>ABS(Table13[[#This Row],[Stock Difference]])</f>
        <v>0</v>
      </c>
      <c r="L908" s="17">
        <f t="shared" si="42"/>
        <v>0</v>
      </c>
      <c r="M908" s="17">
        <f t="shared" si="43"/>
        <v>640000</v>
      </c>
      <c r="N908" s="17" t="str" cm="1">
        <f t="array" ref="N908">_xlfn.IFS(K908=0,"Matched", K908&gt;100,"High", K908&gt;=50,"Medium", K908&lt;50,"Low")</f>
        <v>Matched</v>
      </c>
      <c r="O908" s="17" t="str">
        <f t="shared" si="44"/>
        <v>No Match</v>
      </c>
    </row>
    <row r="909" spans="2:15" hidden="1" x14ac:dyDescent="0.3">
      <c r="B909" s="7">
        <v>907</v>
      </c>
      <c r="C909" s="3" t="s">
        <v>913</v>
      </c>
      <c r="D909" s="2" t="s">
        <v>1061</v>
      </c>
      <c r="E909" s="3" t="s">
        <v>1012</v>
      </c>
      <c r="F909" s="3">
        <v>43</v>
      </c>
      <c r="G909" s="3">
        <v>43</v>
      </c>
      <c r="H909" s="8">
        <v>500</v>
      </c>
      <c r="I909" s="48">
        <f>Table13[[#This Row],[Physical_Stock_Qty]]-Table13[[#This Row],[System_Stock_Qty]]</f>
        <v>0</v>
      </c>
      <c r="J909" s="53" t="str" cm="1">
        <f t="array" ref="J909">_xlfn.IFS(I909=0,"Matched",I909&gt;0,"Excess",I909&lt;0,"Shortage")</f>
        <v>Matched</v>
      </c>
      <c r="K909" s="50">
        <f>ABS(Table13[[#This Row],[Stock Difference]])</f>
        <v>0</v>
      </c>
      <c r="L909" s="17">
        <f t="shared" si="42"/>
        <v>0</v>
      </c>
      <c r="M909" s="17">
        <f t="shared" si="43"/>
        <v>21500</v>
      </c>
      <c r="N909" s="17" t="str" cm="1">
        <f t="array" ref="N909">_xlfn.IFS(K909=0,"Matched", K909&gt;100,"High", K909&gt;=50,"Medium", K909&lt;50,"Low")</f>
        <v>Matched</v>
      </c>
      <c r="O909" s="17" t="str">
        <f t="shared" si="44"/>
        <v>No Match</v>
      </c>
    </row>
    <row r="910" spans="2:15" hidden="1" x14ac:dyDescent="0.3">
      <c r="B910" s="7">
        <v>908</v>
      </c>
      <c r="C910" s="3" t="s">
        <v>914</v>
      </c>
      <c r="D910" s="2" t="s">
        <v>1043</v>
      </c>
      <c r="E910" s="3" t="s">
        <v>1010</v>
      </c>
      <c r="F910" s="3">
        <v>119</v>
      </c>
      <c r="G910" s="3">
        <v>119</v>
      </c>
      <c r="H910" s="8">
        <v>50</v>
      </c>
      <c r="I910" s="48">
        <f>Table13[[#This Row],[Physical_Stock_Qty]]-Table13[[#This Row],[System_Stock_Qty]]</f>
        <v>0</v>
      </c>
      <c r="J910" s="53" t="str" cm="1">
        <f t="array" ref="J910">_xlfn.IFS(I910=0,"Matched",I910&gt;0,"Excess",I910&lt;0,"Shortage")</f>
        <v>Matched</v>
      </c>
      <c r="K910" s="50">
        <f>ABS(Table13[[#This Row],[Stock Difference]])</f>
        <v>0</v>
      </c>
      <c r="L910" s="17">
        <f t="shared" si="42"/>
        <v>0</v>
      </c>
      <c r="M910" s="17">
        <f t="shared" si="43"/>
        <v>5950</v>
      </c>
      <c r="N910" s="17" t="str" cm="1">
        <f t="array" ref="N910">_xlfn.IFS(K910=0,"Matched", K910&gt;100,"High", K910&gt;=50,"Medium", K910&lt;50,"Low")</f>
        <v>Matched</v>
      </c>
      <c r="O910" s="17" t="str">
        <f t="shared" si="44"/>
        <v>No Match</v>
      </c>
    </row>
    <row r="911" spans="2:15" hidden="1" x14ac:dyDescent="0.3">
      <c r="B911" s="7">
        <v>909</v>
      </c>
      <c r="C911" s="3" t="s">
        <v>915</v>
      </c>
      <c r="D911" s="2" t="s">
        <v>1051</v>
      </c>
      <c r="E911" s="3" t="s">
        <v>1010</v>
      </c>
      <c r="F911" s="3">
        <v>41</v>
      </c>
      <c r="G911" s="3">
        <v>41</v>
      </c>
      <c r="H911" s="8">
        <v>50</v>
      </c>
      <c r="I911" s="48">
        <f>Table13[[#This Row],[Physical_Stock_Qty]]-Table13[[#This Row],[System_Stock_Qty]]</f>
        <v>0</v>
      </c>
      <c r="J911" s="53" t="str" cm="1">
        <f t="array" ref="J911">_xlfn.IFS(I911=0,"Matched",I911&gt;0,"Excess",I911&lt;0,"Shortage")</f>
        <v>Matched</v>
      </c>
      <c r="K911" s="50">
        <f>ABS(Table13[[#This Row],[Stock Difference]])</f>
        <v>0</v>
      </c>
      <c r="L911" s="17">
        <f t="shared" si="42"/>
        <v>0</v>
      </c>
      <c r="M911" s="17">
        <f t="shared" si="43"/>
        <v>2050</v>
      </c>
      <c r="N911" s="17" t="str" cm="1">
        <f t="array" ref="N911">_xlfn.IFS(K911=0,"Matched", K911&gt;100,"High", K911&gt;=50,"Medium", K911&lt;50,"Low")</f>
        <v>Matched</v>
      </c>
      <c r="O911" s="17" t="str">
        <f t="shared" si="44"/>
        <v>No Match</v>
      </c>
    </row>
    <row r="912" spans="2:15" hidden="1" x14ac:dyDescent="0.3">
      <c r="B912" s="7">
        <v>910</v>
      </c>
      <c r="C912" s="3" t="s">
        <v>916</v>
      </c>
      <c r="D912" s="2" t="s">
        <v>1027</v>
      </c>
      <c r="E912" s="3" t="s">
        <v>1008</v>
      </c>
      <c r="F912" s="3">
        <v>52</v>
      </c>
      <c r="G912" s="3">
        <v>52</v>
      </c>
      <c r="H912" s="8">
        <v>30000</v>
      </c>
      <c r="I912" s="48">
        <f>Table13[[#This Row],[Physical_Stock_Qty]]-Table13[[#This Row],[System_Stock_Qty]]</f>
        <v>0</v>
      </c>
      <c r="J912" s="53" t="str" cm="1">
        <f t="array" ref="J912">_xlfn.IFS(I912=0,"Matched",I912&gt;0,"Excess",I912&lt;0,"Shortage")</f>
        <v>Matched</v>
      </c>
      <c r="K912" s="50">
        <f>ABS(Table13[[#This Row],[Stock Difference]])</f>
        <v>0</v>
      </c>
      <c r="L912" s="17">
        <f t="shared" si="42"/>
        <v>0</v>
      </c>
      <c r="M912" s="17">
        <f t="shared" si="43"/>
        <v>1560000</v>
      </c>
      <c r="N912" s="17" t="str" cm="1">
        <f t="array" ref="N912">_xlfn.IFS(K912=0,"Matched", K912&gt;100,"High", K912&gt;=50,"Medium", K912&lt;50,"Low")</f>
        <v>Matched</v>
      </c>
      <c r="O912" s="17" t="str">
        <f t="shared" si="44"/>
        <v>No Match</v>
      </c>
    </row>
    <row r="913" spans="2:15" hidden="1" x14ac:dyDescent="0.3">
      <c r="B913" s="7">
        <v>911</v>
      </c>
      <c r="C913" s="3" t="s">
        <v>917</v>
      </c>
      <c r="D913" s="2" t="s">
        <v>1081</v>
      </c>
      <c r="E913" s="3" t="s">
        <v>1011</v>
      </c>
      <c r="F913" s="3">
        <v>79</v>
      </c>
      <c r="G913" s="3">
        <v>79</v>
      </c>
      <c r="H913" s="8">
        <v>1000</v>
      </c>
      <c r="I913" s="48">
        <f>Table13[[#This Row],[Physical_Stock_Qty]]-Table13[[#This Row],[System_Stock_Qty]]</f>
        <v>0</v>
      </c>
      <c r="J913" s="53" t="str" cm="1">
        <f t="array" ref="J913">_xlfn.IFS(I913=0,"Matched",I913&gt;0,"Excess",I913&lt;0,"Shortage")</f>
        <v>Matched</v>
      </c>
      <c r="K913" s="50">
        <f>ABS(Table13[[#This Row],[Stock Difference]])</f>
        <v>0</v>
      </c>
      <c r="L913" s="17">
        <f t="shared" si="42"/>
        <v>0</v>
      </c>
      <c r="M913" s="17">
        <f t="shared" si="43"/>
        <v>79000</v>
      </c>
      <c r="N913" s="17" t="str" cm="1">
        <f t="array" ref="N913">_xlfn.IFS(K913=0,"Matched", K913&gt;100,"High", K913&gt;=50,"Medium", K913&lt;50,"Low")</f>
        <v>Matched</v>
      </c>
      <c r="O913" s="17" t="str">
        <f t="shared" si="44"/>
        <v>No Match</v>
      </c>
    </row>
    <row r="914" spans="2:15" hidden="1" x14ac:dyDescent="0.3">
      <c r="B914" s="7">
        <v>912</v>
      </c>
      <c r="C914" s="3" t="s">
        <v>918</v>
      </c>
      <c r="D914" s="2" t="s">
        <v>1046</v>
      </c>
      <c r="E914" s="3" t="s">
        <v>1010</v>
      </c>
      <c r="F914" s="3">
        <v>137</v>
      </c>
      <c r="G914" s="3">
        <v>137</v>
      </c>
      <c r="H914" s="8">
        <v>100</v>
      </c>
      <c r="I914" s="48">
        <f>Table13[[#This Row],[Physical_Stock_Qty]]-Table13[[#This Row],[System_Stock_Qty]]</f>
        <v>0</v>
      </c>
      <c r="J914" s="53" t="str" cm="1">
        <f t="array" ref="J914">_xlfn.IFS(I914=0,"Matched",I914&gt;0,"Excess",I914&lt;0,"Shortage")</f>
        <v>Matched</v>
      </c>
      <c r="K914" s="50">
        <f>ABS(Table13[[#This Row],[Stock Difference]])</f>
        <v>0</v>
      </c>
      <c r="L914" s="17">
        <f t="shared" si="42"/>
        <v>0</v>
      </c>
      <c r="M914" s="17">
        <f t="shared" si="43"/>
        <v>13700</v>
      </c>
      <c r="N914" s="17" t="str" cm="1">
        <f t="array" ref="N914">_xlfn.IFS(K914=0,"Matched", K914&gt;100,"High", K914&gt;=50,"Medium", K914&lt;50,"Low")</f>
        <v>Matched</v>
      </c>
      <c r="O914" s="17" t="str">
        <f t="shared" si="44"/>
        <v>No Match</v>
      </c>
    </row>
    <row r="915" spans="2:15" hidden="1" x14ac:dyDescent="0.3">
      <c r="B915" s="7">
        <v>913</v>
      </c>
      <c r="C915" s="3" t="s">
        <v>919</v>
      </c>
      <c r="D915" s="2" t="s">
        <v>1061</v>
      </c>
      <c r="E915" s="3" t="s">
        <v>1012</v>
      </c>
      <c r="F915" s="3">
        <v>174</v>
      </c>
      <c r="G915" s="3">
        <v>174</v>
      </c>
      <c r="H915" s="8">
        <v>500</v>
      </c>
      <c r="I915" s="48">
        <f>Table13[[#This Row],[Physical_Stock_Qty]]-Table13[[#This Row],[System_Stock_Qty]]</f>
        <v>0</v>
      </c>
      <c r="J915" s="53" t="str" cm="1">
        <f t="array" ref="J915">_xlfn.IFS(I915=0,"Matched",I915&gt;0,"Excess",I915&lt;0,"Shortage")</f>
        <v>Matched</v>
      </c>
      <c r="K915" s="50">
        <f>ABS(Table13[[#This Row],[Stock Difference]])</f>
        <v>0</v>
      </c>
      <c r="L915" s="17">
        <f t="shared" si="42"/>
        <v>0</v>
      </c>
      <c r="M915" s="17">
        <f t="shared" si="43"/>
        <v>87000</v>
      </c>
      <c r="N915" s="17" t="str" cm="1">
        <f t="array" ref="N915">_xlfn.IFS(K915=0,"Matched", K915&gt;100,"High", K915&gt;=50,"Medium", K915&lt;50,"Low")</f>
        <v>Matched</v>
      </c>
      <c r="O915" s="17" t="str">
        <f t="shared" si="44"/>
        <v>No Match</v>
      </c>
    </row>
    <row r="916" spans="2:15" hidden="1" x14ac:dyDescent="0.3">
      <c r="B916" s="7">
        <v>914</v>
      </c>
      <c r="C916" s="3" t="s">
        <v>920</v>
      </c>
      <c r="D916" s="2" t="s">
        <v>1076</v>
      </c>
      <c r="E916" s="3" t="s">
        <v>1009</v>
      </c>
      <c r="F916" s="3">
        <v>166</v>
      </c>
      <c r="G916" s="3">
        <v>166</v>
      </c>
      <c r="H916" s="8">
        <v>100</v>
      </c>
      <c r="I916" s="48">
        <f>Table13[[#This Row],[Physical_Stock_Qty]]-Table13[[#This Row],[System_Stock_Qty]]</f>
        <v>0</v>
      </c>
      <c r="J916" s="53" t="str" cm="1">
        <f t="array" ref="J916">_xlfn.IFS(I916=0,"Matched",I916&gt;0,"Excess",I916&lt;0,"Shortage")</f>
        <v>Matched</v>
      </c>
      <c r="K916" s="50">
        <f>ABS(Table13[[#This Row],[Stock Difference]])</f>
        <v>0</v>
      </c>
      <c r="L916" s="17">
        <f t="shared" si="42"/>
        <v>0</v>
      </c>
      <c r="M916" s="17">
        <f t="shared" si="43"/>
        <v>16600</v>
      </c>
      <c r="N916" s="17" t="str" cm="1">
        <f t="array" ref="N916">_xlfn.IFS(K916=0,"Matched", K916&gt;100,"High", K916&gt;=50,"Medium", K916&lt;50,"Low")</f>
        <v>Matched</v>
      </c>
      <c r="O916" s="17" t="str">
        <f t="shared" si="44"/>
        <v>No Match</v>
      </c>
    </row>
    <row r="917" spans="2:15" hidden="1" x14ac:dyDescent="0.3">
      <c r="B917" s="7">
        <v>915</v>
      </c>
      <c r="C917" s="3" t="s">
        <v>921</v>
      </c>
      <c r="D917" s="2" t="s">
        <v>1072</v>
      </c>
      <c r="E917" s="3" t="s">
        <v>1009</v>
      </c>
      <c r="F917" s="3">
        <v>178</v>
      </c>
      <c r="G917" s="3">
        <v>178</v>
      </c>
      <c r="H917" s="8">
        <v>50</v>
      </c>
      <c r="I917" s="48">
        <f>Table13[[#This Row],[Physical_Stock_Qty]]-Table13[[#This Row],[System_Stock_Qty]]</f>
        <v>0</v>
      </c>
      <c r="J917" s="53" t="str" cm="1">
        <f t="array" ref="J917">_xlfn.IFS(I917=0,"Matched",I917&gt;0,"Excess",I917&lt;0,"Shortage")</f>
        <v>Matched</v>
      </c>
      <c r="K917" s="50">
        <f>ABS(Table13[[#This Row],[Stock Difference]])</f>
        <v>0</v>
      </c>
      <c r="L917" s="17">
        <f t="shared" si="42"/>
        <v>0</v>
      </c>
      <c r="M917" s="17">
        <f t="shared" si="43"/>
        <v>8900</v>
      </c>
      <c r="N917" s="17" t="str" cm="1">
        <f t="array" ref="N917">_xlfn.IFS(K917=0,"Matched", K917&gt;100,"High", K917&gt;=50,"Medium", K917&lt;50,"Low")</f>
        <v>Matched</v>
      </c>
      <c r="O917" s="17" t="str">
        <f t="shared" si="44"/>
        <v>No Match</v>
      </c>
    </row>
    <row r="918" spans="2:15" hidden="1" x14ac:dyDescent="0.3">
      <c r="B918" s="7">
        <v>916</v>
      </c>
      <c r="C918" s="3" t="s">
        <v>922</v>
      </c>
      <c r="D918" s="2" t="s">
        <v>1052</v>
      </c>
      <c r="E918" s="3" t="s">
        <v>1010</v>
      </c>
      <c r="F918" s="3">
        <v>121</v>
      </c>
      <c r="G918" s="3">
        <v>121</v>
      </c>
      <c r="H918" s="8">
        <v>100</v>
      </c>
      <c r="I918" s="48">
        <f>Table13[[#This Row],[Physical_Stock_Qty]]-Table13[[#This Row],[System_Stock_Qty]]</f>
        <v>0</v>
      </c>
      <c r="J918" s="53" t="str" cm="1">
        <f t="array" ref="J918">_xlfn.IFS(I918=0,"Matched",I918&gt;0,"Excess",I918&lt;0,"Shortage")</f>
        <v>Matched</v>
      </c>
      <c r="K918" s="50">
        <f>ABS(Table13[[#This Row],[Stock Difference]])</f>
        <v>0</v>
      </c>
      <c r="L918" s="17">
        <f t="shared" si="42"/>
        <v>0</v>
      </c>
      <c r="M918" s="17">
        <f t="shared" si="43"/>
        <v>12100</v>
      </c>
      <c r="N918" s="17" t="str" cm="1">
        <f t="array" ref="N918">_xlfn.IFS(K918=0,"Matched", K918&gt;100,"High", K918&gt;=50,"Medium", K918&lt;50,"Low")</f>
        <v>Matched</v>
      </c>
      <c r="O918" s="17" t="str">
        <f t="shared" si="44"/>
        <v>No Match</v>
      </c>
    </row>
    <row r="919" spans="2:15" hidden="1" x14ac:dyDescent="0.3">
      <c r="B919" s="7">
        <v>917</v>
      </c>
      <c r="C919" s="3" t="s">
        <v>923</v>
      </c>
      <c r="D919" s="2" t="s">
        <v>1039</v>
      </c>
      <c r="E919" s="3" t="s">
        <v>1007</v>
      </c>
      <c r="F919" s="3">
        <v>71</v>
      </c>
      <c r="G919" s="3">
        <v>71</v>
      </c>
      <c r="H919" s="8">
        <v>12000</v>
      </c>
      <c r="I919" s="48">
        <f>Table13[[#This Row],[Physical_Stock_Qty]]-Table13[[#This Row],[System_Stock_Qty]]</f>
        <v>0</v>
      </c>
      <c r="J919" s="53" t="str" cm="1">
        <f t="array" ref="J919">_xlfn.IFS(I919=0,"Matched",I919&gt;0,"Excess",I919&lt;0,"Shortage")</f>
        <v>Matched</v>
      </c>
      <c r="K919" s="50">
        <f>ABS(Table13[[#This Row],[Stock Difference]])</f>
        <v>0</v>
      </c>
      <c r="L919" s="17">
        <f t="shared" si="42"/>
        <v>0</v>
      </c>
      <c r="M919" s="17">
        <f t="shared" si="43"/>
        <v>852000</v>
      </c>
      <c r="N919" s="17" t="str" cm="1">
        <f t="array" ref="N919">_xlfn.IFS(K919=0,"Matched", K919&gt;100,"High", K919&gt;=50,"Medium", K919&lt;50,"Low")</f>
        <v>Matched</v>
      </c>
      <c r="O919" s="17" t="str">
        <f t="shared" si="44"/>
        <v>No Match</v>
      </c>
    </row>
    <row r="920" spans="2:15" hidden="1" x14ac:dyDescent="0.3">
      <c r="B920" s="7">
        <v>918</v>
      </c>
      <c r="C920" s="3" t="s">
        <v>924</v>
      </c>
      <c r="D920" s="2" t="s">
        <v>1030</v>
      </c>
      <c r="E920" s="3" t="s">
        <v>1008</v>
      </c>
      <c r="F920" s="3">
        <v>102</v>
      </c>
      <c r="G920" s="3">
        <v>102</v>
      </c>
      <c r="H920" s="8">
        <v>70000</v>
      </c>
      <c r="I920" s="48">
        <f>Table13[[#This Row],[Physical_Stock_Qty]]-Table13[[#This Row],[System_Stock_Qty]]</f>
        <v>0</v>
      </c>
      <c r="J920" s="53" t="str" cm="1">
        <f t="array" ref="J920">_xlfn.IFS(I920=0,"Matched",I920&gt;0,"Excess",I920&lt;0,"Shortage")</f>
        <v>Matched</v>
      </c>
      <c r="K920" s="50">
        <f>ABS(Table13[[#This Row],[Stock Difference]])</f>
        <v>0</v>
      </c>
      <c r="L920" s="17">
        <f t="shared" si="42"/>
        <v>0</v>
      </c>
      <c r="M920" s="17">
        <f t="shared" si="43"/>
        <v>7140000</v>
      </c>
      <c r="N920" s="17" t="str" cm="1">
        <f t="array" ref="N920">_xlfn.IFS(K920=0,"Matched", K920&gt;100,"High", K920&gt;=50,"Medium", K920&lt;50,"Low")</f>
        <v>Matched</v>
      </c>
      <c r="O920" s="17" t="str">
        <f t="shared" si="44"/>
        <v>No Match</v>
      </c>
    </row>
    <row r="921" spans="2:15" hidden="1" x14ac:dyDescent="0.3">
      <c r="B921" s="7">
        <v>919</v>
      </c>
      <c r="C921" s="3" t="s">
        <v>925</v>
      </c>
      <c r="D921" s="2" t="s">
        <v>1038</v>
      </c>
      <c r="E921" s="3" t="s">
        <v>1007</v>
      </c>
      <c r="F921" s="3">
        <v>95</v>
      </c>
      <c r="G921" s="3">
        <v>95</v>
      </c>
      <c r="H921" s="8">
        <v>5000</v>
      </c>
      <c r="I921" s="48">
        <f>Table13[[#This Row],[Physical_Stock_Qty]]-Table13[[#This Row],[System_Stock_Qty]]</f>
        <v>0</v>
      </c>
      <c r="J921" s="53" t="str" cm="1">
        <f t="array" ref="J921">_xlfn.IFS(I921=0,"Matched",I921&gt;0,"Excess",I921&lt;0,"Shortage")</f>
        <v>Matched</v>
      </c>
      <c r="K921" s="50">
        <f>ABS(Table13[[#This Row],[Stock Difference]])</f>
        <v>0</v>
      </c>
      <c r="L921" s="17">
        <f t="shared" si="42"/>
        <v>0</v>
      </c>
      <c r="M921" s="17">
        <f t="shared" si="43"/>
        <v>475000</v>
      </c>
      <c r="N921" s="17" t="str" cm="1">
        <f t="array" ref="N921">_xlfn.IFS(K921=0,"Matched", K921&gt;100,"High", K921&gt;=50,"Medium", K921&lt;50,"Low")</f>
        <v>Matched</v>
      </c>
      <c r="O921" s="17" t="str">
        <f t="shared" si="44"/>
        <v>No Match</v>
      </c>
    </row>
    <row r="922" spans="2:15" hidden="1" x14ac:dyDescent="0.3">
      <c r="B922" s="7">
        <v>920</v>
      </c>
      <c r="C922" s="3" t="s">
        <v>926</v>
      </c>
      <c r="D922" s="2" t="s">
        <v>1059</v>
      </c>
      <c r="E922" s="3" t="s">
        <v>1012</v>
      </c>
      <c r="F922" s="3">
        <v>186</v>
      </c>
      <c r="G922" s="3">
        <v>186</v>
      </c>
      <c r="H922" s="8">
        <v>200</v>
      </c>
      <c r="I922" s="48">
        <f>Table13[[#This Row],[Physical_Stock_Qty]]-Table13[[#This Row],[System_Stock_Qty]]</f>
        <v>0</v>
      </c>
      <c r="J922" s="53" t="str" cm="1">
        <f t="array" ref="J922">_xlfn.IFS(I922=0,"Matched",I922&gt;0,"Excess",I922&lt;0,"Shortage")</f>
        <v>Matched</v>
      </c>
      <c r="K922" s="50">
        <f>ABS(Table13[[#This Row],[Stock Difference]])</f>
        <v>0</v>
      </c>
      <c r="L922" s="17">
        <f t="shared" si="42"/>
        <v>0</v>
      </c>
      <c r="M922" s="17">
        <f t="shared" si="43"/>
        <v>37200</v>
      </c>
      <c r="N922" s="17" t="str" cm="1">
        <f t="array" ref="N922">_xlfn.IFS(K922=0,"Matched", K922&gt;100,"High", K922&gt;=50,"Medium", K922&lt;50,"Low")</f>
        <v>Matched</v>
      </c>
      <c r="O922" s="17" t="str">
        <f t="shared" si="44"/>
        <v>No Match</v>
      </c>
    </row>
    <row r="923" spans="2:15" hidden="1" x14ac:dyDescent="0.3">
      <c r="B923" s="7">
        <v>921</v>
      </c>
      <c r="C923" s="3" t="s">
        <v>927</v>
      </c>
      <c r="D923" s="2" t="s">
        <v>1057</v>
      </c>
      <c r="E923" s="3" t="s">
        <v>1012</v>
      </c>
      <c r="F923" s="3">
        <v>125</v>
      </c>
      <c r="G923" s="3">
        <v>125</v>
      </c>
      <c r="H923" s="8">
        <v>500</v>
      </c>
      <c r="I923" s="48">
        <f>Table13[[#This Row],[Physical_Stock_Qty]]-Table13[[#This Row],[System_Stock_Qty]]</f>
        <v>0</v>
      </c>
      <c r="J923" s="53" t="str" cm="1">
        <f t="array" ref="J923">_xlfn.IFS(I923=0,"Matched",I923&gt;0,"Excess",I923&lt;0,"Shortage")</f>
        <v>Matched</v>
      </c>
      <c r="K923" s="50">
        <f>ABS(Table13[[#This Row],[Stock Difference]])</f>
        <v>0</v>
      </c>
      <c r="L923" s="17">
        <f t="shared" si="42"/>
        <v>0</v>
      </c>
      <c r="M923" s="17">
        <f t="shared" si="43"/>
        <v>62500</v>
      </c>
      <c r="N923" s="17" t="str" cm="1">
        <f t="array" ref="N923">_xlfn.IFS(K923=0,"Matched", K923&gt;100,"High", K923&gt;=50,"Medium", K923&lt;50,"Low")</f>
        <v>Matched</v>
      </c>
      <c r="O923" s="17" t="str">
        <f t="shared" si="44"/>
        <v>No Match</v>
      </c>
    </row>
    <row r="924" spans="2:15" hidden="1" x14ac:dyDescent="0.3">
      <c r="B924" s="7">
        <v>922</v>
      </c>
      <c r="C924" s="3" t="s">
        <v>928</v>
      </c>
      <c r="D924" s="2" t="s">
        <v>1047</v>
      </c>
      <c r="E924" s="3" t="s">
        <v>1010</v>
      </c>
      <c r="F924" s="3">
        <v>55</v>
      </c>
      <c r="G924" s="3">
        <v>55</v>
      </c>
      <c r="H924" s="8">
        <v>500</v>
      </c>
      <c r="I924" s="48">
        <f>Table13[[#This Row],[Physical_Stock_Qty]]-Table13[[#This Row],[System_Stock_Qty]]</f>
        <v>0</v>
      </c>
      <c r="J924" s="53" t="str" cm="1">
        <f t="array" ref="J924">_xlfn.IFS(I924=0,"Matched",I924&gt;0,"Excess",I924&lt;0,"Shortage")</f>
        <v>Matched</v>
      </c>
      <c r="K924" s="50">
        <f>ABS(Table13[[#This Row],[Stock Difference]])</f>
        <v>0</v>
      </c>
      <c r="L924" s="17">
        <f t="shared" si="42"/>
        <v>0</v>
      </c>
      <c r="M924" s="17">
        <f t="shared" si="43"/>
        <v>27500</v>
      </c>
      <c r="N924" s="17" t="str" cm="1">
        <f t="array" ref="N924">_xlfn.IFS(K924=0,"Matched", K924&gt;100,"High", K924&gt;=50,"Medium", K924&lt;50,"Low")</f>
        <v>Matched</v>
      </c>
      <c r="O924" s="17" t="str">
        <f t="shared" si="44"/>
        <v>No Match</v>
      </c>
    </row>
    <row r="925" spans="2:15" hidden="1" x14ac:dyDescent="0.3">
      <c r="B925" s="7">
        <v>923</v>
      </c>
      <c r="C925" s="3" t="s">
        <v>929</v>
      </c>
      <c r="D925" s="2" t="s">
        <v>1058</v>
      </c>
      <c r="E925" s="3" t="s">
        <v>1012</v>
      </c>
      <c r="F925" s="3">
        <v>186</v>
      </c>
      <c r="G925" s="3">
        <v>186</v>
      </c>
      <c r="H925" s="8">
        <v>500</v>
      </c>
      <c r="I925" s="48">
        <f>Table13[[#This Row],[Physical_Stock_Qty]]-Table13[[#This Row],[System_Stock_Qty]]</f>
        <v>0</v>
      </c>
      <c r="J925" s="53" t="str" cm="1">
        <f t="array" ref="J925">_xlfn.IFS(I925=0,"Matched",I925&gt;0,"Excess",I925&lt;0,"Shortage")</f>
        <v>Matched</v>
      </c>
      <c r="K925" s="50">
        <f>ABS(Table13[[#This Row],[Stock Difference]])</f>
        <v>0</v>
      </c>
      <c r="L925" s="17">
        <f t="shared" si="42"/>
        <v>0</v>
      </c>
      <c r="M925" s="17">
        <f t="shared" si="43"/>
        <v>93000</v>
      </c>
      <c r="N925" s="17" t="str" cm="1">
        <f t="array" ref="N925">_xlfn.IFS(K925=0,"Matched", K925&gt;100,"High", K925&gt;=50,"Medium", K925&lt;50,"Low")</f>
        <v>Matched</v>
      </c>
      <c r="O925" s="17" t="str">
        <f t="shared" si="44"/>
        <v>No Match</v>
      </c>
    </row>
    <row r="926" spans="2:15" hidden="1" x14ac:dyDescent="0.3">
      <c r="B926" s="7">
        <v>924</v>
      </c>
      <c r="C926" s="3" t="s">
        <v>930</v>
      </c>
      <c r="D926" s="2" t="s">
        <v>1077</v>
      </c>
      <c r="E926" s="3" t="s">
        <v>1011</v>
      </c>
      <c r="F926" s="3">
        <v>180</v>
      </c>
      <c r="G926" s="3">
        <v>180</v>
      </c>
      <c r="H926" s="8">
        <v>5000</v>
      </c>
      <c r="I926" s="48">
        <f>Table13[[#This Row],[Physical_Stock_Qty]]-Table13[[#This Row],[System_Stock_Qty]]</f>
        <v>0</v>
      </c>
      <c r="J926" s="53" t="str" cm="1">
        <f t="array" ref="J926">_xlfn.IFS(I926=0,"Matched",I926&gt;0,"Excess",I926&lt;0,"Shortage")</f>
        <v>Matched</v>
      </c>
      <c r="K926" s="50">
        <f>ABS(Table13[[#This Row],[Stock Difference]])</f>
        <v>0</v>
      </c>
      <c r="L926" s="17">
        <f t="shared" si="42"/>
        <v>0</v>
      </c>
      <c r="M926" s="17">
        <f t="shared" si="43"/>
        <v>900000</v>
      </c>
      <c r="N926" s="17" t="str" cm="1">
        <f t="array" ref="N926">_xlfn.IFS(K926=0,"Matched", K926&gt;100,"High", K926&gt;=50,"Medium", K926&lt;50,"Low")</f>
        <v>Matched</v>
      </c>
      <c r="O926" s="17" t="str">
        <f t="shared" si="44"/>
        <v>No Match</v>
      </c>
    </row>
    <row r="927" spans="2:15" hidden="1" x14ac:dyDescent="0.3">
      <c r="B927" s="7">
        <v>925</v>
      </c>
      <c r="C927" s="3" t="s">
        <v>931</v>
      </c>
      <c r="D927" s="2" t="s">
        <v>1041</v>
      </c>
      <c r="E927" s="3" t="s">
        <v>1007</v>
      </c>
      <c r="F927" s="3">
        <v>48</v>
      </c>
      <c r="G927" s="3">
        <v>48</v>
      </c>
      <c r="H927" s="8">
        <v>2000</v>
      </c>
      <c r="I927" s="48">
        <f>Table13[[#This Row],[Physical_Stock_Qty]]-Table13[[#This Row],[System_Stock_Qty]]</f>
        <v>0</v>
      </c>
      <c r="J927" s="53" t="str" cm="1">
        <f t="array" ref="J927">_xlfn.IFS(I927=0,"Matched",I927&gt;0,"Excess",I927&lt;0,"Shortage")</f>
        <v>Matched</v>
      </c>
      <c r="K927" s="50">
        <f>ABS(Table13[[#This Row],[Stock Difference]])</f>
        <v>0</v>
      </c>
      <c r="L927" s="17">
        <f t="shared" si="42"/>
        <v>0</v>
      </c>
      <c r="M927" s="17">
        <f t="shared" si="43"/>
        <v>96000</v>
      </c>
      <c r="N927" s="17" t="str" cm="1">
        <f t="array" ref="N927">_xlfn.IFS(K927=0,"Matched", K927&gt;100,"High", K927&gt;=50,"Medium", K927&lt;50,"Low")</f>
        <v>Matched</v>
      </c>
      <c r="O927" s="17" t="str">
        <f t="shared" si="44"/>
        <v>No Match</v>
      </c>
    </row>
    <row r="928" spans="2:15" hidden="1" x14ac:dyDescent="0.3">
      <c r="B928" s="7">
        <v>926</v>
      </c>
      <c r="C928" s="3" t="s">
        <v>932</v>
      </c>
      <c r="D928" s="2" t="s">
        <v>1017</v>
      </c>
      <c r="E928" s="3" t="s">
        <v>1012</v>
      </c>
      <c r="F928" s="3">
        <v>193</v>
      </c>
      <c r="G928" s="3">
        <v>193</v>
      </c>
      <c r="H928" s="8">
        <v>200</v>
      </c>
      <c r="I928" s="48">
        <f>Table13[[#This Row],[Physical_Stock_Qty]]-Table13[[#This Row],[System_Stock_Qty]]</f>
        <v>0</v>
      </c>
      <c r="J928" s="53" t="str" cm="1">
        <f t="array" ref="J928">_xlfn.IFS(I928=0,"Matched",I928&gt;0,"Excess",I928&lt;0,"Shortage")</f>
        <v>Matched</v>
      </c>
      <c r="K928" s="50">
        <f>ABS(Table13[[#This Row],[Stock Difference]])</f>
        <v>0</v>
      </c>
      <c r="L928" s="17">
        <f t="shared" si="42"/>
        <v>0</v>
      </c>
      <c r="M928" s="17">
        <f t="shared" si="43"/>
        <v>38600</v>
      </c>
      <c r="N928" s="17" t="str" cm="1">
        <f t="array" ref="N928">_xlfn.IFS(K928=0,"Matched", K928&gt;100,"High", K928&gt;=50,"Medium", K928&lt;50,"Low")</f>
        <v>Matched</v>
      </c>
      <c r="O928" s="17" t="str">
        <f t="shared" si="44"/>
        <v>No Match</v>
      </c>
    </row>
    <row r="929" spans="2:15" hidden="1" x14ac:dyDescent="0.3">
      <c r="B929" s="7">
        <v>927</v>
      </c>
      <c r="C929" s="3" t="s">
        <v>933</v>
      </c>
      <c r="D929" s="2" t="s">
        <v>1054</v>
      </c>
      <c r="E929" s="3" t="s">
        <v>1010</v>
      </c>
      <c r="F929" s="3">
        <v>119</v>
      </c>
      <c r="G929" s="3">
        <v>119</v>
      </c>
      <c r="H929" s="8">
        <v>30</v>
      </c>
      <c r="I929" s="48">
        <f>Table13[[#This Row],[Physical_Stock_Qty]]-Table13[[#This Row],[System_Stock_Qty]]</f>
        <v>0</v>
      </c>
      <c r="J929" s="53" t="str" cm="1">
        <f t="array" ref="J929">_xlfn.IFS(I929=0,"Matched",I929&gt;0,"Excess",I929&lt;0,"Shortage")</f>
        <v>Matched</v>
      </c>
      <c r="K929" s="50">
        <f>ABS(Table13[[#This Row],[Stock Difference]])</f>
        <v>0</v>
      </c>
      <c r="L929" s="17">
        <f t="shared" si="42"/>
        <v>0</v>
      </c>
      <c r="M929" s="17">
        <f t="shared" si="43"/>
        <v>3570</v>
      </c>
      <c r="N929" s="17" t="str" cm="1">
        <f t="array" ref="N929">_xlfn.IFS(K929=0,"Matched", K929&gt;100,"High", K929&gt;=50,"Medium", K929&lt;50,"Low")</f>
        <v>Matched</v>
      </c>
      <c r="O929" s="17" t="str">
        <f t="shared" si="44"/>
        <v>No Match</v>
      </c>
    </row>
    <row r="930" spans="2:15" hidden="1" x14ac:dyDescent="0.3">
      <c r="B930" s="7">
        <v>928</v>
      </c>
      <c r="C930" s="3" t="s">
        <v>934</v>
      </c>
      <c r="D930" s="2" t="s">
        <v>1018</v>
      </c>
      <c r="E930" s="3" t="s">
        <v>1012</v>
      </c>
      <c r="F930" s="3">
        <v>90</v>
      </c>
      <c r="G930" s="3">
        <v>90</v>
      </c>
      <c r="H930" s="8">
        <v>3000</v>
      </c>
      <c r="I930" s="48">
        <f>Table13[[#This Row],[Physical_Stock_Qty]]-Table13[[#This Row],[System_Stock_Qty]]</f>
        <v>0</v>
      </c>
      <c r="J930" s="53" t="str" cm="1">
        <f t="array" ref="J930">_xlfn.IFS(I930=0,"Matched",I930&gt;0,"Excess",I930&lt;0,"Shortage")</f>
        <v>Matched</v>
      </c>
      <c r="K930" s="50">
        <f>ABS(Table13[[#This Row],[Stock Difference]])</f>
        <v>0</v>
      </c>
      <c r="L930" s="17">
        <f t="shared" si="42"/>
        <v>0</v>
      </c>
      <c r="M930" s="17">
        <f t="shared" si="43"/>
        <v>270000</v>
      </c>
      <c r="N930" s="17" t="str" cm="1">
        <f t="array" ref="N930">_xlfn.IFS(K930=0,"Matched", K930&gt;100,"High", K930&gt;=50,"Medium", K930&lt;50,"Low")</f>
        <v>Matched</v>
      </c>
      <c r="O930" s="17" t="str">
        <f t="shared" si="44"/>
        <v>No Match</v>
      </c>
    </row>
    <row r="931" spans="2:15" hidden="1" x14ac:dyDescent="0.3">
      <c r="B931" s="7">
        <v>929</v>
      </c>
      <c r="C931" s="3" t="s">
        <v>935</v>
      </c>
      <c r="D931" s="2" t="s">
        <v>1024</v>
      </c>
      <c r="E931" s="3" t="s">
        <v>1008</v>
      </c>
      <c r="F931" s="3">
        <v>32</v>
      </c>
      <c r="G931" s="3">
        <v>32</v>
      </c>
      <c r="H931" s="8">
        <v>150000</v>
      </c>
      <c r="I931" s="48">
        <f>Table13[[#This Row],[Physical_Stock_Qty]]-Table13[[#This Row],[System_Stock_Qty]]</f>
        <v>0</v>
      </c>
      <c r="J931" s="53" t="str" cm="1">
        <f t="array" ref="J931">_xlfn.IFS(I931=0,"Matched",I931&gt;0,"Excess",I931&lt;0,"Shortage")</f>
        <v>Matched</v>
      </c>
      <c r="K931" s="50">
        <f>ABS(Table13[[#This Row],[Stock Difference]])</f>
        <v>0</v>
      </c>
      <c r="L931" s="17">
        <f t="shared" si="42"/>
        <v>0</v>
      </c>
      <c r="M931" s="17">
        <f t="shared" si="43"/>
        <v>4800000</v>
      </c>
      <c r="N931" s="17" t="str" cm="1">
        <f t="array" ref="N931">_xlfn.IFS(K931=0,"Matched", K931&gt;100,"High", K931&gt;=50,"Medium", K931&lt;50,"Low")</f>
        <v>Matched</v>
      </c>
      <c r="O931" s="17" t="str">
        <f t="shared" si="44"/>
        <v>No Match</v>
      </c>
    </row>
    <row r="932" spans="2:15" hidden="1" x14ac:dyDescent="0.3">
      <c r="B932" s="7">
        <v>930</v>
      </c>
      <c r="C932" s="3" t="s">
        <v>936</v>
      </c>
      <c r="D932" s="2" t="s">
        <v>1025</v>
      </c>
      <c r="E932" s="3" t="s">
        <v>1008</v>
      </c>
      <c r="F932" s="3">
        <v>48</v>
      </c>
      <c r="G932" s="3">
        <v>48</v>
      </c>
      <c r="H932" s="8">
        <v>30000</v>
      </c>
      <c r="I932" s="48">
        <f>Table13[[#This Row],[Physical_Stock_Qty]]-Table13[[#This Row],[System_Stock_Qty]]</f>
        <v>0</v>
      </c>
      <c r="J932" s="53" t="str" cm="1">
        <f t="array" ref="J932">_xlfn.IFS(I932=0,"Matched",I932&gt;0,"Excess",I932&lt;0,"Shortage")</f>
        <v>Matched</v>
      </c>
      <c r="K932" s="50">
        <f>ABS(Table13[[#This Row],[Stock Difference]])</f>
        <v>0</v>
      </c>
      <c r="L932" s="17">
        <f t="shared" si="42"/>
        <v>0</v>
      </c>
      <c r="M932" s="17">
        <f t="shared" si="43"/>
        <v>1440000</v>
      </c>
      <c r="N932" s="17" t="str" cm="1">
        <f t="array" ref="N932">_xlfn.IFS(K932=0,"Matched", K932&gt;100,"High", K932&gt;=50,"Medium", K932&lt;50,"Low")</f>
        <v>Matched</v>
      </c>
      <c r="O932" s="17" t="str">
        <f t="shared" si="44"/>
        <v>No Match</v>
      </c>
    </row>
    <row r="933" spans="2:15" hidden="1" x14ac:dyDescent="0.3">
      <c r="B933" s="7">
        <v>931</v>
      </c>
      <c r="C933" s="3" t="s">
        <v>937</v>
      </c>
      <c r="D933" s="2" t="s">
        <v>1028</v>
      </c>
      <c r="E933" s="3" t="s">
        <v>1008</v>
      </c>
      <c r="F933" s="3">
        <v>108</v>
      </c>
      <c r="G933" s="3">
        <v>108</v>
      </c>
      <c r="H933" s="8">
        <v>15000</v>
      </c>
      <c r="I933" s="48">
        <f>Table13[[#This Row],[Physical_Stock_Qty]]-Table13[[#This Row],[System_Stock_Qty]]</f>
        <v>0</v>
      </c>
      <c r="J933" s="53" t="str" cm="1">
        <f t="array" ref="J933">_xlfn.IFS(I933=0,"Matched",I933&gt;0,"Excess",I933&lt;0,"Shortage")</f>
        <v>Matched</v>
      </c>
      <c r="K933" s="50">
        <f>ABS(Table13[[#This Row],[Stock Difference]])</f>
        <v>0</v>
      </c>
      <c r="L933" s="17">
        <f t="shared" si="42"/>
        <v>0</v>
      </c>
      <c r="M933" s="17">
        <f t="shared" si="43"/>
        <v>1620000</v>
      </c>
      <c r="N933" s="17" t="str" cm="1">
        <f t="array" ref="N933">_xlfn.IFS(K933=0,"Matched", K933&gt;100,"High", K933&gt;=50,"Medium", K933&lt;50,"Low")</f>
        <v>Matched</v>
      </c>
      <c r="O933" s="17" t="str">
        <f t="shared" si="44"/>
        <v>No Match</v>
      </c>
    </row>
    <row r="934" spans="2:15" hidden="1" x14ac:dyDescent="0.3">
      <c r="B934" s="7">
        <v>932</v>
      </c>
      <c r="C934" s="3" t="s">
        <v>938</v>
      </c>
      <c r="D934" s="2" t="s">
        <v>1058</v>
      </c>
      <c r="E934" s="3" t="s">
        <v>1012</v>
      </c>
      <c r="F934" s="3">
        <v>166</v>
      </c>
      <c r="G934" s="3">
        <v>166</v>
      </c>
      <c r="H934" s="8">
        <v>500</v>
      </c>
      <c r="I934" s="48">
        <f>Table13[[#This Row],[Physical_Stock_Qty]]-Table13[[#This Row],[System_Stock_Qty]]</f>
        <v>0</v>
      </c>
      <c r="J934" s="53" t="str" cm="1">
        <f t="array" ref="J934">_xlfn.IFS(I934=0,"Matched",I934&gt;0,"Excess",I934&lt;0,"Shortage")</f>
        <v>Matched</v>
      </c>
      <c r="K934" s="50">
        <f>ABS(Table13[[#This Row],[Stock Difference]])</f>
        <v>0</v>
      </c>
      <c r="L934" s="17">
        <f t="shared" si="42"/>
        <v>0</v>
      </c>
      <c r="M934" s="17">
        <f t="shared" si="43"/>
        <v>83000</v>
      </c>
      <c r="N934" s="17" t="str" cm="1">
        <f t="array" ref="N934">_xlfn.IFS(K934=0,"Matched", K934&gt;100,"High", K934&gt;=50,"Medium", K934&lt;50,"Low")</f>
        <v>Matched</v>
      </c>
      <c r="O934" s="17" t="str">
        <f t="shared" si="44"/>
        <v>No Match</v>
      </c>
    </row>
    <row r="935" spans="2:15" hidden="1" x14ac:dyDescent="0.3">
      <c r="B935" s="7">
        <v>933</v>
      </c>
      <c r="C935" s="3" t="s">
        <v>939</v>
      </c>
      <c r="D935" s="2" t="s">
        <v>1062</v>
      </c>
      <c r="E935" s="3" t="s">
        <v>1009</v>
      </c>
      <c r="F935" s="3">
        <v>117</v>
      </c>
      <c r="G935" s="3">
        <v>117</v>
      </c>
      <c r="H935" s="8">
        <v>100</v>
      </c>
      <c r="I935" s="48">
        <f>Table13[[#This Row],[Physical_Stock_Qty]]-Table13[[#This Row],[System_Stock_Qty]]</f>
        <v>0</v>
      </c>
      <c r="J935" s="53" t="str" cm="1">
        <f t="array" ref="J935">_xlfn.IFS(I935=0,"Matched",I935&gt;0,"Excess",I935&lt;0,"Shortage")</f>
        <v>Matched</v>
      </c>
      <c r="K935" s="50">
        <f>ABS(Table13[[#This Row],[Stock Difference]])</f>
        <v>0</v>
      </c>
      <c r="L935" s="17">
        <f t="shared" si="42"/>
        <v>0</v>
      </c>
      <c r="M935" s="17">
        <f t="shared" si="43"/>
        <v>11700</v>
      </c>
      <c r="N935" s="17" t="str" cm="1">
        <f t="array" ref="N935">_xlfn.IFS(K935=0,"Matched", K935&gt;100,"High", K935&gt;=50,"Medium", K935&lt;50,"Low")</f>
        <v>Matched</v>
      </c>
      <c r="O935" s="17" t="str">
        <f t="shared" si="44"/>
        <v>No Match</v>
      </c>
    </row>
    <row r="936" spans="2:15" hidden="1" x14ac:dyDescent="0.3">
      <c r="B936" s="7">
        <v>934</v>
      </c>
      <c r="C936" s="3" t="s">
        <v>940</v>
      </c>
      <c r="D936" s="2" t="s">
        <v>1073</v>
      </c>
      <c r="E936" s="3" t="s">
        <v>1009</v>
      </c>
      <c r="F936" s="3">
        <v>187</v>
      </c>
      <c r="G936" s="3">
        <v>187</v>
      </c>
      <c r="H936" s="8">
        <v>100</v>
      </c>
      <c r="I936" s="48">
        <f>Table13[[#This Row],[Physical_Stock_Qty]]-Table13[[#This Row],[System_Stock_Qty]]</f>
        <v>0</v>
      </c>
      <c r="J936" s="53" t="str" cm="1">
        <f t="array" ref="J936">_xlfn.IFS(I936=0,"Matched",I936&gt;0,"Excess",I936&lt;0,"Shortage")</f>
        <v>Matched</v>
      </c>
      <c r="K936" s="50">
        <f>ABS(Table13[[#This Row],[Stock Difference]])</f>
        <v>0</v>
      </c>
      <c r="L936" s="17">
        <f t="shared" si="42"/>
        <v>0</v>
      </c>
      <c r="M936" s="17">
        <f t="shared" si="43"/>
        <v>18700</v>
      </c>
      <c r="N936" s="17" t="str" cm="1">
        <f t="array" ref="N936">_xlfn.IFS(K936=0,"Matched", K936&gt;100,"High", K936&gt;=50,"Medium", K936&lt;50,"Low")</f>
        <v>Matched</v>
      </c>
      <c r="O936" s="17" t="str">
        <f t="shared" si="44"/>
        <v>No Match</v>
      </c>
    </row>
    <row r="937" spans="2:15" hidden="1" x14ac:dyDescent="0.3">
      <c r="B937" s="7">
        <v>935</v>
      </c>
      <c r="C937" s="3" t="s">
        <v>941</v>
      </c>
      <c r="D937" s="2" t="s">
        <v>1082</v>
      </c>
      <c r="E937" s="3" t="s">
        <v>1011</v>
      </c>
      <c r="F937" s="3">
        <v>112</v>
      </c>
      <c r="G937" s="3">
        <v>112</v>
      </c>
      <c r="H937" s="8">
        <v>2000</v>
      </c>
      <c r="I937" s="48">
        <f>Table13[[#This Row],[Physical_Stock_Qty]]-Table13[[#This Row],[System_Stock_Qty]]</f>
        <v>0</v>
      </c>
      <c r="J937" s="53" t="str" cm="1">
        <f t="array" ref="J937">_xlfn.IFS(I937=0,"Matched",I937&gt;0,"Excess",I937&lt;0,"Shortage")</f>
        <v>Matched</v>
      </c>
      <c r="K937" s="50">
        <f>ABS(Table13[[#This Row],[Stock Difference]])</f>
        <v>0</v>
      </c>
      <c r="L937" s="17">
        <f t="shared" si="42"/>
        <v>0</v>
      </c>
      <c r="M937" s="17">
        <f t="shared" si="43"/>
        <v>224000</v>
      </c>
      <c r="N937" s="17" t="str" cm="1">
        <f t="array" ref="N937">_xlfn.IFS(K937=0,"Matched", K937&gt;100,"High", K937&gt;=50,"Medium", K937&lt;50,"Low")</f>
        <v>Matched</v>
      </c>
      <c r="O937" s="17" t="str">
        <f t="shared" si="44"/>
        <v>No Match</v>
      </c>
    </row>
    <row r="938" spans="2:15" hidden="1" x14ac:dyDescent="0.3">
      <c r="B938" s="7">
        <v>936</v>
      </c>
      <c r="C938" s="3" t="s">
        <v>942</v>
      </c>
      <c r="D938" s="2" t="s">
        <v>1061</v>
      </c>
      <c r="E938" s="3" t="s">
        <v>1012</v>
      </c>
      <c r="F938" s="3">
        <v>70</v>
      </c>
      <c r="G938" s="3">
        <v>70</v>
      </c>
      <c r="H938" s="8">
        <v>500</v>
      </c>
      <c r="I938" s="48">
        <f>Table13[[#This Row],[Physical_Stock_Qty]]-Table13[[#This Row],[System_Stock_Qty]]</f>
        <v>0</v>
      </c>
      <c r="J938" s="53" t="str" cm="1">
        <f t="array" ref="J938">_xlfn.IFS(I938=0,"Matched",I938&gt;0,"Excess",I938&lt;0,"Shortage")</f>
        <v>Matched</v>
      </c>
      <c r="K938" s="50">
        <f>ABS(Table13[[#This Row],[Stock Difference]])</f>
        <v>0</v>
      </c>
      <c r="L938" s="17">
        <f t="shared" si="42"/>
        <v>0</v>
      </c>
      <c r="M938" s="17">
        <f t="shared" si="43"/>
        <v>35000</v>
      </c>
      <c r="N938" s="17" t="str" cm="1">
        <f t="array" ref="N938">_xlfn.IFS(K938=0,"Matched", K938&gt;100,"High", K938&gt;=50,"Medium", K938&lt;50,"Low")</f>
        <v>Matched</v>
      </c>
      <c r="O938" s="17" t="str">
        <f t="shared" si="44"/>
        <v>No Match</v>
      </c>
    </row>
    <row r="939" spans="2:15" hidden="1" x14ac:dyDescent="0.3">
      <c r="B939" s="7">
        <v>937</v>
      </c>
      <c r="C939" s="3" t="s">
        <v>943</v>
      </c>
      <c r="D939" s="2" t="s">
        <v>1042</v>
      </c>
      <c r="E939" s="3" t="s">
        <v>1007</v>
      </c>
      <c r="F939" s="3">
        <v>159</v>
      </c>
      <c r="G939" s="3">
        <v>159</v>
      </c>
      <c r="H939" s="8">
        <v>3000</v>
      </c>
      <c r="I939" s="48">
        <f>Table13[[#This Row],[Physical_Stock_Qty]]-Table13[[#This Row],[System_Stock_Qty]]</f>
        <v>0</v>
      </c>
      <c r="J939" s="53" t="str" cm="1">
        <f t="array" ref="J939">_xlfn.IFS(I939=0,"Matched",I939&gt;0,"Excess",I939&lt;0,"Shortage")</f>
        <v>Matched</v>
      </c>
      <c r="K939" s="50">
        <f>ABS(Table13[[#This Row],[Stock Difference]])</f>
        <v>0</v>
      </c>
      <c r="L939" s="17">
        <f t="shared" si="42"/>
        <v>0</v>
      </c>
      <c r="M939" s="17">
        <f t="shared" si="43"/>
        <v>477000</v>
      </c>
      <c r="N939" s="17" t="str" cm="1">
        <f t="array" ref="N939">_xlfn.IFS(K939=0,"Matched", K939&gt;100,"High", K939&gt;=50,"Medium", K939&lt;50,"Low")</f>
        <v>Matched</v>
      </c>
      <c r="O939" s="17" t="str">
        <f t="shared" si="44"/>
        <v>No Match</v>
      </c>
    </row>
    <row r="940" spans="2:15" hidden="1" x14ac:dyDescent="0.3">
      <c r="B940" s="7">
        <v>938</v>
      </c>
      <c r="C940" s="3" t="s">
        <v>944</v>
      </c>
      <c r="D940" s="2" t="s">
        <v>1083</v>
      </c>
      <c r="E940" s="3" t="s">
        <v>1011</v>
      </c>
      <c r="F940" s="3">
        <v>56</v>
      </c>
      <c r="G940" s="3">
        <v>56</v>
      </c>
      <c r="H940" s="8">
        <v>3000</v>
      </c>
      <c r="I940" s="48">
        <f>Table13[[#This Row],[Physical_Stock_Qty]]-Table13[[#This Row],[System_Stock_Qty]]</f>
        <v>0</v>
      </c>
      <c r="J940" s="53" t="str" cm="1">
        <f t="array" ref="J940">_xlfn.IFS(I940=0,"Matched",I940&gt;0,"Excess",I940&lt;0,"Shortage")</f>
        <v>Matched</v>
      </c>
      <c r="K940" s="50">
        <f>ABS(Table13[[#This Row],[Stock Difference]])</f>
        <v>0</v>
      </c>
      <c r="L940" s="17">
        <f t="shared" si="42"/>
        <v>0</v>
      </c>
      <c r="M940" s="17">
        <f t="shared" si="43"/>
        <v>168000</v>
      </c>
      <c r="N940" s="17" t="str" cm="1">
        <f t="array" ref="N940">_xlfn.IFS(K940=0,"Matched", K940&gt;100,"High", K940&gt;=50,"Medium", K940&lt;50,"Low")</f>
        <v>Matched</v>
      </c>
      <c r="O940" s="17" t="str">
        <f t="shared" si="44"/>
        <v>No Match</v>
      </c>
    </row>
    <row r="941" spans="2:15" hidden="1" x14ac:dyDescent="0.3">
      <c r="B941" s="7">
        <v>939</v>
      </c>
      <c r="C941" s="3" t="s">
        <v>945</v>
      </c>
      <c r="D941" s="2" t="s">
        <v>1044</v>
      </c>
      <c r="E941" s="3" t="s">
        <v>1010</v>
      </c>
      <c r="F941" s="3">
        <v>54</v>
      </c>
      <c r="G941" s="3">
        <v>54</v>
      </c>
      <c r="H941" s="8">
        <v>100</v>
      </c>
      <c r="I941" s="48">
        <f>Table13[[#This Row],[Physical_Stock_Qty]]-Table13[[#This Row],[System_Stock_Qty]]</f>
        <v>0</v>
      </c>
      <c r="J941" s="53" t="str" cm="1">
        <f t="array" ref="J941">_xlfn.IFS(I941=0,"Matched",I941&gt;0,"Excess",I941&lt;0,"Shortage")</f>
        <v>Matched</v>
      </c>
      <c r="K941" s="50">
        <f>ABS(Table13[[#This Row],[Stock Difference]])</f>
        <v>0</v>
      </c>
      <c r="L941" s="17">
        <f t="shared" si="42"/>
        <v>0</v>
      </c>
      <c r="M941" s="17">
        <f t="shared" si="43"/>
        <v>5400</v>
      </c>
      <c r="N941" s="17" t="str" cm="1">
        <f t="array" ref="N941">_xlfn.IFS(K941=0,"Matched", K941&gt;100,"High", K941&gt;=50,"Medium", K941&lt;50,"Low")</f>
        <v>Matched</v>
      </c>
      <c r="O941" s="17" t="str">
        <f t="shared" si="44"/>
        <v>No Match</v>
      </c>
    </row>
    <row r="942" spans="2:15" hidden="1" x14ac:dyDescent="0.3">
      <c r="B942" s="7">
        <v>940</v>
      </c>
      <c r="C942" s="3" t="s">
        <v>946</v>
      </c>
      <c r="D942" s="2" t="s">
        <v>1026</v>
      </c>
      <c r="E942" s="3" t="s">
        <v>1008</v>
      </c>
      <c r="F942" s="3">
        <v>106</v>
      </c>
      <c r="G942" s="3">
        <v>106</v>
      </c>
      <c r="H942" s="8">
        <v>6000</v>
      </c>
      <c r="I942" s="48">
        <f>Table13[[#This Row],[Physical_Stock_Qty]]-Table13[[#This Row],[System_Stock_Qty]]</f>
        <v>0</v>
      </c>
      <c r="J942" s="53" t="str" cm="1">
        <f t="array" ref="J942">_xlfn.IFS(I942=0,"Matched",I942&gt;0,"Excess",I942&lt;0,"Shortage")</f>
        <v>Matched</v>
      </c>
      <c r="K942" s="50">
        <f>ABS(Table13[[#This Row],[Stock Difference]])</f>
        <v>0</v>
      </c>
      <c r="L942" s="17">
        <f t="shared" si="42"/>
        <v>0</v>
      </c>
      <c r="M942" s="17">
        <f t="shared" si="43"/>
        <v>636000</v>
      </c>
      <c r="N942" s="17" t="str" cm="1">
        <f t="array" ref="N942">_xlfn.IFS(K942=0,"Matched", K942&gt;100,"High", K942&gt;=50,"Medium", K942&lt;50,"Low")</f>
        <v>Matched</v>
      </c>
      <c r="O942" s="17" t="str">
        <f t="shared" si="44"/>
        <v>No Match</v>
      </c>
    </row>
    <row r="943" spans="2:15" hidden="1" x14ac:dyDescent="0.3">
      <c r="B943" s="7">
        <v>941</v>
      </c>
      <c r="C943" s="3" t="s">
        <v>947</v>
      </c>
      <c r="D943" s="2" t="s">
        <v>1086</v>
      </c>
      <c r="E943" s="3" t="s">
        <v>1011</v>
      </c>
      <c r="F943" s="3">
        <v>100</v>
      </c>
      <c r="G943" s="3">
        <v>100</v>
      </c>
      <c r="H943" s="8">
        <v>4500</v>
      </c>
      <c r="I943" s="48">
        <f>Table13[[#This Row],[Physical_Stock_Qty]]-Table13[[#This Row],[System_Stock_Qty]]</f>
        <v>0</v>
      </c>
      <c r="J943" s="53" t="str" cm="1">
        <f t="array" ref="J943">_xlfn.IFS(I943=0,"Matched",I943&gt;0,"Excess",I943&lt;0,"Shortage")</f>
        <v>Matched</v>
      </c>
      <c r="K943" s="50">
        <f>ABS(Table13[[#This Row],[Stock Difference]])</f>
        <v>0</v>
      </c>
      <c r="L943" s="17">
        <f t="shared" si="42"/>
        <v>0</v>
      </c>
      <c r="M943" s="17">
        <f t="shared" si="43"/>
        <v>450000</v>
      </c>
      <c r="N943" s="17" t="str" cm="1">
        <f t="array" ref="N943">_xlfn.IFS(K943=0,"Matched", K943&gt;100,"High", K943&gt;=50,"Medium", K943&lt;50,"Low")</f>
        <v>Matched</v>
      </c>
      <c r="O943" s="17" t="str">
        <f t="shared" si="44"/>
        <v>No Match</v>
      </c>
    </row>
    <row r="944" spans="2:15" hidden="1" x14ac:dyDescent="0.3">
      <c r="B944" s="7">
        <v>942</v>
      </c>
      <c r="C944" s="3" t="s">
        <v>948</v>
      </c>
      <c r="D944" s="2" t="s">
        <v>1022</v>
      </c>
      <c r="E944" s="3" t="s">
        <v>1008</v>
      </c>
      <c r="F944" s="3">
        <v>194</v>
      </c>
      <c r="G944" s="3">
        <v>194</v>
      </c>
      <c r="H944" s="8">
        <v>0</v>
      </c>
      <c r="I944" s="48">
        <f>Table13[[#This Row],[Physical_Stock_Qty]]-Table13[[#This Row],[System_Stock_Qty]]</f>
        <v>0</v>
      </c>
      <c r="J944" s="53" t="str" cm="1">
        <f t="array" ref="J944">_xlfn.IFS(I944=0,"Matched",I944&gt;0,"Excess",I944&lt;0,"Shortage")</f>
        <v>Matched</v>
      </c>
      <c r="K944" s="50">
        <f>ABS(Table13[[#This Row],[Stock Difference]])</f>
        <v>0</v>
      </c>
      <c r="L944" s="17">
        <f t="shared" si="42"/>
        <v>0</v>
      </c>
      <c r="M944" s="17">
        <f t="shared" si="43"/>
        <v>0</v>
      </c>
      <c r="N944" s="17" t="str" cm="1">
        <f t="array" ref="N944">_xlfn.IFS(K944=0,"Matched", K944&gt;100,"High", K944&gt;=50,"Medium", K944&lt;50,"Low")</f>
        <v>Matched</v>
      </c>
      <c r="O944" s="17" t="str">
        <f t="shared" si="44"/>
        <v>No Match</v>
      </c>
    </row>
    <row r="945" spans="2:15" hidden="1" x14ac:dyDescent="0.3">
      <c r="B945" s="7">
        <v>943</v>
      </c>
      <c r="C945" s="3" t="s">
        <v>949</v>
      </c>
      <c r="D945" s="2" t="s">
        <v>1047</v>
      </c>
      <c r="E945" s="3" t="s">
        <v>1010</v>
      </c>
      <c r="F945" s="3">
        <v>84</v>
      </c>
      <c r="G945" s="3">
        <v>84</v>
      </c>
      <c r="H945" s="8">
        <v>500</v>
      </c>
      <c r="I945" s="48">
        <f>Table13[[#This Row],[Physical_Stock_Qty]]-Table13[[#This Row],[System_Stock_Qty]]</f>
        <v>0</v>
      </c>
      <c r="J945" s="53" t="str" cm="1">
        <f t="array" ref="J945">_xlfn.IFS(I945=0,"Matched",I945&gt;0,"Excess",I945&lt;0,"Shortage")</f>
        <v>Matched</v>
      </c>
      <c r="K945" s="50">
        <f>ABS(Table13[[#This Row],[Stock Difference]])</f>
        <v>0</v>
      </c>
      <c r="L945" s="17">
        <f t="shared" si="42"/>
        <v>0</v>
      </c>
      <c r="M945" s="17">
        <f t="shared" si="43"/>
        <v>42000</v>
      </c>
      <c r="N945" s="17" t="str" cm="1">
        <f t="array" ref="N945">_xlfn.IFS(K945=0,"Matched", K945&gt;100,"High", K945&gt;=50,"Medium", K945&lt;50,"Low")</f>
        <v>Matched</v>
      </c>
      <c r="O945" s="17" t="str">
        <f t="shared" si="44"/>
        <v>No Match</v>
      </c>
    </row>
    <row r="946" spans="2:15" hidden="1" x14ac:dyDescent="0.3">
      <c r="B946" s="7">
        <v>944</v>
      </c>
      <c r="C946" s="3" t="s">
        <v>950</v>
      </c>
      <c r="D946" s="2" t="s">
        <v>1061</v>
      </c>
      <c r="E946" s="3" t="s">
        <v>1012</v>
      </c>
      <c r="F946" s="3">
        <v>102</v>
      </c>
      <c r="G946" s="3">
        <v>102</v>
      </c>
      <c r="H946" s="8">
        <v>500</v>
      </c>
      <c r="I946" s="48">
        <f>Table13[[#This Row],[Physical_Stock_Qty]]-Table13[[#This Row],[System_Stock_Qty]]</f>
        <v>0</v>
      </c>
      <c r="J946" s="53" t="str" cm="1">
        <f t="array" ref="J946">_xlfn.IFS(I946=0,"Matched",I946&gt;0,"Excess",I946&lt;0,"Shortage")</f>
        <v>Matched</v>
      </c>
      <c r="K946" s="50">
        <f>ABS(Table13[[#This Row],[Stock Difference]])</f>
        <v>0</v>
      </c>
      <c r="L946" s="17">
        <f t="shared" si="42"/>
        <v>0</v>
      </c>
      <c r="M946" s="17">
        <f t="shared" si="43"/>
        <v>51000</v>
      </c>
      <c r="N946" s="17" t="str" cm="1">
        <f t="array" ref="N946">_xlfn.IFS(K946=0,"Matched", K946&gt;100,"High", K946&gt;=50,"Medium", K946&lt;50,"Low")</f>
        <v>Matched</v>
      </c>
      <c r="O946" s="17" t="str">
        <f t="shared" si="44"/>
        <v>No Match</v>
      </c>
    </row>
    <row r="947" spans="2:15" hidden="1" x14ac:dyDescent="0.3">
      <c r="B947" s="7">
        <v>945</v>
      </c>
      <c r="C947" s="3" t="s">
        <v>951</v>
      </c>
      <c r="D947" s="2" t="s">
        <v>1045</v>
      </c>
      <c r="E947" s="3" t="s">
        <v>1010</v>
      </c>
      <c r="F947" s="3">
        <v>189</v>
      </c>
      <c r="G947" s="3">
        <v>189</v>
      </c>
      <c r="H947" s="8">
        <v>100</v>
      </c>
      <c r="I947" s="48">
        <f>Table13[[#This Row],[Physical_Stock_Qty]]-Table13[[#This Row],[System_Stock_Qty]]</f>
        <v>0</v>
      </c>
      <c r="J947" s="53" t="str" cm="1">
        <f t="array" ref="J947">_xlfn.IFS(I947=0,"Matched",I947&gt;0,"Excess",I947&lt;0,"Shortage")</f>
        <v>Matched</v>
      </c>
      <c r="K947" s="50">
        <f>ABS(Table13[[#This Row],[Stock Difference]])</f>
        <v>0</v>
      </c>
      <c r="L947" s="17">
        <f t="shared" si="42"/>
        <v>0</v>
      </c>
      <c r="M947" s="17">
        <f t="shared" si="43"/>
        <v>18900</v>
      </c>
      <c r="N947" s="17" t="str" cm="1">
        <f t="array" ref="N947">_xlfn.IFS(K947=0,"Matched", K947&gt;100,"High", K947&gt;=50,"Medium", K947&lt;50,"Low")</f>
        <v>Matched</v>
      </c>
      <c r="O947" s="17" t="str">
        <f t="shared" si="44"/>
        <v>No Match</v>
      </c>
    </row>
    <row r="948" spans="2:15" hidden="1" x14ac:dyDescent="0.3">
      <c r="B948" s="7">
        <v>946</v>
      </c>
      <c r="C948" s="3" t="s">
        <v>952</v>
      </c>
      <c r="D948" s="2" t="s">
        <v>1086</v>
      </c>
      <c r="E948" s="3" t="s">
        <v>1011</v>
      </c>
      <c r="F948" s="3">
        <v>72</v>
      </c>
      <c r="G948" s="3">
        <v>72</v>
      </c>
      <c r="H948" s="8">
        <v>4500</v>
      </c>
      <c r="I948" s="48">
        <f>Table13[[#This Row],[Physical_Stock_Qty]]-Table13[[#This Row],[System_Stock_Qty]]</f>
        <v>0</v>
      </c>
      <c r="J948" s="53" t="str" cm="1">
        <f t="array" ref="J948">_xlfn.IFS(I948=0,"Matched",I948&gt;0,"Excess",I948&lt;0,"Shortage")</f>
        <v>Matched</v>
      </c>
      <c r="K948" s="50">
        <f>ABS(Table13[[#This Row],[Stock Difference]])</f>
        <v>0</v>
      </c>
      <c r="L948" s="17">
        <f t="shared" si="42"/>
        <v>0</v>
      </c>
      <c r="M948" s="17">
        <f t="shared" si="43"/>
        <v>324000</v>
      </c>
      <c r="N948" s="17" t="str" cm="1">
        <f t="array" ref="N948">_xlfn.IFS(K948=0,"Matched", K948&gt;100,"High", K948&gt;=50,"Medium", K948&lt;50,"Low")</f>
        <v>Matched</v>
      </c>
      <c r="O948" s="17" t="str">
        <f t="shared" si="44"/>
        <v>No Match</v>
      </c>
    </row>
    <row r="949" spans="2:15" hidden="1" x14ac:dyDescent="0.3">
      <c r="B949" s="7">
        <v>947</v>
      </c>
      <c r="C949" s="3" t="s">
        <v>953</v>
      </c>
      <c r="D949" s="2" t="s">
        <v>1062</v>
      </c>
      <c r="E949" s="3" t="s">
        <v>1009</v>
      </c>
      <c r="F949" s="3">
        <v>171</v>
      </c>
      <c r="G949" s="3">
        <v>171</v>
      </c>
      <c r="H949" s="8">
        <v>100</v>
      </c>
      <c r="I949" s="48">
        <f>Table13[[#This Row],[Physical_Stock_Qty]]-Table13[[#This Row],[System_Stock_Qty]]</f>
        <v>0</v>
      </c>
      <c r="J949" s="53" t="str" cm="1">
        <f t="array" ref="J949">_xlfn.IFS(I949=0,"Matched",I949&gt;0,"Excess",I949&lt;0,"Shortage")</f>
        <v>Matched</v>
      </c>
      <c r="K949" s="50">
        <f>ABS(Table13[[#This Row],[Stock Difference]])</f>
        <v>0</v>
      </c>
      <c r="L949" s="17">
        <f t="shared" si="42"/>
        <v>0</v>
      </c>
      <c r="M949" s="17">
        <f t="shared" si="43"/>
        <v>17100</v>
      </c>
      <c r="N949" s="17" t="str" cm="1">
        <f t="array" ref="N949">_xlfn.IFS(K949=0,"Matched", K949&gt;100,"High", K949&gt;=50,"Medium", K949&lt;50,"Low")</f>
        <v>Matched</v>
      </c>
      <c r="O949" s="17" t="str">
        <f t="shared" si="44"/>
        <v>No Match</v>
      </c>
    </row>
    <row r="950" spans="2:15" hidden="1" x14ac:dyDescent="0.3">
      <c r="B950" s="7">
        <v>948</v>
      </c>
      <c r="C950" s="3" t="s">
        <v>954</v>
      </c>
      <c r="D950" s="2" t="s">
        <v>1054</v>
      </c>
      <c r="E950" s="3" t="s">
        <v>1010</v>
      </c>
      <c r="F950" s="3">
        <v>161</v>
      </c>
      <c r="G950" s="3">
        <v>161</v>
      </c>
      <c r="H950" s="8">
        <v>30</v>
      </c>
      <c r="I950" s="48">
        <f>Table13[[#This Row],[Physical_Stock_Qty]]-Table13[[#This Row],[System_Stock_Qty]]</f>
        <v>0</v>
      </c>
      <c r="J950" s="53" t="str" cm="1">
        <f t="array" ref="J950">_xlfn.IFS(I950=0,"Matched",I950&gt;0,"Excess",I950&lt;0,"Shortage")</f>
        <v>Matched</v>
      </c>
      <c r="K950" s="50">
        <f>ABS(Table13[[#This Row],[Stock Difference]])</f>
        <v>0</v>
      </c>
      <c r="L950" s="17">
        <f t="shared" si="42"/>
        <v>0</v>
      </c>
      <c r="M950" s="17">
        <f t="shared" si="43"/>
        <v>4830</v>
      </c>
      <c r="N950" s="17" t="str" cm="1">
        <f t="array" ref="N950">_xlfn.IFS(K950=0,"Matched", K950&gt;100,"High", K950&gt;=50,"Medium", K950&lt;50,"Low")</f>
        <v>Matched</v>
      </c>
      <c r="O950" s="17" t="str">
        <f t="shared" si="44"/>
        <v>No Match</v>
      </c>
    </row>
    <row r="951" spans="2:15" hidden="1" x14ac:dyDescent="0.3">
      <c r="B951" s="7">
        <v>949</v>
      </c>
      <c r="C951" s="3" t="s">
        <v>955</v>
      </c>
      <c r="D951" s="2" t="s">
        <v>1043</v>
      </c>
      <c r="E951" s="3" t="s">
        <v>1010</v>
      </c>
      <c r="F951" s="3">
        <v>74</v>
      </c>
      <c r="G951" s="3">
        <v>74</v>
      </c>
      <c r="H951" s="8">
        <v>50</v>
      </c>
      <c r="I951" s="48">
        <f>Table13[[#This Row],[Physical_Stock_Qty]]-Table13[[#This Row],[System_Stock_Qty]]</f>
        <v>0</v>
      </c>
      <c r="J951" s="53" t="str" cm="1">
        <f t="array" ref="J951">_xlfn.IFS(I951=0,"Matched",I951&gt;0,"Excess",I951&lt;0,"Shortage")</f>
        <v>Matched</v>
      </c>
      <c r="K951" s="50">
        <f>ABS(Table13[[#This Row],[Stock Difference]])</f>
        <v>0</v>
      </c>
      <c r="L951" s="17">
        <f t="shared" si="42"/>
        <v>0</v>
      </c>
      <c r="M951" s="17">
        <f t="shared" si="43"/>
        <v>3700</v>
      </c>
      <c r="N951" s="17" t="str" cm="1">
        <f t="array" ref="N951">_xlfn.IFS(K951=0,"Matched", K951&gt;100,"High", K951&gt;=50,"Medium", K951&lt;50,"Low")</f>
        <v>Matched</v>
      </c>
      <c r="O951" s="17" t="str">
        <f t="shared" si="44"/>
        <v>No Match</v>
      </c>
    </row>
    <row r="952" spans="2:15" hidden="1" x14ac:dyDescent="0.3">
      <c r="B952" s="7">
        <v>950</v>
      </c>
      <c r="C952" s="3" t="s">
        <v>956</v>
      </c>
      <c r="D952" s="2" t="s">
        <v>1031</v>
      </c>
      <c r="E952" s="3" t="s">
        <v>1008</v>
      </c>
      <c r="F952" s="3">
        <v>157</v>
      </c>
      <c r="G952" s="3">
        <v>157</v>
      </c>
      <c r="H952" s="8">
        <v>40000</v>
      </c>
      <c r="I952" s="48">
        <f>Table13[[#This Row],[Physical_Stock_Qty]]-Table13[[#This Row],[System_Stock_Qty]]</f>
        <v>0</v>
      </c>
      <c r="J952" s="53" t="str" cm="1">
        <f t="array" ref="J952">_xlfn.IFS(I952=0,"Matched",I952&gt;0,"Excess",I952&lt;0,"Shortage")</f>
        <v>Matched</v>
      </c>
      <c r="K952" s="50">
        <f>ABS(Table13[[#This Row],[Stock Difference]])</f>
        <v>0</v>
      </c>
      <c r="L952" s="17">
        <f t="shared" si="42"/>
        <v>0</v>
      </c>
      <c r="M952" s="17">
        <f t="shared" si="43"/>
        <v>6280000</v>
      </c>
      <c r="N952" s="17" t="str" cm="1">
        <f t="array" ref="N952">_xlfn.IFS(K952=0,"Matched", K952&gt;100,"High", K952&gt;=50,"Medium", K952&lt;50,"Low")</f>
        <v>Matched</v>
      </c>
      <c r="O952" s="17" t="str">
        <f t="shared" si="44"/>
        <v>No Match</v>
      </c>
    </row>
    <row r="953" spans="2:15" hidden="1" x14ac:dyDescent="0.3">
      <c r="B953" s="7">
        <v>951</v>
      </c>
      <c r="C953" s="3" t="s">
        <v>957</v>
      </c>
      <c r="D953" s="2" t="s">
        <v>1058</v>
      </c>
      <c r="E953" s="3" t="s">
        <v>1012</v>
      </c>
      <c r="F953" s="3">
        <v>96</v>
      </c>
      <c r="G953" s="3">
        <v>96</v>
      </c>
      <c r="H953" s="8">
        <v>500</v>
      </c>
      <c r="I953" s="48">
        <f>Table13[[#This Row],[Physical_Stock_Qty]]-Table13[[#This Row],[System_Stock_Qty]]</f>
        <v>0</v>
      </c>
      <c r="J953" s="53" t="str" cm="1">
        <f t="array" ref="J953">_xlfn.IFS(I953=0,"Matched",I953&gt;0,"Excess",I953&lt;0,"Shortage")</f>
        <v>Matched</v>
      </c>
      <c r="K953" s="50">
        <f>ABS(Table13[[#This Row],[Stock Difference]])</f>
        <v>0</v>
      </c>
      <c r="L953" s="17">
        <f t="shared" si="42"/>
        <v>0</v>
      </c>
      <c r="M953" s="17">
        <f t="shared" si="43"/>
        <v>48000</v>
      </c>
      <c r="N953" s="17" t="str" cm="1">
        <f t="array" ref="N953">_xlfn.IFS(K953=0,"Matched", K953&gt;100,"High", K953&gt;=50,"Medium", K953&lt;50,"Low")</f>
        <v>Matched</v>
      </c>
      <c r="O953" s="17" t="str">
        <f t="shared" si="44"/>
        <v>No Match</v>
      </c>
    </row>
    <row r="954" spans="2:15" hidden="1" x14ac:dyDescent="0.3">
      <c r="B954" s="7">
        <v>952</v>
      </c>
      <c r="C954" s="3" t="s">
        <v>958</v>
      </c>
      <c r="D954" s="2" t="s">
        <v>1082</v>
      </c>
      <c r="E954" s="3" t="s">
        <v>1011</v>
      </c>
      <c r="F954" s="3">
        <v>54</v>
      </c>
      <c r="G954" s="3">
        <v>54</v>
      </c>
      <c r="H954" s="8">
        <v>2000</v>
      </c>
      <c r="I954" s="48">
        <f>Table13[[#This Row],[Physical_Stock_Qty]]-Table13[[#This Row],[System_Stock_Qty]]</f>
        <v>0</v>
      </c>
      <c r="J954" s="53" t="str" cm="1">
        <f t="array" ref="J954">_xlfn.IFS(I954=0,"Matched",I954&gt;0,"Excess",I954&lt;0,"Shortage")</f>
        <v>Matched</v>
      </c>
      <c r="K954" s="50">
        <f>ABS(Table13[[#This Row],[Stock Difference]])</f>
        <v>0</v>
      </c>
      <c r="L954" s="17">
        <f t="shared" si="42"/>
        <v>0</v>
      </c>
      <c r="M954" s="17">
        <f t="shared" si="43"/>
        <v>108000</v>
      </c>
      <c r="N954" s="17" t="str" cm="1">
        <f t="array" ref="N954">_xlfn.IFS(K954=0,"Matched", K954&gt;100,"High", K954&gt;=50,"Medium", K954&lt;50,"Low")</f>
        <v>Matched</v>
      </c>
      <c r="O954" s="17" t="str">
        <f t="shared" si="44"/>
        <v>No Match</v>
      </c>
    </row>
    <row r="955" spans="2:15" hidden="1" x14ac:dyDescent="0.3">
      <c r="B955" s="7">
        <v>953</v>
      </c>
      <c r="C955" s="3" t="s">
        <v>959</v>
      </c>
      <c r="D955" s="2" t="s">
        <v>1064</v>
      </c>
      <c r="E955" s="3" t="s">
        <v>1009</v>
      </c>
      <c r="F955" s="3">
        <v>66</v>
      </c>
      <c r="G955" s="3">
        <v>66</v>
      </c>
      <c r="H955" s="8">
        <v>15000</v>
      </c>
      <c r="I955" s="48">
        <f>Table13[[#This Row],[Physical_Stock_Qty]]-Table13[[#This Row],[System_Stock_Qty]]</f>
        <v>0</v>
      </c>
      <c r="J955" s="53" t="str" cm="1">
        <f t="array" ref="J955">_xlfn.IFS(I955=0,"Matched",I955&gt;0,"Excess",I955&lt;0,"Shortage")</f>
        <v>Matched</v>
      </c>
      <c r="K955" s="50">
        <f>ABS(Table13[[#This Row],[Stock Difference]])</f>
        <v>0</v>
      </c>
      <c r="L955" s="17">
        <f t="shared" si="42"/>
        <v>0</v>
      </c>
      <c r="M955" s="17">
        <f t="shared" si="43"/>
        <v>990000</v>
      </c>
      <c r="N955" s="17" t="str" cm="1">
        <f t="array" ref="N955">_xlfn.IFS(K955=0,"Matched", K955&gt;100,"High", K955&gt;=50,"Medium", K955&lt;50,"Low")</f>
        <v>Matched</v>
      </c>
      <c r="O955" s="17" t="str">
        <f t="shared" si="44"/>
        <v>No Match</v>
      </c>
    </row>
    <row r="956" spans="2:15" hidden="1" x14ac:dyDescent="0.3">
      <c r="B956" s="7">
        <v>954</v>
      </c>
      <c r="C956" s="3" t="s">
        <v>960</v>
      </c>
      <c r="D956" s="2" t="s">
        <v>1026</v>
      </c>
      <c r="E956" s="3" t="s">
        <v>1008</v>
      </c>
      <c r="F956" s="3">
        <v>129</v>
      </c>
      <c r="G956" s="3">
        <v>129</v>
      </c>
      <c r="H956" s="8">
        <v>6000</v>
      </c>
      <c r="I956" s="48">
        <f>Table13[[#This Row],[Physical_Stock_Qty]]-Table13[[#This Row],[System_Stock_Qty]]</f>
        <v>0</v>
      </c>
      <c r="J956" s="53" t="str" cm="1">
        <f t="array" ref="J956">_xlfn.IFS(I956=0,"Matched",I956&gt;0,"Excess",I956&lt;0,"Shortage")</f>
        <v>Matched</v>
      </c>
      <c r="K956" s="50">
        <f>ABS(Table13[[#This Row],[Stock Difference]])</f>
        <v>0</v>
      </c>
      <c r="L956" s="17">
        <f t="shared" si="42"/>
        <v>0</v>
      </c>
      <c r="M956" s="17">
        <f t="shared" si="43"/>
        <v>774000</v>
      </c>
      <c r="N956" s="17" t="str" cm="1">
        <f t="array" ref="N956">_xlfn.IFS(K956=0,"Matched", K956&gt;100,"High", K956&gt;=50,"Medium", K956&lt;50,"Low")</f>
        <v>Matched</v>
      </c>
      <c r="O956" s="17" t="str">
        <f t="shared" si="44"/>
        <v>No Match</v>
      </c>
    </row>
    <row r="957" spans="2:15" hidden="1" x14ac:dyDescent="0.3">
      <c r="B957" s="7">
        <v>955</v>
      </c>
      <c r="C957" s="3" t="s">
        <v>961</v>
      </c>
      <c r="D957" s="2" t="s">
        <v>1038</v>
      </c>
      <c r="E957" s="3" t="s">
        <v>1007</v>
      </c>
      <c r="F957" s="3">
        <v>153</v>
      </c>
      <c r="G957" s="3">
        <v>153</v>
      </c>
      <c r="H957" s="8">
        <v>5000</v>
      </c>
      <c r="I957" s="48">
        <f>Table13[[#This Row],[Physical_Stock_Qty]]-Table13[[#This Row],[System_Stock_Qty]]</f>
        <v>0</v>
      </c>
      <c r="J957" s="53" t="str" cm="1">
        <f t="array" ref="J957">_xlfn.IFS(I957=0,"Matched",I957&gt;0,"Excess",I957&lt;0,"Shortage")</f>
        <v>Matched</v>
      </c>
      <c r="K957" s="50">
        <f>ABS(Table13[[#This Row],[Stock Difference]])</f>
        <v>0</v>
      </c>
      <c r="L957" s="17">
        <f t="shared" si="42"/>
        <v>0</v>
      </c>
      <c r="M957" s="17">
        <f t="shared" si="43"/>
        <v>765000</v>
      </c>
      <c r="N957" s="17" t="str" cm="1">
        <f t="array" ref="N957">_xlfn.IFS(K957=0,"Matched", K957&gt;100,"High", K957&gt;=50,"Medium", K957&lt;50,"Low")</f>
        <v>Matched</v>
      </c>
      <c r="O957" s="17" t="str">
        <f t="shared" si="44"/>
        <v>No Match</v>
      </c>
    </row>
    <row r="958" spans="2:15" hidden="1" x14ac:dyDescent="0.3">
      <c r="B958" s="7">
        <v>956</v>
      </c>
      <c r="C958" s="3" t="s">
        <v>962</v>
      </c>
      <c r="D958" s="2" t="s">
        <v>1085</v>
      </c>
      <c r="E958" s="3" t="s">
        <v>1011</v>
      </c>
      <c r="F958" s="3">
        <v>84</v>
      </c>
      <c r="G958" s="3">
        <v>84</v>
      </c>
      <c r="H958" s="8">
        <v>1500</v>
      </c>
      <c r="I958" s="48">
        <f>Table13[[#This Row],[Physical_Stock_Qty]]-Table13[[#This Row],[System_Stock_Qty]]</f>
        <v>0</v>
      </c>
      <c r="J958" s="53" t="str" cm="1">
        <f t="array" ref="J958">_xlfn.IFS(I958=0,"Matched",I958&gt;0,"Excess",I958&lt;0,"Shortage")</f>
        <v>Matched</v>
      </c>
      <c r="K958" s="50">
        <f>ABS(Table13[[#This Row],[Stock Difference]])</f>
        <v>0</v>
      </c>
      <c r="L958" s="17">
        <f t="shared" si="42"/>
        <v>0</v>
      </c>
      <c r="M958" s="17">
        <f t="shared" si="43"/>
        <v>126000</v>
      </c>
      <c r="N958" s="17" t="str" cm="1">
        <f t="array" ref="N958">_xlfn.IFS(K958=0,"Matched", K958&gt;100,"High", K958&gt;=50,"Medium", K958&lt;50,"Low")</f>
        <v>Matched</v>
      </c>
      <c r="O958" s="17" t="str">
        <f t="shared" si="44"/>
        <v>No Match</v>
      </c>
    </row>
    <row r="959" spans="2:15" hidden="1" x14ac:dyDescent="0.3">
      <c r="B959" s="7">
        <v>957</v>
      </c>
      <c r="C959" s="3" t="s">
        <v>963</v>
      </c>
      <c r="D959" s="2" t="s">
        <v>1044</v>
      </c>
      <c r="E959" s="3" t="s">
        <v>1010</v>
      </c>
      <c r="F959" s="3">
        <v>115</v>
      </c>
      <c r="G959" s="3">
        <v>115</v>
      </c>
      <c r="H959" s="8">
        <v>100</v>
      </c>
      <c r="I959" s="48">
        <f>Table13[[#This Row],[Physical_Stock_Qty]]-Table13[[#This Row],[System_Stock_Qty]]</f>
        <v>0</v>
      </c>
      <c r="J959" s="53" t="str" cm="1">
        <f t="array" ref="J959">_xlfn.IFS(I959=0,"Matched",I959&gt;0,"Excess",I959&lt;0,"Shortage")</f>
        <v>Matched</v>
      </c>
      <c r="K959" s="50">
        <f>ABS(Table13[[#This Row],[Stock Difference]])</f>
        <v>0</v>
      </c>
      <c r="L959" s="17">
        <f t="shared" si="42"/>
        <v>0</v>
      </c>
      <c r="M959" s="17">
        <f t="shared" si="43"/>
        <v>11500</v>
      </c>
      <c r="N959" s="17" t="str" cm="1">
        <f t="array" ref="N959">_xlfn.IFS(K959=0,"Matched", K959&gt;100,"High", K959&gt;=50,"Medium", K959&lt;50,"Low")</f>
        <v>Matched</v>
      </c>
      <c r="O959" s="17" t="str">
        <f t="shared" si="44"/>
        <v>No Match</v>
      </c>
    </row>
    <row r="960" spans="2:15" hidden="1" x14ac:dyDescent="0.3">
      <c r="B960" s="7">
        <v>958</v>
      </c>
      <c r="C960" s="3" t="s">
        <v>964</v>
      </c>
      <c r="D960" s="2" t="s">
        <v>1036</v>
      </c>
      <c r="E960" s="3" t="s">
        <v>1007</v>
      </c>
      <c r="F960" s="3">
        <v>118</v>
      </c>
      <c r="G960" s="3">
        <v>118</v>
      </c>
      <c r="H960" s="8">
        <v>8000</v>
      </c>
      <c r="I960" s="48">
        <f>Table13[[#This Row],[Physical_Stock_Qty]]-Table13[[#This Row],[System_Stock_Qty]]</f>
        <v>0</v>
      </c>
      <c r="J960" s="53" t="str" cm="1">
        <f t="array" ref="J960">_xlfn.IFS(I960=0,"Matched",I960&gt;0,"Excess",I960&lt;0,"Shortage")</f>
        <v>Matched</v>
      </c>
      <c r="K960" s="50">
        <f>ABS(Table13[[#This Row],[Stock Difference]])</f>
        <v>0</v>
      </c>
      <c r="L960" s="17">
        <f t="shared" si="42"/>
        <v>0</v>
      </c>
      <c r="M960" s="17">
        <f t="shared" si="43"/>
        <v>944000</v>
      </c>
      <c r="N960" s="17" t="str" cm="1">
        <f t="array" ref="N960">_xlfn.IFS(K960=0,"Matched", K960&gt;100,"High", K960&gt;=50,"Medium", K960&lt;50,"Low")</f>
        <v>Matched</v>
      </c>
      <c r="O960" s="17" t="str">
        <f t="shared" si="44"/>
        <v>No Match</v>
      </c>
    </row>
    <row r="961" spans="2:15" hidden="1" x14ac:dyDescent="0.3">
      <c r="B961" s="7">
        <v>959</v>
      </c>
      <c r="C961" s="3" t="s">
        <v>965</v>
      </c>
      <c r="D961" s="2" t="s">
        <v>1067</v>
      </c>
      <c r="E961" s="3" t="s">
        <v>1009</v>
      </c>
      <c r="F961" s="3">
        <v>173</v>
      </c>
      <c r="G961" s="3">
        <v>173</v>
      </c>
      <c r="H961" s="8">
        <v>100</v>
      </c>
      <c r="I961" s="48">
        <f>Table13[[#This Row],[Physical_Stock_Qty]]-Table13[[#This Row],[System_Stock_Qty]]</f>
        <v>0</v>
      </c>
      <c r="J961" s="53" t="str" cm="1">
        <f t="array" ref="J961">_xlfn.IFS(I961=0,"Matched",I961&gt;0,"Excess",I961&lt;0,"Shortage")</f>
        <v>Matched</v>
      </c>
      <c r="K961" s="50">
        <f>ABS(Table13[[#This Row],[Stock Difference]])</f>
        <v>0</v>
      </c>
      <c r="L961" s="17">
        <f t="shared" si="42"/>
        <v>0</v>
      </c>
      <c r="M961" s="17">
        <f t="shared" si="43"/>
        <v>17300</v>
      </c>
      <c r="N961" s="17" t="str" cm="1">
        <f t="array" ref="N961">_xlfn.IFS(K961=0,"Matched", K961&gt;100,"High", K961&gt;=50,"Medium", K961&lt;50,"Low")</f>
        <v>Matched</v>
      </c>
      <c r="O961" s="17" t="str">
        <f t="shared" si="44"/>
        <v>No Match</v>
      </c>
    </row>
    <row r="962" spans="2:15" hidden="1" x14ac:dyDescent="0.3">
      <c r="B962" s="7">
        <v>960</v>
      </c>
      <c r="C962" s="3" t="s">
        <v>966</v>
      </c>
      <c r="D962" s="2" t="s">
        <v>1021</v>
      </c>
      <c r="E962" s="3" t="s">
        <v>1008</v>
      </c>
      <c r="F962" s="3">
        <v>159</v>
      </c>
      <c r="G962" s="3">
        <v>159</v>
      </c>
      <c r="H962" s="8">
        <v>20000</v>
      </c>
      <c r="I962" s="48">
        <f>Table13[[#This Row],[Physical_Stock_Qty]]-Table13[[#This Row],[System_Stock_Qty]]</f>
        <v>0</v>
      </c>
      <c r="J962" s="53" t="str" cm="1">
        <f t="array" ref="J962">_xlfn.IFS(I962=0,"Matched",I962&gt;0,"Excess",I962&lt;0,"Shortage")</f>
        <v>Matched</v>
      </c>
      <c r="K962" s="50">
        <f>ABS(Table13[[#This Row],[Stock Difference]])</f>
        <v>0</v>
      </c>
      <c r="L962" s="17">
        <f t="shared" si="42"/>
        <v>0</v>
      </c>
      <c r="M962" s="17">
        <f t="shared" si="43"/>
        <v>3180000</v>
      </c>
      <c r="N962" s="17" t="str" cm="1">
        <f t="array" ref="N962">_xlfn.IFS(K962=0,"Matched", K962&gt;100,"High", K962&gt;=50,"Medium", K962&lt;50,"Low")</f>
        <v>Matched</v>
      </c>
      <c r="O962" s="17" t="str">
        <f t="shared" si="44"/>
        <v>No Match</v>
      </c>
    </row>
    <row r="963" spans="2:15" hidden="1" x14ac:dyDescent="0.3">
      <c r="B963" s="7">
        <v>961</v>
      </c>
      <c r="C963" s="3" t="s">
        <v>967</v>
      </c>
      <c r="D963" s="2" t="s">
        <v>1042</v>
      </c>
      <c r="E963" s="3" t="s">
        <v>1007</v>
      </c>
      <c r="F963" s="3">
        <v>50</v>
      </c>
      <c r="G963" s="3">
        <v>50</v>
      </c>
      <c r="H963" s="8">
        <v>3000</v>
      </c>
      <c r="I963" s="48">
        <f>Table13[[#This Row],[Physical_Stock_Qty]]-Table13[[#This Row],[System_Stock_Qty]]</f>
        <v>0</v>
      </c>
      <c r="J963" s="53" t="str" cm="1">
        <f t="array" ref="J963">_xlfn.IFS(I963=0,"Matched",I963&gt;0,"Excess",I963&lt;0,"Shortage")</f>
        <v>Matched</v>
      </c>
      <c r="K963" s="50">
        <f>ABS(Table13[[#This Row],[Stock Difference]])</f>
        <v>0</v>
      </c>
      <c r="L963" s="17">
        <f t="shared" si="42"/>
        <v>0</v>
      </c>
      <c r="M963" s="17">
        <f t="shared" si="43"/>
        <v>150000</v>
      </c>
      <c r="N963" s="17" t="str" cm="1">
        <f t="array" ref="N963">_xlfn.IFS(K963=0,"Matched", K963&gt;100,"High", K963&gt;=50,"Medium", K963&lt;50,"Low")</f>
        <v>Matched</v>
      </c>
      <c r="O963" s="17" t="str">
        <f t="shared" si="44"/>
        <v>No Match</v>
      </c>
    </row>
    <row r="964" spans="2:15" hidden="1" x14ac:dyDescent="0.3">
      <c r="B964" s="7">
        <v>962</v>
      </c>
      <c r="C964" s="3" t="s">
        <v>968</v>
      </c>
      <c r="D964" s="2" t="s">
        <v>1048</v>
      </c>
      <c r="E964" s="3" t="s">
        <v>1010</v>
      </c>
      <c r="F964" s="3">
        <v>79</v>
      </c>
      <c r="G964" s="3">
        <v>79</v>
      </c>
      <c r="H964" s="8">
        <v>50</v>
      </c>
      <c r="I964" s="48">
        <f>Table13[[#This Row],[Physical_Stock_Qty]]-Table13[[#This Row],[System_Stock_Qty]]</f>
        <v>0</v>
      </c>
      <c r="J964" s="53" t="str" cm="1">
        <f t="array" ref="J964">_xlfn.IFS(I964=0,"Matched",I964&gt;0,"Excess",I964&lt;0,"Shortage")</f>
        <v>Matched</v>
      </c>
      <c r="K964" s="50">
        <f>ABS(Table13[[#This Row],[Stock Difference]])</f>
        <v>0</v>
      </c>
      <c r="L964" s="17">
        <f t="shared" ref="L964:L1002" si="45">(K964*H964)</f>
        <v>0</v>
      </c>
      <c r="M964" s="17">
        <f t="shared" ref="M964:M1002" si="46">F964*H964</f>
        <v>3950</v>
      </c>
      <c r="N964" s="17" t="str" cm="1">
        <f t="array" ref="N964">_xlfn.IFS(K964=0,"Matched", K964&gt;100,"High", K964&gt;=50,"Medium", K964&lt;50,"Low")</f>
        <v>Matched</v>
      </c>
      <c r="O964" s="17" t="str">
        <f t="shared" ref="O964:O1002" si="47">IF(L964&gt;500000,"Yes",IF(L964=0,"No Match","No"))</f>
        <v>No Match</v>
      </c>
    </row>
    <row r="965" spans="2:15" hidden="1" x14ac:dyDescent="0.3">
      <c r="B965" s="7">
        <v>963</v>
      </c>
      <c r="C965" s="3" t="s">
        <v>969</v>
      </c>
      <c r="D965" s="2" t="s">
        <v>1071</v>
      </c>
      <c r="E965" s="3" t="s">
        <v>1009</v>
      </c>
      <c r="F965" s="3">
        <v>118</v>
      </c>
      <c r="G965" s="3">
        <v>118</v>
      </c>
      <c r="H965" s="8">
        <v>200</v>
      </c>
      <c r="I965" s="48">
        <f>Table13[[#This Row],[Physical_Stock_Qty]]-Table13[[#This Row],[System_Stock_Qty]]</f>
        <v>0</v>
      </c>
      <c r="J965" s="53" t="str" cm="1">
        <f t="array" ref="J965">_xlfn.IFS(I965=0,"Matched",I965&gt;0,"Excess",I965&lt;0,"Shortage")</f>
        <v>Matched</v>
      </c>
      <c r="K965" s="50">
        <f>ABS(Table13[[#This Row],[Stock Difference]])</f>
        <v>0</v>
      </c>
      <c r="L965" s="17">
        <f t="shared" si="45"/>
        <v>0</v>
      </c>
      <c r="M965" s="17">
        <f t="shared" si="46"/>
        <v>23600</v>
      </c>
      <c r="N965" s="17" t="str" cm="1">
        <f t="array" ref="N965">_xlfn.IFS(K965=0,"Matched", K965&gt;100,"High", K965&gt;=50,"Medium", K965&lt;50,"Low")</f>
        <v>Matched</v>
      </c>
      <c r="O965" s="17" t="str">
        <f t="shared" si="47"/>
        <v>No Match</v>
      </c>
    </row>
    <row r="966" spans="2:15" hidden="1" x14ac:dyDescent="0.3">
      <c r="B966" s="7">
        <v>964</v>
      </c>
      <c r="C966" s="3" t="s">
        <v>970</v>
      </c>
      <c r="D966" s="2" t="s">
        <v>1068</v>
      </c>
      <c r="E966" s="3" t="s">
        <v>1009</v>
      </c>
      <c r="F966" s="3">
        <v>189</v>
      </c>
      <c r="G966" s="3">
        <v>189</v>
      </c>
      <c r="H966" s="8">
        <v>100</v>
      </c>
      <c r="I966" s="48">
        <f>Table13[[#This Row],[Physical_Stock_Qty]]-Table13[[#This Row],[System_Stock_Qty]]</f>
        <v>0</v>
      </c>
      <c r="J966" s="53" t="str" cm="1">
        <f t="array" ref="J966">_xlfn.IFS(I966=0,"Matched",I966&gt;0,"Excess",I966&lt;0,"Shortage")</f>
        <v>Matched</v>
      </c>
      <c r="K966" s="50">
        <f>ABS(Table13[[#This Row],[Stock Difference]])</f>
        <v>0</v>
      </c>
      <c r="L966" s="17">
        <f t="shared" si="45"/>
        <v>0</v>
      </c>
      <c r="M966" s="17">
        <f t="shared" si="46"/>
        <v>18900</v>
      </c>
      <c r="N966" s="17" t="str" cm="1">
        <f t="array" ref="N966">_xlfn.IFS(K966=0,"Matched", K966&gt;100,"High", K966&gt;=50,"Medium", K966&lt;50,"Low")</f>
        <v>Matched</v>
      </c>
      <c r="O966" s="17" t="str">
        <f t="shared" si="47"/>
        <v>No Match</v>
      </c>
    </row>
    <row r="967" spans="2:15" hidden="1" x14ac:dyDescent="0.3">
      <c r="B967" s="7">
        <v>965</v>
      </c>
      <c r="C967" s="3" t="s">
        <v>971</v>
      </c>
      <c r="D967" s="2" t="s">
        <v>1057</v>
      </c>
      <c r="E967" s="3" t="s">
        <v>1012</v>
      </c>
      <c r="F967" s="3">
        <v>171</v>
      </c>
      <c r="G967" s="3">
        <v>171</v>
      </c>
      <c r="H967" s="8">
        <v>500</v>
      </c>
      <c r="I967" s="48">
        <f>Table13[[#This Row],[Physical_Stock_Qty]]-Table13[[#This Row],[System_Stock_Qty]]</f>
        <v>0</v>
      </c>
      <c r="J967" s="53" t="str" cm="1">
        <f t="array" ref="J967">_xlfn.IFS(I967=0,"Matched",I967&gt;0,"Excess",I967&lt;0,"Shortage")</f>
        <v>Matched</v>
      </c>
      <c r="K967" s="50">
        <f>ABS(Table13[[#This Row],[Stock Difference]])</f>
        <v>0</v>
      </c>
      <c r="L967" s="17">
        <f t="shared" si="45"/>
        <v>0</v>
      </c>
      <c r="M967" s="17">
        <f t="shared" si="46"/>
        <v>85500</v>
      </c>
      <c r="N967" s="17" t="str" cm="1">
        <f t="array" ref="N967">_xlfn.IFS(K967=0,"Matched", K967&gt;100,"High", K967&gt;=50,"Medium", K967&lt;50,"Low")</f>
        <v>Matched</v>
      </c>
      <c r="O967" s="17" t="str">
        <f t="shared" si="47"/>
        <v>No Match</v>
      </c>
    </row>
    <row r="968" spans="2:15" hidden="1" x14ac:dyDescent="0.3">
      <c r="B968" s="7">
        <v>966</v>
      </c>
      <c r="C968" s="3" t="s">
        <v>972</v>
      </c>
      <c r="D968" s="2" t="s">
        <v>1032</v>
      </c>
      <c r="E968" s="3" t="s">
        <v>1008</v>
      </c>
      <c r="F968" s="3">
        <v>30</v>
      </c>
      <c r="G968" s="3">
        <v>30</v>
      </c>
      <c r="H968" s="8">
        <v>2000</v>
      </c>
      <c r="I968" s="48">
        <f>Table13[[#This Row],[Physical_Stock_Qty]]-Table13[[#This Row],[System_Stock_Qty]]</f>
        <v>0</v>
      </c>
      <c r="J968" s="53" t="str" cm="1">
        <f t="array" ref="J968">_xlfn.IFS(I968=0,"Matched",I968&gt;0,"Excess",I968&lt;0,"Shortage")</f>
        <v>Matched</v>
      </c>
      <c r="K968" s="50">
        <f>ABS(Table13[[#This Row],[Stock Difference]])</f>
        <v>0</v>
      </c>
      <c r="L968" s="17">
        <f t="shared" si="45"/>
        <v>0</v>
      </c>
      <c r="M968" s="17">
        <f t="shared" si="46"/>
        <v>60000</v>
      </c>
      <c r="N968" s="17" t="str" cm="1">
        <f t="array" ref="N968">_xlfn.IFS(K968=0,"Matched", K968&gt;100,"High", K968&gt;=50,"Medium", K968&lt;50,"Low")</f>
        <v>Matched</v>
      </c>
      <c r="O968" s="17" t="str">
        <f t="shared" si="47"/>
        <v>No Match</v>
      </c>
    </row>
    <row r="969" spans="2:15" hidden="1" x14ac:dyDescent="0.3">
      <c r="B969" s="7">
        <v>967</v>
      </c>
      <c r="C969" s="3" t="s">
        <v>973</v>
      </c>
      <c r="D969" s="2" t="s">
        <v>1087</v>
      </c>
      <c r="E969" s="3" t="s">
        <v>1011</v>
      </c>
      <c r="F969" s="3">
        <v>149</v>
      </c>
      <c r="G969" s="3">
        <v>149</v>
      </c>
      <c r="H969" s="8">
        <v>5000</v>
      </c>
      <c r="I969" s="48">
        <f>Table13[[#This Row],[Physical_Stock_Qty]]-Table13[[#This Row],[System_Stock_Qty]]</f>
        <v>0</v>
      </c>
      <c r="J969" s="53" t="str" cm="1">
        <f t="array" ref="J969">_xlfn.IFS(I969=0,"Matched",I969&gt;0,"Excess",I969&lt;0,"Shortage")</f>
        <v>Matched</v>
      </c>
      <c r="K969" s="50">
        <f>ABS(Table13[[#This Row],[Stock Difference]])</f>
        <v>0</v>
      </c>
      <c r="L969" s="17">
        <f t="shared" si="45"/>
        <v>0</v>
      </c>
      <c r="M969" s="17">
        <f t="shared" si="46"/>
        <v>745000</v>
      </c>
      <c r="N969" s="17" t="str" cm="1">
        <f t="array" ref="N969">_xlfn.IFS(K969=0,"Matched", K969&gt;100,"High", K969&gt;=50,"Medium", K969&lt;50,"Low")</f>
        <v>Matched</v>
      </c>
      <c r="O969" s="17" t="str">
        <f t="shared" si="47"/>
        <v>No Match</v>
      </c>
    </row>
    <row r="970" spans="2:15" hidden="1" x14ac:dyDescent="0.3">
      <c r="B970" s="7">
        <v>968</v>
      </c>
      <c r="C970" s="3" t="s">
        <v>974</v>
      </c>
      <c r="D970" s="2" t="s">
        <v>1031</v>
      </c>
      <c r="E970" s="3" t="s">
        <v>1008</v>
      </c>
      <c r="F970" s="3">
        <v>115</v>
      </c>
      <c r="G970" s="3">
        <v>115</v>
      </c>
      <c r="H970" s="8">
        <v>40000</v>
      </c>
      <c r="I970" s="48">
        <f>Table13[[#This Row],[Physical_Stock_Qty]]-Table13[[#This Row],[System_Stock_Qty]]</f>
        <v>0</v>
      </c>
      <c r="J970" s="53" t="str" cm="1">
        <f t="array" ref="J970">_xlfn.IFS(I970=0,"Matched",I970&gt;0,"Excess",I970&lt;0,"Shortage")</f>
        <v>Matched</v>
      </c>
      <c r="K970" s="50">
        <f>ABS(Table13[[#This Row],[Stock Difference]])</f>
        <v>0</v>
      </c>
      <c r="L970" s="17">
        <f t="shared" si="45"/>
        <v>0</v>
      </c>
      <c r="M970" s="17">
        <f t="shared" si="46"/>
        <v>4600000</v>
      </c>
      <c r="N970" s="17" t="str" cm="1">
        <f t="array" ref="N970">_xlfn.IFS(K970=0,"Matched", K970&gt;100,"High", K970&gt;=50,"Medium", K970&lt;50,"Low")</f>
        <v>Matched</v>
      </c>
      <c r="O970" s="17" t="str">
        <f t="shared" si="47"/>
        <v>No Match</v>
      </c>
    </row>
    <row r="971" spans="2:15" hidden="1" x14ac:dyDescent="0.3">
      <c r="B971" s="7">
        <v>969</v>
      </c>
      <c r="C971" s="3" t="s">
        <v>975</v>
      </c>
      <c r="D971" s="2" t="s">
        <v>1017</v>
      </c>
      <c r="E971" s="3" t="s">
        <v>1012</v>
      </c>
      <c r="F971" s="3">
        <v>185</v>
      </c>
      <c r="G971" s="3">
        <v>185</v>
      </c>
      <c r="H971" s="8">
        <v>200</v>
      </c>
      <c r="I971" s="48">
        <f>Table13[[#This Row],[Physical_Stock_Qty]]-Table13[[#This Row],[System_Stock_Qty]]</f>
        <v>0</v>
      </c>
      <c r="J971" s="53" t="str" cm="1">
        <f t="array" ref="J971">_xlfn.IFS(I971=0,"Matched",I971&gt;0,"Excess",I971&lt;0,"Shortage")</f>
        <v>Matched</v>
      </c>
      <c r="K971" s="50">
        <f>ABS(Table13[[#This Row],[Stock Difference]])</f>
        <v>0</v>
      </c>
      <c r="L971" s="17">
        <f t="shared" si="45"/>
        <v>0</v>
      </c>
      <c r="M971" s="17">
        <f t="shared" si="46"/>
        <v>37000</v>
      </c>
      <c r="N971" s="17" t="str" cm="1">
        <f t="array" ref="N971">_xlfn.IFS(K971=0,"Matched", K971&gt;100,"High", K971&gt;=50,"Medium", K971&lt;50,"Low")</f>
        <v>Matched</v>
      </c>
      <c r="O971" s="17" t="str">
        <f t="shared" si="47"/>
        <v>No Match</v>
      </c>
    </row>
    <row r="972" spans="2:15" hidden="1" x14ac:dyDescent="0.3">
      <c r="B972" s="7">
        <v>970</v>
      </c>
      <c r="C972" s="3" t="s">
        <v>976</v>
      </c>
      <c r="D972" s="2" t="s">
        <v>1035</v>
      </c>
      <c r="E972" s="3" t="s">
        <v>1007</v>
      </c>
      <c r="F972" s="3">
        <v>87</v>
      </c>
      <c r="G972" s="3">
        <v>87</v>
      </c>
      <c r="H972" s="8">
        <v>15000</v>
      </c>
      <c r="I972" s="48">
        <f>Table13[[#This Row],[Physical_Stock_Qty]]-Table13[[#This Row],[System_Stock_Qty]]</f>
        <v>0</v>
      </c>
      <c r="J972" s="53" t="str" cm="1">
        <f t="array" ref="J972">_xlfn.IFS(I972=0,"Matched",I972&gt;0,"Excess",I972&lt;0,"Shortage")</f>
        <v>Matched</v>
      </c>
      <c r="K972" s="50">
        <f>ABS(Table13[[#This Row],[Stock Difference]])</f>
        <v>0</v>
      </c>
      <c r="L972" s="17">
        <f t="shared" si="45"/>
        <v>0</v>
      </c>
      <c r="M972" s="17">
        <f t="shared" si="46"/>
        <v>1305000</v>
      </c>
      <c r="N972" s="17" t="str" cm="1">
        <f t="array" ref="N972">_xlfn.IFS(K972=0,"Matched", K972&gt;100,"High", K972&gt;=50,"Medium", K972&lt;50,"Low")</f>
        <v>Matched</v>
      </c>
      <c r="O972" s="17" t="str">
        <f t="shared" si="47"/>
        <v>No Match</v>
      </c>
    </row>
    <row r="973" spans="2:15" hidden="1" x14ac:dyDescent="0.3">
      <c r="B973" s="7">
        <v>971</v>
      </c>
      <c r="C973" s="3" t="s">
        <v>977</v>
      </c>
      <c r="D973" s="2" t="s">
        <v>1044</v>
      </c>
      <c r="E973" s="3" t="s">
        <v>1010</v>
      </c>
      <c r="F973" s="3">
        <v>167</v>
      </c>
      <c r="G973" s="3">
        <v>167</v>
      </c>
      <c r="H973" s="8">
        <v>100</v>
      </c>
      <c r="I973" s="48">
        <f>Table13[[#This Row],[Physical_Stock_Qty]]-Table13[[#This Row],[System_Stock_Qty]]</f>
        <v>0</v>
      </c>
      <c r="J973" s="53" t="str" cm="1">
        <f t="array" ref="J973">_xlfn.IFS(I973=0,"Matched",I973&gt;0,"Excess",I973&lt;0,"Shortage")</f>
        <v>Matched</v>
      </c>
      <c r="K973" s="50">
        <f>ABS(Table13[[#This Row],[Stock Difference]])</f>
        <v>0</v>
      </c>
      <c r="L973" s="17">
        <f t="shared" si="45"/>
        <v>0</v>
      </c>
      <c r="M973" s="17">
        <f t="shared" si="46"/>
        <v>16700</v>
      </c>
      <c r="N973" s="17" t="str" cm="1">
        <f t="array" ref="N973">_xlfn.IFS(K973=0,"Matched", K973&gt;100,"High", K973&gt;=50,"Medium", K973&lt;50,"Low")</f>
        <v>Matched</v>
      </c>
      <c r="O973" s="17" t="str">
        <f t="shared" si="47"/>
        <v>No Match</v>
      </c>
    </row>
    <row r="974" spans="2:15" hidden="1" x14ac:dyDescent="0.3">
      <c r="B974" s="7">
        <v>972</v>
      </c>
      <c r="C974" s="3" t="s">
        <v>978</v>
      </c>
      <c r="D974" s="2" t="s">
        <v>1038</v>
      </c>
      <c r="E974" s="3" t="s">
        <v>1007</v>
      </c>
      <c r="F974" s="3">
        <v>93</v>
      </c>
      <c r="G974" s="3">
        <v>93</v>
      </c>
      <c r="H974" s="8">
        <v>5000</v>
      </c>
      <c r="I974" s="48">
        <f>Table13[[#This Row],[Physical_Stock_Qty]]-Table13[[#This Row],[System_Stock_Qty]]</f>
        <v>0</v>
      </c>
      <c r="J974" s="53" t="str" cm="1">
        <f t="array" ref="J974">_xlfn.IFS(I974=0,"Matched",I974&gt;0,"Excess",I974&lt;0,"Shortage")</f>
        <v>Matched</v>
      </c>
      <c r="K974" s="50">
        <f>ABS(Table13[[#This Row],[Stock Difference]])</f>
        <v>0</v>
      </c>
      <c r="L974" s="17">
        <f t="shared" si="45"/>
        <v>0</v>
      </c>
      <c r="M974" s="17">
        <f t="shared" si="46"/>
        <v>465000</v>
      </c>
      <c r="N974" s="17" t="str" cm="1">
        <f t="array" ref="N974">_xlfn.IFS(K974=0,"Matched", K974&gt;100,"High", K974&gt;=50,"Medium", K974&lt;50,"Low")</f>
        <v>Matched</v>
      </c>
      <c r="O974" s="17" t="str">
        <f t="shared" si="47"/>
        <v>No Match</v>
      </c>
    </row>
    <row r="975" spans="2:15" hidden="1" x14ac:dyDescent="0.3">
      <c r="B975" s="7">
        <v>973</v>
      </c>
      <c r="C975" s="3" t="s">
        <v>979</v>
      </c>
      <c r="D975" s="2" t="s">
        <v>1048</v>
      </c>
      <c r="E975" s="3" t="s">
        <v>1010</v>
      </c>
      <c r="F975" s="3">
        <v>176</v>
      </c>
      <c r="G975" s="3">
        <v>176</v>
      </c>
      <c r="H975" s="8">
        <v>50</v>
      </c>
      <c r="I975" s="48">
        <f>Table13[[#This Row],[Physical_Stock_Qty]]-Table13[[#This Row],[System_Stock_Qty]]</f>
        <v>0</v>
      </c>
      <c r="J975" s="53" t="str" cm="1">
        <f t="array" ref="J975">_xlfn.IFS(I975=0,"Matched",I975&gt;0,"Excess",I975&lt;0,"Shortage")</f>
        <v>Matched</v>
      </c>
      <c r="K975" s="50">
        <f>ABS(Table13[[#This Row],[Stock Difference]])</f>
        <v>0</v>
      </c>
      <c r="L975" s="17">
        <f t="shared" si="45"/>
        <v>0</v>
      </c>
      <c r="M975" s="17">
        <f t="shared" si="46"/>
        <v>8800</v>
      </c>
      <c r="N975" s="17" t="str" cm="1">
        <f t="array" ref="N975">_xlfn.IFS(K975=0,"Matched", K975&gt;100,"High", K975&gt;=50,"Medium", K975&lt;50,"Low")</f>
        <v>Matched</v>
      </c>
      <c r="O975" s="17" t="str">
        <f t="shared" si="47"/>
        <v>No Match</v>
      </c>
    </row>
    <row r="976" spans="2:15" hidden="1" x14ac:dyDescent="0.3">
      <c r="B976" s="7">
        <v>974</v>
      </c>
      <c r="C976" s="3" t="s">
        <v>980</v>
      </c>
      <c r="D976" s="2" t="s">
        <v>1035</v>
      </c>
      <c r="E976" s="3" t="s">
        <v>1007</v>
      </c>
      <c r="F976" s="3">
        <v>139</v>
      </c>
      <c r="G976" s="3">
        <v>139</v>
      </c>
      <c r="H976" s="8">
        <v>15000</v>
      </c>
      <c r="I976" s="48">
        <f>Table13[[#This Row],[Physical_Stock_Qty]]-Table13[[#This Row],[System_Stock_Qty]]</f>
        <v>0</v>
      </c>
      <c r="J976" s="53" t="str" cm="1">
        <f t="array" ref="J976">_xlfn.IFS(I976=0,"Matched",I976&gt;0,"Excess",I976&lt;0,"Shortage")</f>
        <v>Matched</v>
      </c>
      <c r="K976" s="50">
        <f>ABS(Table13[[#This Row],[Stock Difference]])</f>
        <v>0</v>
      </c>
      <c r="L976" s="17">
        <f t="shared" si="45"/>
        <v>0</v>
      </c>
      <c r="M976" s="17">
        <f t="shared" si="46"/>
        <v>2085000</v>
      </c>
      <c r="N976" s="17" t="str" cm="1">
        <f t="array" ref="N976">_xlfn.IFS(K976=0,"Matched", K976&gt;100,"High", K976&gt;=50,"Medium", K976&lt;50,"Low")</f>
        <v>Matched</v>
      </c>
      <c r="O976" s="17" t="str">
        <f t="shared" si="47"/>
        <v>No Match</v>
      </c>
    </row>
    <row r="977" spans="2:15" hidden="1" x14ac:dyDescent="0.3">
      <c r="B977" s="7">
        <v>975</v>
      </c>
      <c r="C977" s="3" t="s">
        <v>981</v>
      </c>
      <c r="D977" s="2" t="s">
        <v>1017</v>
      </c>
      <c r="E977" s="3" t="s">
        <v>1012</v>
      </c>
      <c r="F977" s="3">
        <v>142</v>
      </c>
      <c r="G977" s="3">
        <v>142</v>
      </c>
      <c r="H977" s="8">
        <v>200</v>
      </c>
      <c r="I977" s="48">
        <f>Table13[[#This Row],[Physical_Stock_Qty]]-Table13[[#This Row],[System_Stock_Qty]]</f>
        <v>0</v>
      </c>
      <c r="J977" s="53" t="str" cm="1">
        <f t="array" ref="J977">_xlfn.IFS(I977=0,"Matched",I977&gt;0,"Excess",I977&lt;0,"Shortage")</f>
        <v>Matched</v>
      </c>
      <c r="K977" s="50">
        <f>ABS(Table13[[#This Row],[Stock Difference]])</f>
        <v>0</v>
      </c>
      <c r="L977" s="17">
        <f t="shared" si="45"/>
        <v>0</v>
      </c>
      <c r="M977" s="17">
        <f t="shared" si="46"/>
        <v>28400</v>
      </c>
      <c r="N977" s="17" t="str" cm="1">
        <f t="array" ref="N977">_xlfn.IFS(K977=0,"Matched", K977&gt;100,"High", K977&gt;=50,"Medium", K977&lt;50,"Low")</f>
        <v>Matched</v>
      </c>
      <c r="O977" s="17" t="str">
        <f t="shared" si="47"/>
        <v>No Match</v>
      </c>
    </row>
    <row r="978" spans="2:15" hidden="1" x14ac:dyDescent="0.3">
      <c r="B978" s="7">
        <v>976</v>
      </c>
      <c r="C978" s="3" t="s">
        <v>982</v>
      </c>
      <c r="D978" s="2" t="s">
        <v>1042</v>
      </c>
      <c r="E978" s="3" t="s">
        <v>1007</v>
      </c>
      <c r="F978" s="3">
        <v>179</v>
      </c>
      <c r="G978" s="3">
        <v>179</v>
      </c>
      <c r="H978" s="8">
        <v>3000</v>
      </c>
      <c r="I978" s="48">
        <f>Table13[[#This Row],[Physical_Stock_Qty]]-Table13[[#This Row],[System_Stock_Qty]]</f>
        <v>0</v>
      </c>
      <c r="J978" s="53" t="str" cm="1">
        <f t="array" ref="J978">_xlfn.IFS(I978=0,"Matched",I978&gt;0,"Excess",I978&lt;0,"Shortage")</f>
        <v>Matched</v>
      </c>
      <c r="K978" s="50">
        <f>ABS(Table13[[#This Row],[Stock Difference]])</f>
        <v>0</v>
      </c>
      <c r="L978" s="17">
        <f t="shared" si="45"/>
        <v>0</v>
      </c>
      <c r="M978" s="17">
        <f t="shared" si="46"/>
        <v>537000</v>
      </c>
      <c r="N978" s="17" t="str" cm="1">
        <f t="array" ref="N978">_xlfn.IFS(K978=0,"Matched", K978&gt;100,"High", K978&gt;=50,"Medium", K978&lt;50,"Low")</f>
        <v>Matched</v>
      </c>
      <c r="O978" s="17" t="str">
        <f t="shared" si="47"/>
        <v>No Match</v>
      </c>
    </row>
    <row r="979" spans="2:15" hidden="1" x14ac:dyDescent="0.3">
      <c r="B979" s="7">
        <v>977</v>
      </c>
      <c r="C979" s="3" t="s">
        <v>983</v>
      </c>
      <c r="D979" s="2" t="s">
        <v>1037</v>
      </c>
      <c r="E979" s="3" t="s">
        <v>1007</v>
      </c>
      <c r="F979" s="3">
        <v>50</v>
      </c>
      <c r="G979" s="3">
        <v>50</v>
      </c>
      <c r="H979" s="8">
        <v>10000</v>
      </c>
      <c r="I979" s="48">
        <f>Table13[[#This Row],[Physical_Stock_Qty]]-Table13[[#This Row],[System_Stock_Qty]]</f>
        <v>0</v>
      </c>
      <c r="J979" s="53" t="str" cm="1">
        <f t="array" ref="J979">_xlfn.IFS(I979=0,"Matched",I979&gt;0,"Excess",I979&lt;0,"Shortage")</f>
        <v>Matched</v>
      </c>
      <c r="K979" s="50">
        <f>ABS(Table13[[#This Row],[Stock Difference]])</f>
        <v>0</v>
      </c>
      <c r="L979" s="17">
        <f t="shared" si="45"/>
        <v>0</v>
      </c>
      <c r="M979" s="17">
        <f t="shared" si="46"/>
        <v>500000</v>
      </c>
      <c r="N979" s="17" t="str" cm="1">
        <f t="array" ref="N979">_xlfn.IFS(K979=0,"Matched", K979&gt;100,"High", K979&gt;=50,"Medium", K979&lt;50,"Low")</f>
        <v>Matched</v>
      </c>
      <c r="O979" s="17" t="str">
        <f t="shared" si="47"/>
        <v>No Match</v>
      </c>
    </row>
    <row r="980" spans="2:15" hidden="1" x14ac:dyDescent="0.3">
      <c r="B980" s="7">
        <v>978</v>
      </c>
      <c r="C980" s="3" t="s">
        <v>984</v>
      </c>
      <c r="D980" s="2" t="s">
        <v>1036</v>
      </c>
      <c r="E980" s="3" t="s">
        <v>1007</v>
      </c>
      <c r="F980" s="3">
        <v>59</v>
      </c>
      <c r="G980" s="3">
        <v>59</v>
      </c>
      <c r="H980" s="8">
        <v>8000</v>
      </c>
      <c r="I980" s="48">
        <f>Table13[[#This Row],[Physical_Stock_Qty]]-Table13[[#This Row],[System_Stock_Qty]]</f>
        <v>0</v>
      </c>
      <c r="J980" s="53" t="str" cm="1">
        <f t="array" ref="J980">_xlfn.IFS(I980=0,"Matched",I980&gt;0,"Excess",I980&lt;0,"Shortage")</f>
        <v>Matched</v>
      </c>
      <c r="K980" s="50">
        <f>ABS(Table13[[#This Row],[Stock Difference]])</f>
        <v>0</v>
      </c>
      <c r="L980" s="17">
        <f t="shared" si="45"/>
        <v>0</v>
      </c>
      <c r="M980" s="17">
        <f t="shared" si="46"/>
        <v>472000</v>
      </c>
      <c r="N980" s="17" t="str" cm="1">
        <f t="array" ref="N980">_xlfn.IFS(K980=0,"Matched", K980&gt;100,"High", K980&gt;=50,"Medium", K980&lt;50,"Low")</f>
        <v>Matched</v>
      </c>
      <c r="O980" s="17" t="str">
        <f t="shared" si="47"/>
        <v>No Match</v>
      </c>
    </row>
    <row r="981" spans="2:15" hidden="1" x14ac:dyDescent="0.3">
      <c r="B981" s="7">
        <v>979</v>
      </c>
      <c r="C981" s="3" t="s">
        <v>985</v>
      </c>
      <c r="D981" s="2" t="s">
        <v>1067</v>
      </c>
      <c r="E981" s="3" t="s">
        <v>1009</v>
      </c>
      <c r="F981" s="3">
        <v>96</v>
      </c>
      <c r="G981" s="3">
        <v>96</v>
      </c>
      <c r="H981" s="8">
        <v>100</v>
      </c>
      <c r="I981" s="48">
        <f>Table13[[#This Row],[Physical_Stock_Qty]]-Table13[[#This Row],[System_Stock_Qty]]</f>
        <v>0</v>
      </c>
      <c r="J981" s="53" t="str" cm="1">
        <f t="array" ref="J981">_xlfn.IFS(I981=0,"Matched",I981&gt;0,"Excess",I981&lt;0,"Shortage")</f>
        <v>Matched</v>
      </c>
      <c r="K981" s="50">
        <f>ABS(Table13[[#This Row],[Stock Difference]])</f>
        <v>0</v>
      </c>
      <c r="L981" s="17">
        <f t="shared" si="45"/>
        <v>0</v>
      </c>
      <c r="M981" s="17">
        <f t="shared" si="46"/>
        <v>9600</v>
      </c>
      <c r="N981" s="17" t="str" cm="1">
        <f t="array" ref="N981">_xlfn.IFS(K981=0,"Matched", K981&gt;100,"High", K981&gt;=50,"Medium", K981&lt;50,"Low")</f>
        <v>Matched</v>
      </c>
      <c r="O981" s="17" t="str">
        <f t="shared" si="47"/>
        <v>No Match</v>
      </c>
    </row>
    <row r="982" spans="2:15" hidden="1" x14ac:dyDescent="0.3">
      <c r="B982" s="7">
        <v>980</v>
      </c>
      <c r="C982" s="3" t="s">
        <v>986</v>
      </c>
      <c r="D982" s="2" t="s">
        <v>1079</v>
      </c>
      <c r="E982" s="3" t="s">
        <v>1011</v>
      </c>
      <c r="F982" s="3">
        <v>91</v>
      </c>
      <c r="G982" s="3">
        <v>91</v>
      </c>
      <c r="H982" s="8">
        <v>5000</v>
      </c>
      <c r="I982" s="48">
        <f>Table13[[#This Row],[Physical_Stock_Qty]]-Table13[[#This Row],[System_Stock_Qty]]</f>
        <v>0</v>
      </c>
      <c r="J982" s="53" t="str" cm="1">
        <f t="array" ref="J982">_xlfn.IFS(I982=0,"Matched",I982&gt;0,"Excess",I982&lt;0,"Shortage")</f>
        <v>Matched</v>
      </c>
      <c r="K982" s="50">
        <f>ABS(Table13[[#This Row],[Stock Difference]])</f>
        <v>0</v>
      </c>
      <c r="L982" s="17">
        <f t="shared" si="45"/>
        <v>0</v>
      </c>
      <c r="M982" s="17">
        <f t="shared" si="46"/>
        <v>455000</v>
      </c>
      <c r="N982" s="17" t="str" cm="1">
        <f t="array" ref="N982">_xlfn.IFS(K982=0,"Matched", K982&gt;100,"High", K982&gt;=50,"Medium", K982&lt;50,"Low")</f>
        <v>Matched</v>
      </c>
      <c r="O982" s="17" t="str">
        <f t="shared" si="47"/>
        <v>No Match</v>
      </c>
    </row>
    <row r="983" spans="2:15" hidden="1" x14ac:dyDescent="0.3">
      <c r="B983" s="7">
        <v>981</v>
      </c>
      <c r="C983" s="3" t="s">
        <v>987</v>
      </c>
      <c r="D983" s="2" t="s">
        <v>1057</v>
      </c>
      <c r="E983" s="3" t="s">
        <v>1012</v>
      </c>
      <c r="F983" s="3">
        <v>93</v>
      </c>
      <c r="G983" s="3">
        <v>93</v>
      </c>
      <c r="H983" s="8">
        <v>500</v>
      </c>
      <c r="I983" s="48">
        <f>Table13[[#This Row],[Physical_Stock_Qty]]-Table13[[#This Row],[System_Stock_Qty]]</f>
        <v>0</v>
      </c>
      <c r="J983" s="53" t="str" cm="1">
        <f t="array" ref="J983">_xlfn.IFS(I983=0,"Matched",I983&gt;0,"Excess",I983&lt;0,"Shortage")</f>
        <v>Matched</v>
      </c>
      <c r="K983" s="50">
        <f>ABS(Table13[[#This Row],[Stock Difference]])</f>
        <v>0</v>
      </c>
      <c r="L983" s="17">
        <f t="shared" si="45"/>
        <v>0</v>
      </c>
      <c r="M983" s="17">
        <f t="shared" si="46"/>
        <v>46500</v>
      </c>
      <c r="N983" s="17" t="str" cm="1">
        <f t="array" ref="N983">_xlfn.IFS(K983=0,"Matched", K983&gt;100,"High", K983&gt;=50,"Medium", K983&lt;50,"Low")</f>
        <v>Matched</v>
      </c>
      <c r="O983" s="17" t="str">
        <f t="shared" si="47"/>
        <v>No Match</v>
      </c>
    </row>
    <row r="984" spans="2:15" hidden="1" x14ac:dyDescent="0.3">
      <c r="B984" s="7">
        <v>982</v>
      </c>
      <c r="C984" s="3" t="s">
        <v>988</v>
      </c>
      <c r="D984" s="2" t="s">
        <v>1026</v>
      </c>
      <c r="E984" s="3" t="s">
        <v>1008</v>
      </c>
      <c r="F984" s="3">
        <v>107</v>
      </c>
      <c r="G984" s="3">
        <v>107</v>
      </c>
      <c r="H984" s="8">
        <v>6000</v>
      </c>
      <c r="I984" s="48">
        <f>Table13[[#This Row],[Physical_Stock_Qty]]-Table13[[#This Row],[System_Stock_Qty]]</f>
        <v>0</v>
      </c>
      <c r="J984" s="53" t="str" cm="1">
        <f t="array" ref="J984">_xlfn.IFS(I984=0,"Matched",I984&gt;0,"Excess",I984&lt;0,"Shortage")</f>
        <v>Matched</v>
      </c>
      <c r="K984" s="50">
        <f>ABS(Table13[[#This Row],[Stock Difference]])</f>
        <v>0</v>
      </c>
      <c r="L984" s="17">
        <f t="shared" si="45"/>
        <v>0</v>
      </c>
      <c r="M984" s="17">
        <f t="shared" si="46"/>
        <v>642000</v>
      </c>
      <c r="N984" s="17" t="str" cm="1">
        <f t="array" ref="N984">_xlfn.IFS(K984=0,"Matched", K984&gt;100,"High", K984&gt;=50,"Medium", K984&lt;50,"Low")</f>
        <v>Matched</v>
      </c>
      <c r="O984" s="17" t="str">
        <f t="shared" si="47"/>
        <v>No Match</v>
      </c>
    </row>
    <row r="985" spans="2:15" hidden="1" x14ac:dyDescent="0.3">
      <c r="B985" s="7">
        <v>983</v>
      </c>
      <c r="C985" s="3" t="s">
        <v>989</v>
      </c>
      <c r="D985" s="2" t="s">
        <v>1049</v>
      </c>
      <c r="E985" s="3" t="s">
        <v>1010</v>
      </c>
      <c r="F985" s="3">
        <v>120</v>
      </c>
      <c r="G985" s="3">
        <v>120</v>
      </c>
      <c r="H985" s="8">
        <v>20</v>
      </c>
      <c r="I985" s="48">
        <f>Table13[[#This Row],[Physical_Stock_Qty]]-Table13[[#This Row],[System_Stock_Qty]]</f>
        <v>0</v>
      </c>
      <c r="J985" s="53" t="str" cm="1">
        <f t="array" ref="J985">_xlfn.IFS(I985=0,"Matched",I985&gt;0,"Excess",I985&lt;0,"Shortage")</f>
        <v>Matched</v>
      </c>
      <c r="K985" s="50">
        <f>ABS(Table13[[#This Row],[Stock Difference]])</f>
        <v>0</v>
      </c>
      <c r="L985" s="17">
        <f t="shared" si="45"/>
        <v>0</v>
      </c>
      <c r="M985" s="17">
        <f t="shared" si="46"/>
        <v>2400</v>
      </c>
      <c r="N985" s="17" t="str" cm="1">
        <f t="array" ref="N985">_xlfn.IFS(K985=0,"Matched", K985&gt;100,"High", K985&gt;=50,"Medium", K985&lt;50,"Low")</f>
        <v>Matched</v>
      </c>
      <c r="O985" s="17" t="str">
        <f t="shared" si="47"/>
        <v>No Match</v>
      </c>
    </row>
    <row r="986" spans="2:15" hidden="1" x14ac:dyDescent="0.3">
      <c r="B986" s="7">
        <v>984</v>
      </c>
      <c r="C986" s="3" t="s">
        <v>990</v>
      </c>
      <c r="D986" s="2" t="s">
        <v>1036</v>
      </c>
      <c r="E986" s="3" t="s">
        <v>1007</v>
      </c>
      <c r="F986" s="3">
        <v>127</v>
      </c>
      <c r="G986" s="3">
        <v>127</v>
      </c>
      <c r="H986" s="8">
        <v>8000</v>
      </c>
      <c r="I986" s="48">
        <f>Table13[[#This Row],[Physical_Stock_Qty]]-Table13[[#This Row],[System_Stock_Qty]]</f>
        <v>0</v>
      </c>
      <c r="J986" s="53" t="str" cm="1">
        <f t="array" ref="J986">_xlfn.IFS(I986=0,"Matched",I986&gt;0,"Excess",I986&lt;0,"Shortage")</f>
        <v>Matched</v>
      </c>
      <c r="K986" s="50">
        <f>ABS(Table13[[#This Row],[Stock Difference]])</f>
        <v>0</v>
      </c>
      <c r="L986" s="17">
        <f t="shared" si="45"/>
        <v>0</v>
      </c>
      <c r="M986" s="17">
        <f t="shared" si="46"/>
        <v>1016000</v>
      </c>
      <c r="N986" s="17" t="str" cm="1">
        <f t="array" ref="N986">_xlfn.IFS(K986=0,"Matched", K986&gt;100,"High", K986&gt;=50,"Medium", K986&lt;50,"Low")</f>
        <v>Matched</v>
      </c>
      <c r="O986" s="17" t="str">
        <f t="shared" si="47"/>
        <v>No Match</v>
      </c>
    </row>
    <row r="987" spans="2:15" hidden="1" x14ac:dyDescent="0.3">
      <c r="B987" s="7">
        <v>985</v>
      </c>
      <c r="C987" s="3" t="s">
        <v>991</v>
      </c>
      <c r="D987" s="2" t="s">
        <v>1055</v>
      </c>
      <c r="E987" s="3" t="s">
        <v>1010</v>
      </c>
      <c r="F987" s="3">
        <v>181</v>
      </c>
      <c r="G987" s="3">
        <v>181</v>
      </c>
      <c r="H987" s="8">
        <v>50</v>
      </c>
      <c r="I987" s="48">
        <f>Table13[[#This Row],[Physical_Stock_Qty]]-Table13[[#This Row],[System_Stock_Qty]]</f>
        <v>0</v>
      </c>
      <c r="J987" s="53" t="str" cm="1">
        <f t="array" ref="J987">_xlfn.IFS(I987=0,"Matched",I987&gt;0,"Excess",I987&lt;0,"Shortage")</f>
        <v>Matched</v>
      </c>
      <c r="K987" s="50">
        <f>ABS(Table13[[#This Row],[Stock Difference]])</f>
        <v>0</v>
      </c>
      <c r="L987" s="17">
        <f t="shared" si="45"/>
        <v>0</v>
      </c>
      <c r="M987" s="17">
        <f t="shared" si="46"/>
        <v>9050</v>
      </c>
      <c r="N987" s="17" t="str" cm="1">
        <f t="array" ref="N987">_xlfn.IFS(K987=0,"Matched", K987&gt;100,"High", K987&gt;=50,"Medium", K987&lt;50,"Low")</f>
        <v>Matched</v>
      </c>
      <c r="O987" s="17" t="str">
        <f t="shared" si="47"/>
        <v>No Match</v>
      </c>
    </row>
    <row r="988" spans="2:15" hidden="1" x14ac:dyDescent="0.3">
      <c r="B988" s="7">
        <v>986</v>
      </c>
      <c r="C988" s="3" t="s">
        <v>992</v>
      </c>
      <c r="D988" s="2" t="s">
        <v>1023</v>
      </c>
      <c r="E988" s="3" t="s">
        <v>1008</v>
      </c>
      <c r="F988" s="3">
        <v>184</v>
      </c>
      <c r="G988" s="3">
        <v>184</v>
      </c>
      <c r="H988" s="8">
        <v>20000</v>
      </c>
      <c r="I988" s="48">
        <f>Table13[[#This Row],[Physical_Stock_Qty]]-Table13[[#This Row],[System_Stock_Qty]]</f>
        <v>0</v>
      </c>
      <c r="J988" s="53" t="str" cm="1">
        <f t="array" ref="J988">_xlfn.IFS(I988=0,"Matched",I988&gt;0,"Excess",I988&lt;0,"Shortage")</f>
        <v>Matched</v>
      </c>
      <c r="K988" s="50">
        <f>ABS(Table13[[#This Row],[Stock Difference]])</f>
        <v>0</v>
      </c>
      <c r="L988" s="17">
        <f t="shared" si="45"/>
        <v>0</v>
      </c>
      <c r="M988" s="17">
        <f t="shared" si="46"/>
        <v>3680000</v>
      </c>
      <c r="N988" s="17" t="str" cm="1">
        <f t="array" ref="N988">_xlfn.IFS(K988=0,"Matched", K988&gt;100,"High", K988&gt;=50,"Medium", K988&lt;50,"Low")</f>
        <v>Matched</v>
      </c>
      <c r="O988" s="17" t="str">
        <f t="shared" si="47"/>
        <v>No Match</v>
      </c>
    </row>
    <row r="989" spans="2:15" hidden="1" x14ac:dyDescent="0.3">
      <c r="B989" s="7">
        <v>987</v>
      </c>
      <c r="C989" s="3" t="s">
        <v>993</v>
      </c>
      <c r="D989" s="2" t="s">
        <v>1059</v>
      </c>
      <c r="E989" s="3" t="s">
        <v>1012</v>
      </c>
      <c r="F989" s="3">
        <v>197</v>
      </c>
      <c r="G989" s="3">
        <v>197</v>
      </c>
      <c r="H989" s="8">
        <v>200</v>
      </c>
      <c r="I989" s="48">
        <f>Table13[[#This Row],[Physical_Stock_Qty]]-Table13[[#This Row],[System_Stock_Qty]]</f>
        <v>0</v>
      </c>
      <c r="J989" s="53" t="str" cm="1">
        <f t="array" ref="J989">_xlfn.IFS(I989=0,"Matched",I989&gt;0,"Excess",I989&lt;0,"Shortage")</f>
        <v>Matched</v>
      </c>
      <c r="K989" s="50">
        <f>ABS(Table13[[#This Row],[Stock Difference]])</f>
        <v>0</v>
      </c>
      <c r="L989" s="17">
        <f t="shared" si="45"/>
        <v>0</v>
      </c>
      <c r="M989" s="17">
        <f t="shared" si="46"/>
        <v>39400</v>
      </c>
      <c r="N989" s="17" t="str" cm="1">
        <f t="array" ref="N989">_xlfn.IFS(K989=0,"Matched", K989&gt;100,"High", K989&gt;=50,"Medium", K989&lt;50,"Low")</f>
        <v>Matched</v>
      </c>
      <c r="O989" s="17" t="str">
        <f t="shared" si="47"/>
        <v>No Match</v>
      </c>
    </row>
    <row r="990" spans="2:15" hidden="1" x14ac:dyDescent="0.3">
      <c r="B990" s="7">
        <v>988</v>
      </c>
      <c r="C990" s="3" t="s">
        <v>994</v>
      </c>
      <c r="D990" s="2" t="s">
        <v>1065</v>
      </c>
      <c r="E990" s="3" t="s">
        <v>1009</v>
      </c>
      <c r="F990" s="3">
        <v>77</v>
      </c>
      <c r="G990" s="3">
        <v>77</v>
      </c>
      <c r="H990" s="8">
        <v>200</v>
      </c>
      <c r="I990" s="48">
        <f>Table13[[#This Row],[Physical_Stock_Qty]]-Table13[[#This Row],[System_Stock_Qty]]</f>
        <v>0</v>
      </c>
      <c r="J990" s="53" t="str" cm="1">
        <f t="array" ref="J990">_xlfn.IFS(I990=0,"Matched",I990&gt;0,"Excess",I990&lt;0,"Shortage")</f>
        <v>Matched</v>
      </c>
      <c r="K990" s="50">
        <f>ABS(Table13[[#This Row],[Stock Difference]])</f>
        <v>0</v>
      </c>
      <c r="L990" s="17">
        <f t="shared" si="45"/>
        <v>0</v>
      </c>
      <c r="M990" s="17">
        <f t="shared" si="46"/>
        <v>15400</v>
      </c>
      <c r="N990" s="17" t="str" cm="1">
        <f t="array" ref="N990">_xlfn.IFS(K990=0,"Matched", K990&gt;100,"High", K990&gt;=50,"Medium", K990&lt;50,"Low")</f>
        <v>Matched</v>
      </c>
      <c r="O990" s="17" t="str">
        <f t="shared" si="47"/>
        <v>No Match</v>
      </c>
    </row>
    <row r="991" spans="2:15" hidden="1" x14ac:dyDescent="0.3">
      <c r="B991" s="7">
        <v>989</v>
      </c>
      <c r="C991" s="3" t="s">
        <v>995</v>
      </c>
      <c r="D991" s="2" t="s">
        <v>1072</v>
      </c>
      <c r="E991" s="3" t="s">
        <v>1009</v>
      </c>
      <c r="F991" s="3">
        <v>36</v>
      </c>
      <c r="G991" s="3">
        <v>36</v>
      </c>
      <c r="H991" s="8">
        <v>50</v>
      </c>
      <c r="I991" s="48">
        <f>Table13[[#This Row],[Physical_Stock_Qty]]-Table13[[#This Row],[System_Stock_Qty]]</f>
        <v>0</v>
      </c>
      <c r="J991" s="53" t="str" cm="1">
        <f t="array" ref="J991">_xlfn.IFS(I991=0,"Matched",I991&gt;0,"Excess",I991&lt;0,"Shortage")</f>
        <v>Matched</v>
      </c>
      <c r="K991" s="50">
        <f>ABS(Table13[[#This Row],[Stock Difference]])</f>
        <v>0</v>
      </c>
      <c r="L991" s="17">
        <f t="shared" si="45"/>
        <v>0</v>
      </c>
      <c r="M991" s="17">
        <f t="shared" si="46"/>
        <v>1800</v>
      </c>
      <c r="N991" s="17" t="str" cm="1">
        <f t="array" ref="N991">_xlfn.IFS(K991=0,"Matched", K991&gt;100,"High", K991&gt;=50,"Medium", K991&lt;50,"Low")</f>
        <v>Matched</v>
      </c>
      <c r="O991" s="17" t="str">
        <f t="shared" si="47"/>
        <v>No Match</v>
      </c>
    </row>
    <row r="992" spans="2:15" hidden="1" x14ac:dyDescent="0.3">
      <c r="B992" s="7">
        <v>990</v>
      </c>
      <c r="C992" s="3" t="s">
        <v>996</v>
      </c>
      <c r="D992" s="2" t="s">
        <v>1032</v>
      </c>
      <c r="E992" s="3" t="s">
        <v>1008</v>
      </c>
      <c r="F992" s="3">
        <v>91</v>
      </c>
      <c r="G992" s="3">
        <v>91</v>
      </c>
      <c r="H992" s="8">
        <v>2000</v>
      </c>
      <c r="I992" s="48">
        <f>Table13[[#This Row],[Physical_Stock_Qty]]-Table13[[#This Row],[System_Stock_Qty]]</f>
        <v>0</v>
      </c>
      <c r="J992" s="53" t="str" cm="1">
        <f t="array" ref="J992">_xlfn.IFS(I992=0,"Matched",I992&gt;0,"Excess",I992&lt;0,"Shortage")</f>
        <v>Matched</v>
      </c>
      <c r="K992" s="50">
        <f>ABS(Table13[[#This Row],[Stock Difference]])</f>
        <v>0</v>
      </c>
      <c r="L992" s="17">
        <f t="shared" si="45"/>
        <v>0</v>
      </c>
      <c r="M992" s="17">
        <f t="shared" si="46"/>
        <v>182000</v>
      </c>
      <c r="N992" s="17" t="str" cm="1">
        <f t="array" ref="N992">_xlfn.IFS(K992=0,"Matched", K992&gt;100,"High", K992&gt;=50,"Medium", K992&lt;50,"Low")</f>
        <v>Matched</v>
      </c>
      <c r="O992" s="17" t="str">
        <f t="shared" si="47"/>
        <v>No Match</v>
      </c>
    </row>
    <row r="993" spans="2:15" hidden="1" x14ac:dyDescent="0.3">
      <c r="B993" s="7">
        <v>991</v>
      </c>
      <c r="C993" s="3" t="s">
        <v>997</v>
      </c>
      <c r="D993" s="2" t="s">
        <v>1066</v>
      </c>
      <c r="E993" s="3" t="s">
        <v>1009</v>
      </c>
      <c r="F993" s="3">
        <v>105</v>
      </c>
      <c r="G993" s="3">
        <v>105</v>
      </c>
      <c r="H993" s="8">
        <v>800</v>
      </c>
      <c r="I993" s="48">
        <f>Table13[[#This Row],[Physical_Stock_Qty]]-Table13[[#This Row],[System_Stock_Qty]]</f>
        <v>0</v>
      </c>
      <c r="J993" s="53" t="str" cm="1">
        <f t="array" ref="J993">_xlfn.IFS(I993=0,"Matched",I993&gt;0,"Excess",I993&lt;0,"Shortage")</f>
        <v>Matched</v>
      </c>
      <c r="K993" s="50">
        <f>ABS(Table13[[#This Row],[Stock Difference]])</f>
        <v>0</v>
      </c>
      <c r="L993" s="17">
        <f t="shared" si="45"/>
        <v>0</v>
      </c>
      <c r="M993" s="17">
        <f t="shared" si="46"/>
        <v>84000</v>
      </c>
      <c r="N993" s="17" t="str" cm="1">
        <f t="array" ref="N993">_xlfn.IFS(K993=0,"Matched", K993&gt;100,"High", K993&gt;=50,"Medium", K993&lt;50,"Low")</f>
        <v>Matched</v>
      </c>
      <c r="O993" s="17" t="str">
        <f t="shared" si="47"/>
        <v>No Match</v>
      </c>
    </row>
    <row r="994" spans="2:15" hidden="1" x14ac:dyDescent="0.3">
      <c r="B994" s="7">
        <v>992</v>
      </c>
      <c r="C994" s="3" t="s">
        <v>998</v>
      </c>
      <c r="D994" s="2" t="s">
        <v>1058</v>
      </c>
      <c r="E994" s="3" t="s">
        <v>1012</v>
      </c>
      <c r="F994" s="3">
        <v>72</v>
      </c>
      <c r="G994" s="3">
        <v>72</v>
      </c>
      <c r="H994" s="8">
        <v>500</v>
      </c>
      <c r="I994" s="48">
        <f>Table13[[#This Row],[Physical_Stock_Qty]]-Table13[[#This Row],[System_Stock_Qty]]</f>
        <v>0</v>
      </c>
      <c r="J994" s="53" t="str" cm="1">
        <f t="array" ref="J994">_xlfn.IFS(I994=0,"Matched",I994&gt;0,"Excess",I994&lt;0,"Shortage")</f>
        <v>Matched</v>
      </c>
      <c r="K994" s="50">
        <f>ABS(Table13[[#This Row],[Stock Difference]])</f>
        <v>0</v>
      </c>
      <c r="L994" s="17">
        <f t="shared" si="45"/>
        <v>0</v>
      </c>
      <c r="M994" s="17">
        <f t="shared" si="46"/>
        <v>36000</v>
      </c>
      <c r="N994" s="17" t="str" cm="1">
        <f t="array" ref="N994">_xlfn.IFS(K994=0,"Matched", K994&gt;100,"High", K994&gt;=50,"Medium", K994&lt;50,"Low")</f>
        <v>Matched</v>
      </c>
      <c r="O994" s="17" t="str">
        <f t="shared" si="47"/>
        <v>No Match</v>
      </c>
    </row>
    <row r="995" spans="2:15" hidden="1" x14ac:dyDescent="0.3">
      <c r="B995" s="7">
        <v>993</v>
      </c>
      <c r="C995" s="3" t="s">
        <v>999</v>
      </c>
      <c r="D995" s="2" t="s">
        <v>1073</v>
      </c>
      <c r="E995" s="3" t="s">
        <v>1009</v>
      </c>
      <c r="F995" s="3">
        <v>128</v>
      </c>
      <c r="G995" s="3">
        <v>128</v>
      </c>
      <c r="H995" s="8">
        <v>100</v>
      </c>
      <c r="I995" s="48">
        <f>Table13[[#This Row],[Physical_Stock_Qty]]-Table13[[#This Row],[System_Stock_Qty]]</f>
        <v>0</v>
      </c>
      <c r="J995" s="53" t="str" cm="1">
        <f t="array" ref="J995">_xlfn.IFS(I995=0,"Matched",I995&gt;0,"Excess",I995&lt;0,"Shortage")</f>
        <v>Matched</v>
      </c>
      <c r="K995" s="50">
        <f>ABS(Table13[[#This Row],[Stock Difference]])</f>
        <v>0</v>
      </c>
      <c r="L995" s="17">
        <f t="shared" si="45"/>
        <v>0</v>
      </c>
      <c r="M995" s="17">
        <f t="shared" si="46"/>
        <v>12800</v>
      </c>
      <c r="N995" s="17" t="str" cm="1">
        <f t="array" ref="N995">_xlfn.IFS(K995=0,"Matched", K995&gt;100,"High", K995&gt;=50,"Medium", K995&lt;50,"Low")</f>
        <v>Matched</v>
      </c>
      <c r="O995" s="17" t="str">
        <f t="shared" si="47"/>
        <v>No Match</v>
      </c>
    </row>
    <row r="996" spans="2:15" hidden="1" x14ac:dyDescent="0.3">
      <c r="B996" s="7">
        <v>994</v>
      </c>
      <c r="C996" s="3" t="s">
        <v>1000</v>
      </c>
      <c r="D996" s="2" t="s">
        <v>1051</v>
      </c>
      <c r="E996" s="3" t="s">
        <v>1010</v>
      </c>
      <c r="F996" s="3">
        <v>184</v>
      </c>
      <c r="G996" s="3">
        <v>184</v>
      </c>
      <c r="H996" s="8">
        <v>50</v>
      </c>
      <c r="I996" s="48">
        <f>Table13[[#This Row],[Physical_Stock_Qty]]-Table13[[#This Row],[System_Stock_Qty]]</f>
        <v>0</v>
      </c>
      <c r="J996" s="53" t="str" cm="1">
        <f t="array" ref="J996">_xlfn.IFS(I996=0,"Matched",I996&gt;0,"Excess",I996&lt;0,"Shortage")</f>
        <v>Matched</v>
      </c>
      <c r="K996" s="50">
        <f>ABS(Table13[[#This Row],[Stock Difference]])</f>
        <v>0</v>
      </c>
      <c r="L996" s="17">
        <f t="shared" si="45"/>
        <v>0</v>
      </c>
      <c r="M996" s="17">
        <f t="shared" si="46"/>
        <v>9200</v>
      </c>
      <c r="N996" s="17" t="str" cm="1">
        <f t="array" ref="N996">_xlfn.IFS(K996=0,"Matched", K996&gt;100,"High", K996&gt;=50,"Medium", K996&lt;50,"Low")</f>
        <v>Matched</v>
      </c>
      <c r="O996" s="17" t="str">
        <f t="shared" si="47"/>
        <v>No Match</v>
      </c>
    </row>
    <row r="997" spans="2:15" hidden="1" x14ac:dyDescent="0.3">
      <c r="B997" s="7">
        <v>995</v>
      </c>
      <c r="C997" s="3" t="s">
        <v>1001</v>
      </c>
      <c r="D997" s="2" t="s">
        <v>1018</v>
      </c>
      <c r="E997" s="3" t="s">
        <v>1012</v>
      </c>
      <c r="F997" s="3">
        <v>139</v>
      </c>
      <c r="G997" s="3">
        <v>139</v>
      </c>
      <c r="H997" s="8">
        <v>3000</v>
      </c>
      <c r="I997" s="48">
        <f>Table13[[#This Row],[Physical_Stock_Qty]]-Table13[[#This Row],[System_Stock_Qty]]</f>
        <v>0</v>
      </c>
      <c r="J997" s="53" t="str" cm="1">
        <f t="array" ref="J997">_xlfn.IFS(I997=0,"Matched",I997&gt;0,"Excess",I997&lt;0,"Shortage")</f>
        <v>Matched</v>
      </c>
      <c r="K997" s="50">
        <f>ABS(Table13[[#This Row],[Stock Difference]])</f>
        <v>0</v>
      </c>
      <c r="L997" s="17">
        <f t="shared" si="45"/>
        <v>0</v>
      </c>
      <c r="M997" s="17">
        <f t="shared" si="46"/>
        <v>417000</v>
      </c>
      <c r="N997" s="17" t="str" cm="1">
        <f t="array" ref="N997">_xlfn.IFS(K997=0,"Matched", K997&gt;100,"High", K997&gt;=50,"Medium", K997&lt;50,"Low")</f>
        <v>Matched</v>
      </c>
      <c r="O997" s="17" t="str">
        <f t="shared" si="47"/>
        <v>No Match</v>
      </c>
    </row>
    <row r="998" spans="2:15" hidden="1" x14ac:dyDescent="0.3">
      <c r="B998" s="7">
        <v>996</v>
      </c>
      <c r="C998" s="3" t="s">
        <v>1002</v>
      </c>
      <c r="D998" s="2" t="s">
        <v>1036</v>
      </c>
      <c r="E998" s="3" t="s">
        <v>1007</v>
      </c>
      <c r="F998" s="3">
        <v>190</v>
      </c>
      <c r="G998" s="3">
        <v>190</v>
      </c>
      <c r="H998" s="8">
        <v>8000</v>
      </c>
      <c r="I998" s="48">
        <f>Table13[[#This Row],[Physical_Stock_Qty]]-Table13[[#This Row],[System_Stock_Qty]]</f>
        <v>0</v>
      </c>
      <c r="J998" s="53" t="str" cm="1">
        <f t="array" ref="J998">_xlfn.IFS(I998=0,"Matched",I998&gt;0,"Excess",I998&lt;0,"Shortage")</f>
        <v>Matched</v>
      </c>
      <c r="K998" s="50">
        <f>ABS(Table13[[#This Row],[Stock Difference]])</f>
        <v>0</v>
      </c>
      <c r="L998" s="17">
        <f t="shared" si="45"/>
        <v>0</v>
      </c>
      <c r="M998" s="17">
        <f t="shared" si="46"/>
        <v>1520000</v>
      </c>
      <c r="N998" s="17" t="str" cm="1">
        <f t="array" ref="N998">_xlfn.IFS(K998=0,"Matched", K998&gt;100,"High", K998&gt;=50,"Medium", K998&lt;50,"Low")</f>
        <v>Matched</v>
      </c>
      <c r="O998" s="17" t="str">
        <f t="shared" si="47"/>
        <v>No Match</v>
      </c>
    </row>
    <row r="999" spans="2:15" hidden="1" x14ac:dyDescent="0.3">
      <c r="B999" s="7">
        <v>997</v>
      </c>
      <c r="C999" s="3" t="s">
        <v>1003</v>
      </c>
      <c r="D999" s="2" t="s">
        <v>1082</v>
      </c>
      <c r="E999" s="3" t="s">
        <v>1011</v>
      </c>
      <c r="F999" s="3">
        <v>45</v>
      </c>
      <c r="G999" s="3">
        <v>45</v>
      </c>
      <c r="H999" s="8">
        <v>2000</v>
      </c>
      <c r="I999" s="48">
        <f>Table13[[#This Row],[Physical_Stock_Qty]]-Table13[[#This Row],[System_Stock_Qty]]</f>
        <v>0</v>
      </c>
      <c r="J999" s="53" t="str" cm="1">
        <f t="array" ref="J999">_xlfn.IFS(I999=0,"Matched",I999&gt;0,"Excess",I999&lt;0,"Shortage")</f>
        <v>Matched</v>
      </c>
      <c r="K999" s="50">
        <f>ABS(Table13[[#This Row],[Stock Difference]])</f>
        <v>0</v>
      </c>
      <c r="L999" s="17">
        <f t="shared" si="45"/>
        <v>0</v>
      </c>
      <c r="M999" s="17">
        <f t="shared" si="46"/>
        <v>90000</v>
      </c>
      <c r="N999" s="17" t="str" cm="1">
        <f t="array" ref="N999">_xlfn.IFS(K999=0,"Matched", K999&gt;100,"High", K999&gt;=50,"Medium", K999&lt;50,"Low")</f>
        <v>Matched</v>
      </c>
      <c r="O999" s="17" t="str">
        <f t="shared" si="47"/>
        <v>No Match</v>
      </c>
    </row>
    <row r="1000" spans="2:15" hidden="1" x14ac:dyDescent="0.3">
      <c r="B1000" s="7">
        <v>998</v>
      </c>
      <c r="C1000" s="3" t="s">
        <v>1004</v>
      </c>
      <c r="D1000" s="2" t="s">
        <v>1051</v>
      </c>
      <c r="E1000" s="3" t="s">
        <v>1010</v>
      </c>
      <c r="F1000" s="3">
        <v>99</v>
      </c>
      <c r="G1000" s="3">
        <v>99</v>
      </c>
      <c r="H1000" s="8">
        <v>50</v>
      </c>
      <c r="I1000" s="48">
        <f>Table13[[#This Row],[Physical_Stock_Qty]]-Table13[[#This Row],[System_Stock_Qty]]</f>
        <v>0</v>
      </c>
      <c r="J1000" s="53" t="str" cm="1">
        <f t="array" ref="J1000">_xlfn.IFS(I1000=0,"Matched",I1000&gt;0,"Excess",I1000&lt;0,"Shortage")</f>
        <v>Matched</v>
      </c>
      <c r="K1000" s="50">
        <f>ABS(Table13[[#This Row],[Stock Difference]])</f>
        <v>0</v>
      </c>
      <c r="L1000" s="17">
        <f t="shared" si="45"/>
        <v>0</v>
      </c>
      <c r="M1000" s="17">
        <f t="shared" si="46"/>
        <v>4950</v>
      </c>
      <c r="N1000" s="17" t="str" cm="1">
        <f t="array" ref="N1000">_xlfn.IFS(K1000=0,"Matched", K1000&gt;100,"High", K1000&gt;=50,"Medium", K1000&lt;50,"Low")</f>
        <v>Matched</v>
      </c>
      <c r="O1000" s="17" t="str">
        <f t="shared" si="47"/>
        <v>No Match</v>
      </c>
    </row>
    <row r="1001" spans="2:15" hidden="1" x14ac:dyDescent="0.3">
      <c r="B1001" s="7">
        <v>999</v>
      </c>
      <c r="C1001" s="3" t="s">
        <v>1005</v>
      </c>
      <c r="D1001" s="2" t="s">
        <v>1045</v>
      </c>
      <c r="E1001" s="3" t="s">
        <v>1010</v>
      </c>
      <c r="F1001" s="3">
        <v>47</v>
      </c>
      <c r="G1001" s="3">
        <v>47</v>
      </c>
      <c r="H1001" s="8">
        <v>100</v>
      </c>
      <c r="I1001" s="48">
        <f>Table13[[#This Row],[Physical_Stock_Qty]]-Table13[[#This Row],[System_Stock_Qty]]</f>
        <v>0</v>
      </c>
      <c r="J1001" s="53" t="str" cm="1">
        <f t="array" ref="J1001">_xlfn.IFS(I1001=0,"Matched",I1001&gt;0,"Excess",I1001&lt;0,"Shortage")</f>
        <v>Matched</v>
      </c>
      <c r="K1001" s="50">
        <f>ABS(Table13[[#This Row],[Stock Difference]])</f>
        <v>0</v>
      </c>
      <c r="L1001" s="17">
        <f t="shared" si="45"/>
        <v>0</v>
      </c>
      <c r="M1001" s="17">
        <f t="shared" si="46"/>
        <v>4700</v>
      </c>
      <c r="N1001" s="17" t="str" cm="1">
        <f t="array" ref="N1001">_xlfn.IFS(K1001=0,"Matched", K1001&gt;100,"High", K1001&gt;=50,"Medium", K1001&lt;50,"Low")</f>
        <v>Matched</v>
      </c>
      <c r="O1001" s="17" t="str">
        <f t="shared" si="47"/>
        <v>No Match</v>
      </c>
    </row>
    <row r="1002" spans="2:15" hidden="1" x14ac:dyDescent="0.3">
      <c r="B1002" s="12">
        <v>1000</v>
      </c>
      <c r="C1002" s="13" t="s">
        <v>1006</v>
      </c>
      <c r="D1002" s="14" t="s">
        <v>1018</v>
      </c>
      <c r="E1002" s="13" t="s">
        <v>1012</v>
      </c>
      <c r="F1002" s="13">
        <v>53</v>
      </c>
      <c r="G1002" s="13">
        <v>53</v>
      </c>
      <c r="H1002" s="15">
        <v>3000</v>
      </c>
      <c r="I1002" s="48">
        <f>Table13[[#This Row],[Physical_Stock_Qty]]-Table13[[#This Row],[System_Stock_Qty]]</f>
        <v>0</v>
      </c>
      <c r="J1002" s="53" t="str" cm="1">
        <f t="array" ref="J1002">_xlfn.IFS(I1002=0,"Matched",I1002&gt;0,"Excess",I1002&lt;0,"Shortage")</f>
        <v>Matched</v>
      </c>
      <c r="K1002" s="50">
        <f>ABS(Table13[[#This Row],[Stock Difference]])</f>
        <v>0</v>
      </c>
      <c r="L1002" s="17">
        <f t="shared" si="45"/>
        <v>0</v>
      </c>
      <c r="M1002" s="17">
        <f t="shared" si="46"/>
        <v>159000</v>
      </c>
      <c r="N1002" s="17" t="str" cm="1">
        <f t="array" ref="N1002">_xlfn.IFS(K1002=0,"Matched", K1002&gt;100,"High", K1002&gt;=50,"Medium", K1002&lt;50,"Low")</f>
        <v>Matched</v>
      </c>
      <c r="O1002" s="17" t="str">
        <f t="shared" si="47"/>
        <v>No Match</v>
      </c>
    </row>
    <row r="1003" spans="2:15" ht="15" hidden="1" thickBot="1" x14ac:dyDescent="0.35">
      <c r="B1003" s="12">
        <v>1001</v>
      </c>
      <c r="C1003" s="13" t="s">
        <v>1144</v>
      </c>
      <c r="D1003" s="14" t="s">
        <v>1145</v>
      </c>
      <c r="E1003" s="13" t="s">
        <v>1010</v>
      </c>
      <c r="F1003" s="13">
        <v>20</v>
      </c>
      <c r="G1003" s="13">
        <v>20</v>
      </c>
      <c r="H1003" s="15">
        <v>50</v>
      </c>
      <c r="I1003" s="49">
        <f>Table13[[#This Row],[Physical_Stock_Qty]]-Table13[[#This Row],[System_Stock_Qty]]</f>
        <v>0</v>
      </c>
      <c r="J1003" s="54" t="str" cm="1">
        <f t="array" ref="J1003">_xlfn.IFS(I1003=0,"Matched",I1003&gt;0,"Excess",I1003&lt;0,"Shortage")</f>
        <v>Matched</v>
      </c>
      <c r="K1003" s="12">
        <f>ABS(Table13[[#This Row],[Stock Difference]])</f>
        <v>0</v>
      </c>
      <c r="L1003" s="13">
        <f>(K1003*H1003)</f>
        <v>0</v>
      </c>
      <c r="M1003" s="13">
        <f>F1003*H1003</f>
        <v>1000</v>
      </c>
      <c r="N1003" s="13" t="str" cm="1">
        <f t="array" ref="N1003">_xlfn.IFS(K1003=0,"Matched", K1003&gt;100,"High", K1003&gt;=50,"Medium", K1003&lt;50,"Low")</f>
        <v>Matched</v>
      </c>
      <c r="O1003" s="13" t="str">
        <f>IF(L1003&gt;500000,"Yes",IF(L1003=0,"No Match","No"))</f>
        <v>No Match</v>
      </c>
    </row>
  </sheetData>
  <conditionalFormatting sqref="I3:I1003">
    <cfRule type="cellIs" dxfId="26" priority="5" operator="greaterThan">
      <formula>0</formula>
    </cfRule>
    <cfRule type="cellIs" dxfId="25" priority="4" operator="lessThan">
      <formula>0</formula>
    </cfRule>
  </conditionalFormatting>
  <conditionalFormatting sqref="J3:J1003">
    <cfRule type="cellIs" dxfId="24" priority="3" operator="equal">
      <formula>"Matched"</formula>
    </cfRule>
    <cfRule type="cellIs" dxfId="23" priority="2" operator="equal">
      <formula>"Shortage"</formula>
    </cfRule>
    <cfRule type="cellIs" dxfId="22" priority="1" operator="equal">
      <formula>"Excess"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1C18-2816-45F9-AB40-A7932CFEC47A}">
  <dimension ref="B1:E44"/>
  <sheetViews>
    <sheetView tabSelected="1" zoomScale="99" workbookViewId="0">
      <selection activeCell="D6" sqref="D6"/>
    </sheetView>
  </sheetViews>
  <sheetFormatPr defaultRowHeight="14.4" x14ac:dyDescent="0.3"/>
  <cols>
    <col min="2" max="2" width="26.21875" bestFit="1" customWidth="1"/>
    <col min="3" max="3" width="16.21875" bestFit="1" customWidth="1"/>
    <col min="4" max="4" width="17.77734375" bestFit="1" customWidth="1"/>
    <col min="5" max="5" width="67.77734375" bestFit="1" customWidth="1"/>
    <col min="9" max="9" width="12.5546875" bestFit="1" customWidth="1"/>
    <col min="10" max="10" width="18.77734375" bestFit="1" customWidth="1"/>
    <col min="11" max="12" width="8.5546875" bestFit="1" customWidth="1"/>
    <col min="13" max="13" width="10.77734375" bestFit="1" customWidth="1"/>
  </cols>
  <sheetData>
    <row r="1" spans="2:5" ht="15" thickBot="1" x14ac:dyDescent="0.35"/>
    <row r="2" spans="2:5" ht="24.6" customHeight="1" x14ac:dyDescent="0.3">
      <c r="B2" s="55" t="s">
        <v>1099</v>
      </c>
      <c r="C2" s="56"/>
      <c r="D2" s="56"/>
      <c r="E2" s="57"/>
    </row>
    <row r="3" spans="2:5" ht="14.4" customHeight="1" x14ac:dyDescent="0.3">
      <c r="B3" s="58" t="s">
        <v>1100</v>
      </c>
      <c r="C3" s="59"/>
      <c r="D3" s="40">
        <f>COUNT(Table13[Sr. No. ])</f>
        <v>1001</v>
      </c>
      <c r="E3" s="25" t="s">
        <v>1106</v>
      </c>
    </row>
    <row r="4" spans="2:5" x14ac:dyDescent="0.3">
      <c r="B4" s="58" t="s">
        <v>1103</v>
      </c>
      <c r="C4" s="59"/>
      <c r="D4" s="40">
        <f>D5+D6</f>
        <v>298</v>
      </c>
      <c r="E4" s="27" t="s">
        <v>1146</v>
      </c>
    </row>
    <row r="5" spans="2:5" x14ac:dyDescent="0.3">
      <c r="B5" s="58" t="s">
        <v>1104</v>
      </c>
      <c r="C5" s="59"/>
      <c r="D5" s="40">
        <f>COUNTIF('main sheet'!J:J,analysis!B5)</f>
        <v>152</v>
      </c>
      <c r="E5" s="25" t="s">
        <v>1107</v>
      </c>
    </row>
    <row r="6" spans="2:5" x14ac:dyDescent="0.3">
      <c r="B6" s="58" t="s">
        <v>1105</v>
      </c>
      <c r="C6" s="59"/>
      <c r="D6" s="40">
        <f>COUNTIF('main sheet'!J:J,analysis!B6)</f>
        <v>146</v>
      </c>
      <c r="E6" s="25" t="s">
        <v>1108</v>
      </c>
    </row>
    <row r="7" spans="2:5" x14ac:dyDescent="0.3">
      <c r="B7" s="58" t="s">
        <v>1101</v>
      </c>
      <c r="C7" s="59"/>
      <c r="D7" s="41">
        <f>COUNTIF('main sheet'!J:J,'raw sheet'!J22)/analysis!D3</f>
        <v>0.70229770229770228</v>
      </c>
      <c r="E7" s="27" t="s">
        <v>1110</v>
      </c>
    </row>
    <row r="8" spans="2:5" x14ac:dyDescent="0.3">
      <c r="B8" s="58" t="s">
        <v>1102</v>
      </c>
      <c r="C8" s="59"/>
      <c r="D8" s="42">
        <f>SUM(Table13[Total Product Value])</f>
        <v>882187210</v>
      </c>
      <c r="E8" s="25" t="s">
        <v>1111</v>
      </c>
    </row>
    <row r="9" spans="2:5" x14ac:dyDescent="0.3">
      <c r="B9" s="29" t="s">
        <v>1114</v>
      </c>
      <c r="C9" s="23" t="s">
        <v>1116</v>
      </c>
      <c r="D9" s="23" t="s">
        <v>1117</v>
      </c>
      <c r="E9" s="25" t="s">
        <v>1124</v>
      </c>
    </row>
    <row r="10" spans="2:5" x14ac:dyDescent="0.3">
      <c r="B10" s="30"/>
      <c r="C10" s="24" t="s">
        <v>1037</v>
      </c>
      <c r="D10" s="24">
        <v>8</v>
      </c>
      <c r="E10" s="31"/>
    </row>
    <row r="11" spans="2:5" x14ac:dyDescent="0.3">
      <c r="B11" s="30"/>
      <c r="C11" s="24" t="s">
        <v>1059</v>
      </c>
      <c r="D11" s="24">
        <v>7</v>
      </c>
      <c r="E11" s="31"/>
    </row>
    <row r="12" spans="2:5" x14ac:dyDescent="0.3">
      <c r="B12" s="30"/>
      <c r="C12" s="24" t="s">
        <v>1038</v>
      </c>
      <c r="D12" s="24">
        <v>6</v>
      </c>
      <c r="E12" s="31"/>
    </row>
    <row r="13" spans="2:5" x14ac:dyDescent="0.3">
      <c r="B13" s="30"/>
      <c r="C13" s="24" t="s">
        <v>1060</v>
      </c>
      <c r="D13" s="24">
        <v>6</v>
      </c>
      <c r="E13" s="31"/>
    </row>
    <row r="14" spans="2:5" x14ac:dyDescent="0.3">
      <c r="B14" s="30"/>
      <c r="C14" s="24" t="s">
        <v>1081</v>
      </c>
      <c r="D14" s="24">
        <v>6</v>
      </c>
      <c r="E14" s="31"/>
    </row>
    <row r="15" spans="2:5" x14ac:dyDescent="0.3">
      <c r="B15" s="30"/>
      <c r="C15" s="24" t="s">
        <v>1071</v>
      </c>
      <c r="D15" s="24">
        <v>5</v>
      </c>
      <c r="E15" s="31"/>
    </row>
    <row r="16" spans="2:5" x14ac:dyDescent="0.3">
      <c r="B16" s="30"/>
      <c r="C16" s="24" t="s">
        <v>1054</v>
      </c>
      <c r="D16" s="24">
        <v>5</v>
      </c>
      <c r="E16" s="31"/>
    </row>
    <row r="17" spans="2:5" x14ac:dyDescent="0.3">
      <c r="B17" s="30"/>
      <c r="C17" s="24" t="s">
        <v>1057</v>
      </c>
      <c r="D17" s="24">
        <v>5</v>
      </c>
      <c r="E17" s="31"/>
    </row>
    <row r="18" spans="2:5" x14ac:dyDescent="0.3">
      <c r="B18" s="30"/>
      <c r="C18" s="24" t="s">
        <v>1027</v>
      </c>
      <c r="D18" s="24">
        <v>5</v>
      </c>
      <c r="E18" s="31"/>
    </row>
    <row r="19" spans="2:5" x14ac:dyDescent="0.3">
      <c r="B19" s="30"/>
      <c r="C19" s="24" t="s">
        <v>1018</v>
      </c>
      <c r="D19" s="24">
        <v>5</v>
      </c>
      <c r="E19" s="31"/>
    </row>
    <row r="20" spans="2:5" x14ac:dyDescent="0.3">
      <c r="B20" s="29" t="s">
        <v>1118</v>
      </c>
      <c r="C20" s="23" t="s">
        <v>1116</v>
      </c>
      <c r="D20" s="23" t="s">
        <v>1117</v>
      </c>
      <c r="E20" s="25" t="s">
        <v>1124</v>
      </c>
    </row>
    <row r="21" spans="2:5" x14ac:dyDescent="0.3">
      <c r="B21" s="32"/>
      <c r="C21" s="33" t="s">
        <v>1057</v>
      </c>
      <c r="D21" s="24">
        <v>8</v>
      </c>
      <c r="E21" s="31"/>
    </row>
    <row r="22" spans="2:5" x14ac:dyDescent="0.3">
      <c r="B22" s="32"/>
      <c r="C22" s="33" t="s">
        <v>1018</v>
      </c>
      <c r="D22" s="24">
        <v>7</v>
      </c>
      <c r="E22" s="31"/>
    </row>
    <row r="23" spans="2:5" x14ac:dyDescent="0.3">
      <c r="B23" s="32"/>
      <c r="C23" s="33" t="s">
        <v>1044</v>
      </c>
      <c r="D23" s="24">
        <v>6</v>
      </c>
      <c r="E23" s="31"/>
    </row>
    <row r="24" spans="2:5" x14ac:dyDescent="0.3">
      <c r="B24" s="32"/>
      <c r="C24" s="33" t="s">
        <v>1042</v>
      </c>
      <c r="D24" s="24">
        <v>6</v>
      </c>
      <c r="E24" s="31"/>
    </row>
    <row r="25" spans="2:5" x14ac:dyDescent="0.3">
      <c r="B25" s="32"/>
      <c r="C25" s="33" t="s">
        <v>1040</v>
      </c>
      <c r="D25" s="24">
        <v>6</v>
      </c>
      <c r="E25" s="31"/>
    </row>
    <row r="26" spans="2:5" x14ac:dyDescent="0.3">
      <c r="B26" s="32"/>
      <c r="C26" s="33" t="s">
        <v>1037</v>
      </c>
      <c r="D26" s="24">
        <v>6</v>
      </c>
      <c r="E26" s="31"/>
    </row>
    <row r="27" spans="2:5" x14ac:dyDescent="0.3">
      <c r="B27" s="32"/>
      <c r="C27" s="33" t="s">
        <v>1081</v>
      </c>
      <c r="D27" s="24">
        <v>6</v>
      </c>
      <c r="E27" s="31"/>
    </row>
    <row r="28" spans="2:5" x14ac:dyDescent="0.3">
      <c r="B28" s="32"/>
      <c r="C28" s="33" t="s">
        <v>1041</v>
      </c>
      <c r="D28" s="24">
        <v>5</v>
      </c>
      <c r="E28" s="31"/>
    </row>
    <row r="29" spans="2:5" x14ac:dyDescent="0.3">
      <c r="B29" s="32"/>
      <c r="C29" s="33" t="s">
        <v>1043</v>
      </c>
      <c r="D29" s="24">
        <v>5</v>
      </c>
      <c r="E29" s="31"/>
    </row>
    <row r="30" spans="2:5" x14ac:dyDescent="0.3">
      <c r="B30" s="32"/>
      <c r="C30" s="34" t="s">
        <v>1060</v>
      </c>
      <c r="D30" s="35">
        <v>5</v>
      </c>
      <c r="E30" s="31"/>
    </row>
    <row r="31" spans="2:5" x14ac:dyDescent="0.3">
      <c r="B31" s="29" t="s">
        <v>1119</v>
      </c>
      <c r="C31" s="23" t="s">
        <v>3</v>
      </c>
      <c r="D31" s="23" t="s">
        <v>1120</v>
      </c>
      <c r="E31" s="31"/>
    </row>
    <row r="32" spans="2:5" x14ac:dyDescent="0.3">
      <c r="B32" s="32"/>
      <c r="C32" s="24" t="s">
        <v>1008</v>
      </c>
      <c r="D32" s="26">
        <f>COUNTIF('main sheet'!E:E,analysis!C32)/analysis!$D$3</f>
        <v>0.16783216783216784</v>
      </c>
      <c r="E32" s="25" t="s">
        <v>1125</v>
      </c>
    </row>
    <row r="33" spans="2:5" x14ac:dyDescent="0.3">
      <c r="B33" s="32"/>
      <c r="C33" s="24" t="s">
        <v>1007</v>
      </c>
      <c r="D33" s="26">
        <f>COUNTIF('main sheet'!E:E,analysis!C33)/analysis!$D$3</f>
        <v>0.16683316683316685</v>
      </c>
      <c r="E33" s="25" t="s">
        <v>1126</v>
      </c>
    </row>
    <row r="34" spans="2:5" x14ac:dyDescent="0.3">
      <c r="B34" s="32"/>
      <c r="C34" s="24" t="s">
        <v>1010</v>
      </c>
      <c r="D34" s="26">
        <f>COUNTIF('main sheet'!E:E,analysis!C34)/analysis!$D$3</f>
        <v>0.18281718281718282</v>
      </c>
      <c r="E34" s="25" t="s">
        <v>1127</v>
      </c>
    </row>
    <row r="35" spans="2:5" x14ac:dyDescent="0.3">
      <c r="B35" s="32"/>
      <c r="C35" s="24" t="s">
        <v>1012</v>
      </c>
      <c r="D35" s="26">
        <f>COUNTIF('main sheet'!E:E,analysis!C35)/analysis!$D$3</f>
        <v>0.16783216783216784</v>
      </c>
      <c r="E35" s="25" t="s">
        <v>1128</v>
      </c>
    </row>
    <row r="36" spans="2:5" x14ac:dyDescent="0.3">
      <c r="B36" s="32"/>
      <c r="C36" s="24" t="s">
        <v>1009</v>
      </c>
      <c r="D36" s="26">
        <f>COUNTIF('main sheet'!E:E,analysis!C36)/analysis!$D$3</f>
        <v>0.16383616383616384</v>
      </c>
      <c r="E36" s="25" t="s">
        <v>1129</v>
      </c>
    </row>
    <row r="37" spans="2:5" x14ac:dyDescent="0.3">
      <c r="B37" s="32"/>
      <c r="C37" s="24" t="s">
        <v>1011</v>
      </c>
      <c r="D37" s="26">
        <f>COUNTIF('main sheet'!E:E,analysis!C37)/analysis!$D$3</f>
        <v>0.15084915084915085</v>
      </c>
      <c r="E37" s="25" t="s">
        <v>1130</v>
      </c>
    </row>
    <row r="38" spans="2:5" x14ac:dyDescent="0.3">
      <c r="B38" s="29" t="s">
        <v>1121</v>
      </c>
      <c r="C38" s="23" t="s">
        <v>3</v>
      </c>
      <c r="D38" s="23" t="s">
        <v>1122</v>
      </c>
      <c r="E38" s="25" t="s">
        <v>1124</v>
      </c>
    </row>
    <row r="39" spans="2:5" x14ac:dyDescent="0.3">
      <c r="B39" s="32"/>
      <c r="C39" s="24" t="s">
        <v>1008</v>
      </c>
      <c r="D39" s="28">
        <v>93498000</v>
      </c>
      <c r="E39" s="31"/>
    </row>
    <row r="40" spans="2:5" x14ac:dyDescent="0.3">
      <c r="B40" s="32"/>
      <c r="C40" s="24" t="s">
        <v>1007</v>
      </c>
      <c r="D40" s="28">
        <v>35028000</v>
      </c>
      <c r="E40" s="31"/>
    </row>
    <row r="41" spans="2:5" x14ac:dyDescent="0.3">
      <c r="B41" s="32"/>
      <c r="C41" s="24" t="s">
        <v>1011</v>
      </c>
      <c r="D41" s="28">
        <v>10205800</v>
      </c>
      <c r="E41" s="31"/>
    </row>
    <row r="42" spans="2:5" x14ac:dyDescent="0.3">
      <c r="B42" s="32"/>
      <c r="C42" s="24" t="s">
        <v>1009</v>
      </c>
      <c r="D42" s="28">
        <v>4413200</v>
      </c>
      <c r="E42" s="31"/>
    </row>
    <row r="43" spans="2:5" x14ac:dyDescent="0.3">
      <c r="B43" s="32"/>
      <c r="C43" s="24" t="s">
        <v>1012</v>
      </c>
      <c r="D43" s="28">
        <v>3568800</v>
      </c>
      <c r="E43" s="31"/>
    </row>
    <row r="44" spans="2:5" ht="15" thickBot="1" x14ac:dyDescent="0.35">
      <c r="B44" s="36"/>
      <c r="C44" s="37" t="s">
        <v>1010</v>
      </c>
      <c r="D44" s="38">
        <v>318350</v>
      </c>
      <c r="E44" s="39"/>
    </row>
  </sheetData>
  <mergeCells count="7">
    <mergeCell ref="B2:E2"/>
    <mergeCell ref="B7:C7"/>
    <mergeCell ref="B8:C8"/>
    <mergeCell ref="B3:C3"/>
    <mergeCell ref="B4:C4"/>
    <mergeCell ref="B5:C5"/>
    <mergeCell ref="B6:C6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5AE8-1F44-42BC-B647-6C7E09C31C50}">
  <dimension ref="B2:U16"/>
  <sheetViews>
    <sheetView workbookViewId="0">
      <selection activeCell="T5" sqref="T5"/>
    </sheetView>
  </sheetViews>
  <sheetFormatPr defaultRowHeight="14.4" x14ac:dyDescent="0.3"/>
  <cols>
    <col min="2" max="2" width="14.88671875" bestFit="1" customWidth="1"/>
    <col min="3" max="3" width="15" bestFit="1" customWidth="1"/>
    <col min="5" max="5" width="26.44140625" bestFit="1" customWidth="1"/>
    <col min="6" max="6" width="18.77734375" bestFit="1" customWidth="1"/>
    <col min="8" max="8" width="21.44140625" bestFit="1" customWidth="1"/>
    <col min="9" max="9" width="18.33203125" bestFit="1" customWidth="1"/>
    <col min="10" max="10" width="5.5546875" customWidth="1"/>
    <col min="11" max="11" width="15.109375" bestFit="1" customWidth="1"/>
    <col min="12" max="12" width="18.33203125" bestFit="1" customWidth="1"/>
    <col min="14" max="15" width="18.77734375" bestFit="1" customWidth="1"/>
    <col min="17" max="17" width="14.88671875" bestFit="1" customWidth="1"/>
    <col min="18" max="18" width="19.44140625" bestFit="1" customWidth="1"/>
    <col min="20" max="20" width="19.6640625" bestFit="1" customWidth="1"/>
    <col min="21" max="21" width="19.44140625" bestFit="1" customWidth="1"/>
  </cols>
  <sheetData>
    <row r="2" spans="2:21" x14ac:dyDescent="0.3">
      <c r="B2" s="43" t="s">
        <v>1132</v>
      </c>
      <c r="E2" s="43" t="s">
        <v>1133</v>
      </c>
      <c r="H2" s="21" t="s">
        <v>1093</v>
      </c>
      <c r="I2" t="s">
        <v>1135</v>
      </c>
      <c r="Q2" s="21" t="s">
        <v>1093</v>
      </c>
      <c r="R2" t="s">
        <v>1104</v>
      </c>
    </row>
    <row r="3" spans="2:21" x14ac:dyDescent="0.3">
      <c r="B3" s="21" t="s">
        <v>1112</v>
      </c>
      <c r="C3" t="s">
        <v>1131</v>
      </c>
      <c r="E3" s="21" t="s">
        <v>1112</v>
      </c>
      <c r="F3" t="s">
        <v>1123</v>
      </c>
      <c r="H3" s="43" t="s">
        <v>1134</v>
      </c>
      <c r="K3" s="43" t="s">
        <v>1139</v>
      </c>
      <c r="N3" s="43" t="s">
        <v>1140</v>
      </c>
      <c r="Q3" s="43" t="s">
        <v>1142</v>
      </c>
      <c r="T3" s="21" t="s">
        <v>1093</v>
      </c>
      <c r="U3" t="s">
        <v>1105</v>
      </c>
    </row>
    <row r="4" spans="2:21" x14ac:dyDescent="0.3">
      <c r="B4" s="22" t="s">
        <v>1109</v>
      </c>
      <c r="C4">
        <v>702</v>
      </c>
      <c r="E4" s="22" t="s">
        <v>1008</v>
      </c>
      <c r="F4" s="44">
        <v>84532000</v>
      </c>
      <c r="H4" s="21" t="s">
        <v>1112</v>
      </c>
      <c r="I4" t="s">
        <v>1115</v>
      </c>
      <c r="K4" s="21" t="s">
        <v>1112</v>
      </c>
      <c r="L4" t="s">
        <v>1115</v>
      </c>
      <c r="N4" s="21" t="s">
        <v>1112</v>
      </c>
      <c r="O4" t="s">
        <v>1123</v>
      </c>
      <c r="Q4" s="21" t="s">
        <v>1112</v>
      </c>
      <c r="R4" t="s">
        <v>1141</v>
      </c>
      <c r="T4" s="43" t="s">
        <v>1143</v>
      </c>
    </row>
    <row r="5" spans="2:21" x14ac:dyDescent="0.3">
      <c r="B5" s="22" t="s">
        <v>1104</v>
      </c>
      <c r="C5">
        <v>152</v>
      </c>
      <c r="E5" s="22" t="s">
        <v>1007</v>
      </c>
      <c r="F5" s="44">
        <v>26504000</v>
      </c>
      <c r="H5" s="22" t="s">
        <v>1009</v>
      </c>
      <c r="I5">
        <v>164</v>
      </c>
      <c r="K5" s="22" t="s">
        <v>1136</v>
      </c>
      <c r="L5">
        <v>51</v>
      </c>
      <c r="N5" s="22" t="s">
        <v>1024</v>
      </c>
      <c r="O5" s="44">
        <v>30750000</v>
      </c>
      <c r="Q5" s="22" t="s">
        <v>1037</v>
      </c>
      <c r="R5">
        <v>432</v>
      </c>
      <c r="T5" s="21" t="s">
        <v>1112</v>
      </c>
      <c r="U5" t="s">
        <v>1141</v>
      </c>
    </row>
    <row r="6" spans="2:21" x14ac:dyDescent="0.3">
      <c r="B6" s="22" t="s">
        <v>1105</v>
      </c>
      <c r="C6">
        <v>146</v>
      </c>
      <c r="E6" s="22" t="s">
        <v>1011</v>
      </c>
      <c r="F6" s="44">
        <v>7789600</v>
      </c>
      <c r="H6" s="22" t="s">
        <v>1008</v>
      </c>
      <c r="I6">
        <v>168</v>
      </c>
      <c r="K6" s="22" t="s">
        <v>1137</v>
      </c>
      <c r="L6">
        <v>138</v>
      </c>
      <c r="N6" s="22" t="s">
        <v>1030</v>
      </c>
      <c r="O6" s="44">
        <v>14280000</v>
      </c>
      <c r="Q6" s="22" t="s">
        <v>1018</v>
      </c>
      <c r="R6">
        <v>357</v>
      </c>
      <c r="T6" s="22" t="s">
        <v>1035</v>
      </c>
      <c r="U6">
        <v>414</v>
      </c>
    </row>
    <row r="7" spans="2:21" x14ac:dyDescent="0.3">
      <c r="B7" s="22" t="s">
        <v>1113</v>
      </c>
      <c r="C7">
        <v>1000</v>
      </c>
      <c r="E7" s="22" t="s">
        <v>1009</v>
      </c>
      <c r="F7" s="44">
        <v>3912400</v>
      </c>
      <c r="H7" s="22" t="s">
        <v>1007</v>
      </c>
      <c r="I7">
        <v>167</v>
      </c>
      <c r="K7" s="22" t="s">
        <v>1138</v>
      </c>
      <c r="L7">
        <v>109</v>
      </c>
      <c r="N7" s="22" t="s">
        <v>1035</v>
      </c>
      <c r="O7" s="44">
        <v>11475000</v>
      </c>
      <c r="Q7" s="22" t="s">
        <v>1035</v>
      </c>
      <c r="R7">
        <v>351</v>
      </c>
      <c r="T7" s="22" t="s">
        <v>1044</v>
      </c>
      <c r="U7">
        <v>407</v>
      </c>
    </row>
    <row r="8" spans="2:21" x14ac:dyDescent="0.3">
      <c r="E8" s="22" t="s">
        <v>1012</v>
      </c>
      <c r="F8" s="44">
        <v>2878100</v>
      </c>
      <c r="H8" s="22" t="s">
        <v>1012</v>
      </c>
      <c r="I8">
        <v>168</v>
      </c>
      <c r="K8" s="22" t="s">
        <v>1113</v>
      </c>
      <c r="L8">
        <v>298</v>
      </c>
      <c r="N8" s="22" t="s">
        <v>1034</v>
      </c>
      <c r="O8" s="44">
        <v>8950000</v>
      </c>
      <c r="Q8" s="22" t="s">
        <v>1029</v>
      </c>
      <c r="R8">
        <v>346</v>
      </c>
      <c r="T8" s="22" t="s">
        <v>1054</v>
      </c>
      <c r="U8">
        <v>339</v>
      </c>
    </row>
    <row r="9" spans="2:21" x14ac:dyDescent="0.3">
      <c r="E9" s="22" t="s">
        <v>1010</v>
      </c>
      <c r="F9" s="44">
        <v>233880</v>
      </c>
      <c r="H9" s="22" t="s">
        <v>1011</v>
      </c>
      <c r="I9">
        <v>151</v>
      </c>
      <c r="N9" s="22" t="s">
        <v>1027</v>
      </c>
      <c r="O9" s="44">
        <v>7680000</v>
      </c>
      <c r="Q9" s="22" t="s">
        <v>1084</v>
      </c>
      <c r="R9">
        <v>322</v>
      </c>
      <c r="T9" s="22" t="s">
        <v>1040</v>
      </c>
      <c r="U9">
        <v>310</v>
      </c>
    </row>
    <row r="10" spans="2:21" x14ac:dyDescent="0.3">
      <c r="E10" s="22" t="s">
        <v>1113</v>
      </c>
      <c r="F10" s="44">
        <v>125849980</v>
      </c>
      <c r="H10" s="22" t="s">
        <v>1010</v>
      </c>
      <c r="I10">
        <v>182</v>
      </c>
      <c r="N10" s="22" t="s">
        <v>1025</v>
      </c>
      <c r="O10" s="44">
        <v>7380000</v>
      </c>
      <c r="Q10" s="22" t="s">
        <v>1086</v>
      </c>
      <c r="R10">
        <v>316</v>
      </c>
      <c r="T10" s="22" t="s">
        <v>1080</v>
      </c>
      <c r="U10">
        <v>280</v>
      </c>
    </row>
    <row r="11" spans="2:21" x14ac:dyDescent="0.3">
      <c r="H11" s="22" t="s">
        <v>1113</v>
      </c>
      <c r="I11">
        <v>1000</v>
      </c>
      <c r="N11" s="22" t="s">
        <v>1037</v>
      </c>
      <c r="O11" s="44">
        <v>5610000</v>
      </c>
      <c r="Q11" s="22" t="s">
        <v>1060</v>
      </c>
      <c r="R11">
        <v>311</v>
      </c>
      <c r="T11" s="22" t="s">
        <v>1065</v>
      </c>
      <c r="U11">
        <v>278</v>
      </c>
    </row>
    <row r="12" spans="2:21" x14ac:dyDescent="0.3">
      <c r="N12" s="22" t="s">
        <v>1023</v>
      </c>
      <c r="O12" s="44">
        <v>4600000</v>
      </c>
      <c r="Q12" s="22" t="s">
        <v>1058</v>
      </c>
      <c r="R12">
        <v>300</v>
      </c>
      <c r="T12" s="22" t="s">
        <v>1057</v>
      </c>
      <c r="U12">
        <v>273</v>
      </c>
    </row>
    <row r="13" spans="2:21" x14ac:dyDescent="0.3">
      <c r="N13" s="22" t="s">
        <v>1028</v>
      </c>
      <c r="O13" s="44">
        <v>4500000</v>
      </c>
      <c r="Q13" s="22" t="s">
        <v>1065</v>
      </c>
      <c r="R13">
        <v>261</v>
      </c>
      <c r="T13" s="22" t="s">
        <v>1043</v>
      </c>
      <c r="U13">
        <v>230</v>
      </c>
    </row>
    <row r="14" spans="2:21" x14ac:dyDescent="0.3">
      <c r="N14" s="22" t="s">
        <v>1039</v>
      </c>
      <c r="O14" s="44">
        <v>2772000</v>
      </c>
      <c r="Q14" s="22" t="s">
        <v>1057</v>
      </c>
      <c r="R14">
        <v>255</v>
      </c>
      <c r="T14" s="22" t="s">
        <v>1070</v>
      </c>
      <c r="U14">
        <v>228</v>
      </c>
    </row>
    <row r="15" spans="2:21" x14ac:dyDescent="0.3">
      <c r="N15" s="22" t="s">
        <v>1113</v>
      </c>
      <c r="O15" s="44">
        <v>97997000</v>
      </c>
      <c r="Q15" s="22" t="s">
        <v>1113</v>
      </c>
      <c r="R15">
        <v>3251</v>
      </c>
      <c r="T15" s="22" t="s">
        <v>1069</v>
      </c>
      <c r="U15">
        <v>212</v>
      </c>
    </row>
    <row r="16" spans="2:21" x14ac:dyDescent="0.3">
      <c r="T16" s="22" t="s">
        <v>1113</v>
      </c>
      <c r="U16">
        <v>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sheet</vt:lpstr>
      <vt:lpstr>calcu sheet</vt:lpstr>
      <vt:lpstr>main sheet</vt:lpstr>
      <vt:lpstr>analysis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2015-06-05T18:17:20Z</dcterms:created>
  <dcterms:modified xsi:type="dcterms:W3CDTF">2026-06-09T11:17:43Z</dcterms:modified>
</cp:coreProperties>
</file>