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Harsh\Downloads\"/>
    </mc:Choice>
  </mc:AlternateContent>
  <xr:revisionPtr revIDLastSave="0" documentId="13_ncr:1_{A33A300C-4ABF-40F7-B260-FBD319686B7C}"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Analysis" sheetId="4" r:id="rId2"/>
    <sheet name="pvt. for Dash" sheetId="6" r:id="rId3"/>
    <sheet name="Question_Sheet" sheetId="2" r:id="rId4"/>
    <sheet name="Dashboard" sheetId="5" r:id="rId5"/>
  </sheets>
  <definedNames>
    <definedName name="_xlnm._FilterDatabase" localSheetId="1" hidden="1">Analysis!$G$2:$I$6</definedName>
    <definedName name="_xlnm._FilterDatabase" localSheetId="0" hidden="1">Raw_Data!$A$1:$M$501</definedName>
    <definedName name="Slicer_Manager">#N/A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2" l="1"/>
  <c r="K45" i="4"/>
  <c r="K51" i="4"/>
  <c r="B29" i="2"/>
  <c r="J4" i="6"/>
  <c r="F3" i="6"/>
  <c r="G3" i="4"/>
  <c r="Y11" i="4"/>
  <c r="Y26" i="4"/>
  <c r="Y27" i="4"/>
  <c r="Y28" i="4"/>
  <c r="Y29" i="4"/>
  <c r="Y25" i="4"/>
  <c r="Z25" i="4" s="1"/>
  <c r="Y19" i="4"/>
  <c r="Y20" i="4"/>
  <c r="Y21" i="4"/>
  <c r="Y22" i="4"/>
  <c r="Y18" i="4"/>
  <c r="Y12" i="4"/>
  <c r="Y13" i="4"/>
  <c r="Y14" i="4"/>
  <c r="Y15" i="4"/>
  <c r="Y5" i="4"/>
  <c r="Y6" i="4"/>
  <c r="Y7" i="4"/>
  <c r="Y8" i="4"/>
  <c r="Y4" i="4"/>
  <c r="E51" i="2"/>
  <c r="E52" i="2"/>
  <c r="E53" i="2"/>
  <c r="E54" i="2"/>
  <c r="E55" i="2"/>
  <c r="E50" i="2"/>
  <c r="P27" i="4"/>
  <c r="P28" i="4"/>
  <c r="P29" i="4"/>
  <c r="P30" i="4"/>
  <c r="P31" i="4"/>
  <c r="P26" i="4"/>
  <c r="G22" i="4"/>
  <c r="G23" i="4"/>
  <c r="G24" i="4"/>
  <c r="G25" i="4"/>
  <c r="G26" i="4"/>
  <c r="G27" i="4"/>
  <c r="G28" i="4"/>
  <c r="G29" i="4"/>
  <c r="G30" i="4"/>
  <c r="G31" i="4"/>
  <c r="G32" i="4"/>
  <c r="G33" i="4"/>
  <c r="G34" i="4"/>
  <c r="G35" i="4"/>
  <c r="G21" i="4"/>
  <c r="H14" i="4"/>
  <c r="H15" i="4"/>
  <c r="H16" i="4"/>
  <c r="H13" i="4"/>
  <c r="H3" i="4"/>
  <c r="I3" i="4"/>
  <c r="I4" i="4"/>
  <c r="I5" i="4"/>
  <c r="I6" i="4"/>
  <c r="H4" i="4"/>
  <c r="H5" i="4"/>
  <c r="H6" i="4"/>
  <c r="G4" i="4"/>
  <c r="G5" i="4"/>
  <c r="G6" i="4"/>
  <c r="B11" i="2"/>
  <c r="B10" i="2"/>
  <c r="B9" i="2"/>
  <c r="B8" i="2"/>
  <c r="Z11" i="4" l="1"/>
  <c r="Z18" i="4"/>
  <c r="Z4" i="4"/>
  <c r="B13" i="2"/>
  <c r="B14" i="2"/>
  <c r="B17" i="2"/>
  <c r="B18" i="2" s="1"/>
  <c r="B12" i="2"/>
</calcChain>
</file>

<file path=xl/sharedStrings.xml><?xml version="1.0" encoding="utf-8"?>
<sst xmlns="http://schemas.openxmlformats.org/spreadsheetml/2006/main" count="4351" uniqueCount="664">
  <si>
    <t>Transaction_ID</t>
  </si>
  <si>
    <t>Date</t>
  </si>
  <si>
    <t>Region</t>
  </si>
  <si>
    <t>Customer</t>
  </si>
  <si>
    <t>Product</t>
  </si>
  <si>
    <t>Sales</t>
  </si>
  <si>
    <t>Manager</t>
  </si>
  <si>
    <t>Branch</t>
  </si>
  <si>
    <t>Target_Sales</t>
  </si>
  <si>
    <t>Collection</t>
  </si>
  <si>
    <t>Outstanding</t>
  </si>
  <si>
    <t>Days_Overdue</t>
  </si>
  <si>
    <t>Aging_Bucket</t>
  </si>
  <si>
    <t>Jalandhar</t>
  </si>
  <si>
    <t>ABC Traders</t>
  </si>
  <si>
    <t>Refrigerator</t>
  </si>
  <si>
    <t>Amit</t>
  </si>
  <si>
    <t>Jalandhar-1</t>
  </si>
  <si>
    <t>31-60</t>
  </si>
  <si>
    <t>Ludhiana</t>
  </si>
  <si>
    <t>Malhotra Stores</t>
  </si>
  <si>
    <t>Washing Machine</t>
  </si>
  <si>
    <t>Simran</t>
  </si>
  <si>
    <t>Ludhiana-2</t>
  </si>
  <si>
    <t>61-90</t>
  </si>
  <si>
    <t>Chandigarh</t>
  </si>
  <si>
    <t>Singh Enterprises</t>
  </si>
  <si>
    <t>Air Conditioner</t>
  </si>
  <si>
    <t>Chandigarh-1</t>
  </si>
  <si>
    <t>Arora Telecom</t>
  </si>
  <si>
    <t>Rohit</t>
  </si>
  <si>
    <t>91-120</t>
  </si>
  <si>
    <t>Amritsar</t>
  </si>
  <si>
    <t>Raj Traders</t>
  </si>
  <si>
    <t>Mobile</t>
  </si>
  <si>
    <t>Karan</t>
  </si>
  <si>
    <t>Amritsar-1</t>
  </si>
  <si>
    <t>Microwave</t>
  </si>
  <si>
    <t>Sethi Electronics</t>
  </si>
  <si>
    <t>Kumar Stores</t>
  </si>
  <si>
    <t>Neha</t>
  </si>
  <si>
    <t>0-30</t>
  </si>
  <si>
    <t>Sharma Electronics</t>
  </si>
  <si>
    <t>Mehta Traders</t>
  </si>
  <si>
    <t>LED TV</t>
  </si>
  <si>
    <t>Khanna Traders</t>
  </si>
  <si>
    <t>XYZ Distributors</t>
  </si>
  <si>
    <t>Verma Electronics</t>
  </si>
  <si>
    <t>Ludhiana-1</t>
  </si>
  <si>
    <t>Bansal Retail</t>
  </si>
  <si>
    <t>Gupta Retail</t>
  </si>
  <si>
    <t>Kapoor Retail</t>
  </si>
  <si>
    <t>CHANDIGARH</t>
  </si>
  <si>
    <t>Question Sheet</t>
  </si>
  <si>
    <t>PART A — DATA CLEANING</t>
  </si>
  <si>
    <t>1. Identify and correct inconsistent spaces/casing in Customer, Region and Product.</t>
  </si>
  <si>
    <t>2. Check for blanks, duplicates and invalid values.</t>
  </si>
  <si>
    <t>3. Add/maintain a clean Aging_Bucket based on Days_Overdue.</t>
  </si>
  <si>
    <t>PART B — MANAGEMENT KPIs</t>
  </si>
  <si>
    <t>4. Calculate Total Sales.</t>
  </si>
  <si>
    <t>5. Calculate Total Target Sales.</t>
  </si>
  <si>
    <t>6. Calculate Total Collection.</t>
  </si>
  <si>
    <t>7. Calculate Total Outstanding.</t>
  </si>
  <si>
    <t>8. Calculate Achievement % = Sales / Target Sales × 100.</t>
  </si>
  <si>
    <t>9. Calculate Collection % = Collection / Sales × 100.</t>
  </si>
  <si>
    <t>10. Calculate Outstanding % = Outstanding / Sales × 100.</t>
  </si>
  <si>
    <t>PART C — TARGET VS ACTUAL</t>
  </si>
  <si>
    <t>11. Calculate Sales Variance = Sales - Target Sales.</t>
  </si>
  <si>
    <t>12. Calculate Variance % = Sales Variance / Target Sales × 100.</t>
  </si>
  <si>
    <t>13. Identify the best-performing Region by Sales.</t>
  </si>
  <si>
    <t>14. Identify the worst-performing Region by Variance %.</t>
  </si>
  <si>
    <t>15. Identify which Region has the highest Outstanding.</t>
  </si>
  <si>
    <t>PART D — RECEIVABLES / AGING</t>
  </si>
  <si>
    <t>16. Calculate Outstanding by Aging Bucket.</t>
  </si>
  <si>
    <t>17. Calculate Critical Outstanding (61–120 days).</t>
  </si>
  <si>
    <t>18. Calculate Critical Outstanding % of Total Outstanding.</t>
  </si>
  <si>
    <t>19. Identify the customer with the highest Outstanding.</t>
  </si>
  <si>
    <t>20. Identify the customer with the oldest overdue balance.</t>
  </si>
  <si>
    <t>PART E — CUSTOMER / PRODUCT ANALYSIS</t>
  </si>
  <si>
    <t>21. Find the top 5 customers by Sales.</t>
  </si>
  <si>
    <t>22. Find the top 5 customers by Outstanding.</t>
  </si>
  <si>
    <t>23. Identify the best-selling Product.</t>
  </si>
  <si>
    <t>24. Identify the Product with the highest Outstanding.</t>
  </si>
  <si>
    <t>25. Calculate Sales and Collection by Product.</t>
  </si>
  <si>
    <t>PART F — DASHBOARD</t>
  </si>
  <si>
    <t>26. Create a one-page Finance MIS dashboard.</t>
  </si>
  <si>
    <t>Dashboard must contain: Total Sales, Target Sales, Achievement %, Collection, Outstanding, Critical Outstanding %.</t>
  </si>
  <si>
    <t>Include: Region performance, Aging analysis, Top 5 customers by Outstanding, Product performance, and slicers/filters for Region, Product and Manager.</t>
  </si>
  <si>
    <t>PART G — MANAGEMENT QUESTIONS</t>
  </si>
  <si>
    <t>27. Which Region requires the most attention and why?</t>
  </si>
  <si>
    <t>28. Is the collection position healthy? Support your answer with numbers.</t>
  </si>
  <si>
    <t>29. What is the biggest receivables risk visible in the aging report?</t>
  </si>
  <si>
    <t>30. Give 3 practical actions management should take next month.</t>
  </si>
  <si>
    <t>31. Write a 5-line management summary as if sending this MIS to a Finance Manager.</t>
  </si>
  <si>
    <t>RULE: Do not ask ChatGPT for the answers before submitting your completed file. Use Excel formulas/Pivots where appropriate.</t>
  </si>
  <si>
    <t>Condition</t>
  </si>
  <si>
    <t>Done</t>
  </si>
  <si>
    <t>Row Labels</t>
  </si>
  <si>
    <t>Grand Total</t>
  </si>
  <si>
    <t>Sum of Sales</t>
  </si>
  <si>
    <t>Ludhiana is the best region with 1 Crore and 24 Lakh</t>
  </si>
  <si>
    <t>amritsar</t>
  </si>
  <si>
    <t>10001</t>
  </si>
  <si>
    <t>General Follow Up</t>
  </si>
  <si>
    <t>10002</t>
  </si>
  <si>
    <t>Fast Follow Up</t>
  </si>
  <si>
    <t>10003</t>
  </si>
  <si>
    <t>10004</t>
  </si>
  <si>
    <t>Critical</t>
  </si>
  <si>
    <t>10005</t>
  </si>
  <si>
    <t>10006</t>
  </si>
  <si>
    <t>10007</t>
  </si>
  <si>
    <t>10008</t>
  </si>
  <si>
    <t>10009</t>
  </si>
  <si>
    <t>Normal</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</si>
  <si>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</si>
  <si>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</si>
  <si>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</si>
  <si>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</si>
  <si>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</si>
  <si>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</si>
  <si>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</si>
  <si>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</si>
  <si>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</si>
  <si>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</si>
  <si>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</si>
  <si>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</si>
  <si>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</si>
  <si>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</si>
  <si>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</si>
  <si>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</si>
  <si>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</si>
  <si>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</si>
  <si>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</si>
  <si>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</si>
  <si>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</si>
  <si>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</si>
  <si>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</si>
  <si>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</si>
  <si>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</si>
  <si>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</si>
  <si>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</si>
  <si>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</si>
  <si>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</si>
  <si>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</si>
  <si>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</si>
  <si>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</si>
  <si>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</si>
  <si>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</si>
  <si>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</si>
  <si>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</si>
  <si>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</si>
  <si>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</si>
  <si>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</si>
  <si>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</si>
  <si>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</si>
  <si>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</si>
  <si>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</si>
  <si>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</si>
  <si>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</si>
  <si>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</si>
  <si>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</si>
  <si>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</si>
  <si>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</si>
  <si>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</si>
  <si>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</si>
  <si>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</si>
  <si>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</si>
  <si>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</si>
  <si>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</si>
  <si>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10281</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</si>
  <si>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</si>
  <si>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</si>
  <si>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</si>
  <si>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</si>
  <si>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</si>
  <si>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</si>
  <si>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</si>
  <si>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</si>
  <si>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</si>
  <si>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</si>
  <si>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</si>
  <si>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</si>
  <si>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</si>
  <si>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</si>
  <si>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</si>
  <si>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</si>
  <si>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</si>
  <si>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</si>
  <si>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</si>
  <si>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</si>
  <si>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</si>
  <si>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</si>
  <si>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</si>
  <si>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</si>
  <si>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</si>
  <si>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</si>
  <si>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</si>
  <si>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</si>
  <si>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</si>
  <si>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</si>
  <si>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</si>
  <si>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</si>
  <si>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</si>
  <si>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</si>
  <si>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</si>
  <si>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</si>
  <si>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</si>
  <si>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</si>
  <si>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</si>
  <si>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</si>
  <si>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</si>
  <si>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</si>
  <si>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</si>
  <si>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</si>
  <si>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</si>
  <si>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</si>
  <si>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</si>
  <si>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</si>
  <si>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</si>
  <si>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</si>
  <si>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</si>
  <si>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</si>
  <si>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</si>
  <si>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</si>
  <si>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10344</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</si>
  <si>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</si>
  <si>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</si>
  <si>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</si>
  <si>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</si>
  <si>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</si>
  <si>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</si>
  <si>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</si>
  <si>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</si>
  <si>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</si>
  <si>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</si>
  <si>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</si>
  <si>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</si>
  <si>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</si>
  <si>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</si>
  <si>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</si>
  <si>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</si>
  <si>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</si>
  <si>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</si>
  <si>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</si>
  <si>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</si>
  <si>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</si>
  <si>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</si>
  <si>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</si>
  <si>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</si>
  <si>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</si>
  <si>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</si>
  <si>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</si>
  <si>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</si>
  <si>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</si>
  <si>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</si>
  <si>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</si>
  <si>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</si>
  <si>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</si>
  <si>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</si>
  <si>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</si>
  <si>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</si>
  <si>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</si>
  <si>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</si>
  <si>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</si>
  <si>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</si>
  <si>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</si>
  <si>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</si>
  <si>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</si>
  <si>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</si>
  <si>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</si>
  <si>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</si>
  <si>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</si>
  <si>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</si>
  <si>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</si>
  <si>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</si>
  <si>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</si>
  <si>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</si>
  <si>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</si>
  <si>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</si>
  <si>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</si>
  <si>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</si>
  <si>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</si>
  <si>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</si>
  <si>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</si>
  <si>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</si>
  <si>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</si>
  <si>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</si>
  <si>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</si>
  <si>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</si>
  <si>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</si>
  <si>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</si>
  <si>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</si>
  <si>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</si>
  <si>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</si>
  <si>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</si>
  <si>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</si>
  <si>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</si>
  <si>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</si>
  <si>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</si>
  <si>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</si>
  <si>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</si>
  <si>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</si>
  <si>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</si>
  <si>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</si>
  <si>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</si>
  <si>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</si>
  <si>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</si>
  <si>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</si>
  <si>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</si>
  <si>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</si>
  <si>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</si>
  <si>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</si>
  <si>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</si>
  <si>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</si>
  <si>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</si>
  <si>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</si>
  <si>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</si>
  <si>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</si>
  <si>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</si>
  <si>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</si>
  <si>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</si>
  <si>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</si>
  <si>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</si>
  <si>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10433</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</si>
  <si>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</si>
  <si>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</si>
  <si>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</si>
  <si>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</si>
  <si>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</si>
  <si>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</si>
  <si>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</si>
  <si>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</si>
  <si>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</si>
  <si>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</si>
  <si>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</si>
  <si>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</si>
  <si>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</si>
  <si>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</si>
  <si>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</si>
  <si>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</si>
  <si>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</si>
  <si>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</si>
  <si>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</si>
  <si>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</si>
  <si>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</si>
  <si>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</si>
  <si>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</si>
  <si>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</si>
  <si>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</si>
  <si>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</si>
  <si>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</si>
  <si>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</si>
  <si>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</si>
  <si>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</si>
  <si>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</si>
  <si>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</si>
  <si>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</si>
  <si>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</si>
  <si>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</si>
  <si>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</si>
  <si>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</si>
  <si>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</si>
  <si>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</si>
  <si>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</si>
  <si>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</si>
  <si>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</si>
  <si>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</si>
  <si>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</si>
  <si>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</si>
  <si>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</si>
  <si>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</si>
  <si>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</si>
  <si>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</si>
  <si>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</si>
  <si>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</si>
  <si>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</si>
  <si>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</si>
  <si>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</si>
  <si>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</si>
  <si>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</si>
  <si>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</si>
  <si>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</si>
  <si>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</si>
  <si>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</si>
  <si>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</si>
  <si>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</si>
  <si>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</si>
  <si>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</si>
  <si>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</si>
  <si>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</si>
  <si>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</si>
  <si>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</si>
  <si>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</si>
  <si>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</si>
  <si>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</si>
  <si>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</si>
  <si>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</si>
  <si>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</si>
  <si>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</si>
  <si>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</si>
  <si>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</si>
  <si>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</si>
  <si>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</si>
  <si>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</si>
  <si>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</si>
  <si>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</si>
  <si>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</si>
  <si>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</si>
  <si>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</si>
  <si>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</si>
  <si>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</si>
  <si>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</si>
  <si>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</si>
  <si>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</si>
  <si>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</si>
  <si>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</si>
  <si>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</si>
  <si>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</si>
  <si>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</si>
  <si>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</si>
  <si>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</si>
  <si>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</si>
  <si>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10317</t>
  </si>
  <si>
    <t>10316</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</si>
  <si>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</si>
  <si>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</si>
  <si>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</si>
  <si>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</si>
  <si>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</si>
  <si>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</si>
  <si>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</si>
  <si>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</si>
  <si>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</si>
  <si>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</si>
  <si>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</si>
  <si>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</si>
  <si>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</si>
  <si>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</si>
  <si>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</si>
  <si>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</si>
  <si>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</si>
  <si>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</si>
  <si>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</si>
  <si>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</si>
  <si>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</si>
  <si>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</si>
  <si>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</si>
  <si>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</si>
  <si>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</si>
  <si>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</si>
  <si>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</si>
  <si>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</si>
  <si>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</si>
  <si>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</si>
  <si>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</si>
  <si>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</si>
  <si>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</si>
  <si>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</si>
  <si>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</si>
  <si>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</si>
  <si>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</si>
  <si>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</si>
  <si>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</si>
  <si>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</si>
  <si>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</si>
  <si>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</si>
  <si>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</si>
  <si>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</si>
  <si>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</si>
  <si>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</si>
  <si>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</si>
  <si>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</si>
  <si>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</si>
  <si>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</si>
  <si>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</si>
  <si>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10441</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</si>
  <si>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</si>
  <si>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</si>
  <si>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</si>
  <si>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</si>
  <si>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</si>
  <si>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</si>
  <si>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</si>
  <si>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</si>
  <si>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</si>
  <si>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</si>
  <si>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</si>
  <si>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</si>
  <si>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</si>
  <si>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</si>
  <si>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</si>
  <si>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</si>
  <si>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</si>
  <si>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</si>
  <si>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</si>
  <si>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</si>
  <si>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</si>
  <si>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</si>
  <si>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</si>
  <si>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</si>
  <si>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</si>
  <si>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10418</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</si>
  <si>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</si>
  <si>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</si>
  <si>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</si>
  <si>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</si>
  <si>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</si>
  <si>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</si>
  <si>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</si>
  <si>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</si>
  <si>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</si>
  <si>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</si>
  <si>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</si>
  <si>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</si>
  <si>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</si>
  <si>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</si>
  <si>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</si>
  <si>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</si>
  <si>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</si>
  <si>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</si>
  <si>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</si>
  <si>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</si>
  <si>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</si>
  <si>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</si>
  <si>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</si>
  <si>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10419</t>
  </si>
  <si>
    <t>10420</t>
  </si>
  <si>
    <t>10421</t>
  </si>
  <si>
    <t>10422</t>
  </si>
  <si>
    <t>10423</t>
  </si>
  <si>
    <t>10424</t>
  </si>
  <si>
    <t>10425</t>
  </si>
  <si>
    <t>10426</t>
  </si>
  <si>
    <t>10427</t>
  </si>
  <si>
    <t>10428</t>
  </si>
  <si>
    <t>10429</t>
  </si>
  <si>
    <t>10430</t>
  </si>
  <si>
    <t>10431</t>
  </si>
  <si>
    <t>10432</t>
  </si>
  <si>
    <t>10434</t>
  </si>
  <si>
    <t>10435</t>
  </si>
  <si>
    <t>10436</t>
  </si>
  <si>
    <t>10437</t>
  </si>
  <si>
    <t>10438</t>
  </si>
  <si>
    <t>10439</t>
  </si>
  <si>
    <t>10440</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</si>
  <si>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</si>
  <si>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</si>
  <si>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</si>
  <si>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</si>
  <si>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</si>
  <si>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</si>
  <si>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</si>
  <si>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</si>
  <si>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</si>
  <si>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</si>
  <si>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</si>
  <si>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</si>
  <si>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</si>
  <si>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</si>
  <si>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</si>
  <si>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</si>
  <si>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</si>
  <si>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</si>
  <si>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</si>
  <si>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</si>
  <si>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</si>
  <si>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</si>
  <si>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</si>
  <si>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</si>
  <si>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</si>
  <si>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</si>
  <si>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</si>
  <si>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</si>
  <si>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</si>
  <si>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</si>
  <si>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</si>
  <si>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</si>
  <si>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</si>
  <si>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</si>
  <si>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</si>
  <si>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</si>
  <si>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</si>
  <si>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</si>
  <si>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</si>
  <si>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</si>
  <si>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</si>
  <si>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</si>
  <si>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</si>
  <si>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</si>
  <si>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</si>
  <si>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</si>
  <si>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</si>
  <si>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</si>
  <si>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</si>
  <si>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</si>
  <si>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</si>
  <si>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</si>
  <si>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</si>
  <si>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</si>
  <si>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</si>
  <si>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</si>
  <si>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</si>
  <si>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</si>
  <si>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</si>
  <si>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Amritsar has a slightly low performance compared to other regio with a variance % of 17%</t>
  </si>
  <si>
    <t>region wise analysis</t>
  </si>
  <si>
    <t>Sum of Outstanding</t>
  </si>
  <si>
    <t>Sum of Collection</t>
  </si>
  <si>
    <t>Sum of Target_Sales</t>
  </si>
  <si>
    <t>Achivement %</t>
  </si>
  <si>
    <t>Collection %</t>
  </si>
  <si>
    <t>Outstanding %</t>
  </si>
  <si>
    <t>Aging Bucket</t>
  </si>
  <si>
    <t>Count of Condition</t>
  </si>
  <si>
    <t>customer by sales</t>
  </si>
  <si>
    <t>customer by outstanding</t>
  </si>
  <si>
    <t>Customer Name</t>
  </si>
  <si>
    <t>product by sales</t>
  </si>
  <si>
    <t>Air Conditioner with 76Lakh 26K worth of sales</t>
  </si>
  <si>
    <t>Air Conditioner has a outstanding of 33% from the total sales I made</t>
  </si>
  <si>
    <t>Collected</t>
  </si>
  <si>
    <t>Count of Customer</t>
  </si>
  <si>
    <t>Mild critical</t>
  </si>
  <si>
    <t>Ludhiana Total</t>
  </si>
  <si>
    <t>Chandigarh Total</t>
  </si>
  <si>
    <t>Jalandhar Total</t>
  </si>
  <si>
    <t>Amritsar Total</t>
  </si>
  <si>
    <t>customer wise outstanding</t>
  </si>
  <si>
    <t>customer wise sales, target sales, collection, outstanding and Outstanding %</t>
  </si>
  <si>
    <t>region and condition wise sales, target sales, collection, outstanding and no. of customer</t>
  </si>
  <si>
    <t>Condition wise Outstanding %</t>
  </si>
  <si>
    <t>Condition %</t>
  </si>
  <si>
    <t>Product Wise Outstanding %</t>
  </si>
  <si>
    <t>Fast Attention</t>
  </si>
  <si>
    <t>Fast Attention contain Critial, Mild Critical and fast follow up</t>
  </si>
  <si>
    <t>Count of Aging_Bucket</t>
  </si>
  <si>
    <t>Total sales</t>
  </si>
  <si>
    <t>total target</t>
  </si>
  <si>
    <t>total collection</t>
  </si>
  <si>
    <t>total outstading</t>
  </si>
  <si>
    <t>Aging Analysis</t>
  </si>
  <si>
    <t>Customers</t>
  </si>
  <si>
    <t>Total Outstanding</t>
  </si>
  <si>
    <t>product performance</t>
  </si>
  <si>
    <t>Sales Trend</t>
  </si>
  <si>
    <t>Jul</t>
  </si>
  <si>
    <t>Aug</t>
  </si>
  <si>
    <t>Critical clients</t>
  </si>
  <si>
    <t>critial amount %</t>
  </si>
  <si>
    <t>Ludhiana may have ₹39L outstanding, but if it generated ₹1.25Cr sales, its exposure is different from Amritsar having ₹22.7L outstanding against ₹71.8L sales.</t>
  </si>
  <si>
    <t>XYZ Distributors has the oldest overdue balance, with ₹2,78,477 outstanding in the 91–120 day bucket.</t>
  </si>
  <si>
    <t>Chandigarh needs the most collection attention because 47.28% of its outstanding falls under the defined attention categories, indicating higher relative ageing risk despite having lower total outstanding than Ludhiana.</t>
  </si>
  <si>
    <t>Collection performance is moderate, with 69.72% of sales collected and ₹1.22 crore still outstanding. The position requires monitoring because a significant portion of receivables is overdue.</t>
  </si>
  <si>
    <t>The biggest receivables risk is that approximately 41% of total outstanding is aged 61–120 days, indicating a significant overdue collection exposure.</t>
  </si>
  <si>
    <t>Prioritize collection follow-up for customers in the 91–120 day bucket.</t>
  </si>
  <si>
    <t>Escalate high-outstanding customers such as Verma Electronics and Singh Enterprises.</t>
  </si>
  <si>
    <t>Review Ludhiana's sales target gap and outstanding position with the regional/branch manager.</t>
  </si>
  <si>
    <t>4. Approximately 41% of outstanding falls in the 61–120 day range.</t>
  </si>
  <si>
    <t>5. Immediate collection follow-up should focus on aged receivables and high-exposure customers.</t>
  </si>
  <si>
    <t>1. Sales were ₹4.03 crore against a target of ₹4.12 crore, achieving 97.69%.</t>
  </si>
  <si>
    <t>2. Collections stood at ₹2.81 crore, with ₹1.22 crore outstanding.</t>
  </si>
  <si>
    <t>3. Ludhiana requires attention due to its ₹39.05 lakh outstanding and lowest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</si>
</sst>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
    <numFmt numFmtId="165" formatCode="dd\-mmm\-yyyy"/>
    <numFmt numFmtId="166" formatCode="0.0"/>
    <numFmt numFmtId="167" formatCode="_ [$₹-4009]\ * #,##0_ ;_ [$₹-4009]\ * \-#,##0_ ;_ [$₹-4009]\ * &quot;-&quot;??_ ;_ @_ "/>
    <numFmt numFmtId="168" formatCode="_ &quot;₹&quot;\ * #,##0_ ;_ &quot;₹&quot;\ * \-#,##0_ ;_ &quot;₹&quot;\ * &quot;-&quot;??_ ;_ @_ "/>
    <numFmt numFmtId="169" formatCode="&quot;₹&quot;\ #,##0"/>
  </numFmts>
  <fonts count="9" x14ac:knownFonts="1">
    <font>
      <sz val="11"/>
      <color theme="1"/>
      <name val="Calibri"/>
      <family val="2"/>
      <scheme val="minor"/>
    </font>
    <font>
      <sz val="11"/>
      <color theme="1"/>
      <name val="Calibri"/>
      <family val="2"/>
      <scheme val="minor"/>
    </font>
    <font>
      <sz val="8"/>
      <name val="Calibri"/>
      <family val="2"/>
      <scheme val="minor"/>
    </font>
    <font>
      <b/>
      <sz val="11"/>
      <name val="Avenir Next LT Pro Demi"/>
      <family val="2"/>
    </font>
    <font>
      <sz val="11"/>
      <color theme="1"/>
      <name val="Avenir Next LT Pro Demi"/>
      <family val="2"/>
    </font>
    <font>
      <b/>
      <sz val="11"/>
      <color theme="1"/>
      <name val="Avenir Next LT Pro Demi"/>
      <family val="2"/>
    </font>
    <font>
      <sz val="11"/>
      <color theme="0"/>
      <name val="Avenir Next LT Pro Demi"/>
      <family val="2"/>
    </font>
    <font>
      <b/>
      <sz val="16"/>
      <name val="Avenir Next LT Pro Demi"/>
      <family val="2"/>
    </font>
    <font>
      <i/>
      <sz val="11"/>
      <color theme="1"/>
      <name val="Avenir Next LT Pro Demi"/>
      <family val="2"/>
    </font>
  </fonts>
  <fills count="5">
    <fill>
      <patternFill patternType="none"/>
    </fill>
    <fill>
      <patternFill patternType="gray125"/>
    </fill>
    <fill>
      <patternFill patternType="solid">
        <fgColor rgb="FFFFFF00"/>
        <bgColor indexed="64"/>
      </patternFill>
    </fill>
    <fill>
      <patternFill patternType="solid">
        <fgColor rgb="FF00A44A"/>
        <bgColor indexed="64"/>
      </patternFill>
    </fill>
    <fill>
      <patternFill patternType="solid">
        <fgColor rgb="FFFFC000"/>
        <bgColor indexed="64"/>
      </patternFill>
    </fill>
  </fills>
  <borders count="4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auto="1"/>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medium">
        <color indexed="64"/>
      </top>
      <bottom/>
      <diagonal/>
    </border>
    <border>
      <left style="medium">
        <color indexed="64"/>
      </left>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right style="medium">
        <color indexed="64"/>
      </right>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diagonal/>
    </border>
    <border>
      <left style="medium">
        <color indexed="64"/>
      </left>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medium">
        <color indexed="64"/>
      </right>
      <top/>
      <bottom style="thin">
        <color auto="1"/>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s>
  <cellStyleXfs count="2">
    <xf numFmtId="0" fontId="0" fillId="0" borderId="0"/>
    <xf numFmtId="44" fontId="1" fillId="0" borderId="0" applyFont="0" applyFill="0" applyBorder="0" applyAlignment="0" applyProtection="0"/>
  </cellStyleXfs>
  <cellXfs count="84">
    <xf numFmtId="0" fontId="0" fillId="0" borderId="0" xfId="0"/>
    <xf numFmtId="0" fontId="4" fillId="0" borderId="0" xfId="0" applyFont="1" applyAlignment="1">
      <alignment vertical="center" wrapText="1"/>
    </xf>
    <xf numFmtId="0" fontId="5" fillId="2" borderId="11" xfId="0" applyFont="1" applyFill="1" applyBorder="1" applyAlignment="1">
      <alignment horizontal="center" vertical="center" wrapText="1"/>
    </xf>
    <xf numFmtId="0" fontId="4" fillId="0" borderId="10" xfId="0" applyFont="1" applyBorder="1" applyAlignment="1">
      <alignment vertical="center" wrapText="1"/>
    </xf>
    <xf numFmtId="0" fontId="4" fillId="0" borderId="17" xfId="0" applyFont="1" applyBorder="1" applyAlignment="1">
      <alignment vertical="center" wrapText="1"/>
    </xf>
    <xf numFmtId="0" fontId="4" fillId="0" borderId="21" xfId="0" applyFont="1" applyBorder="1" applyAlignment="1">
      <alignment vertical="center" wrapText="1"/>
    </xf>
    <xf numFmtId="0" fontId="4" fillId="0" borderId="13" xfId="0" applyFont="1" applyBorder="1" applyAlignment="1">
      <alignment vertical="center" wrapText="1"/>
    </xf>
    <xf numFmtId="0" fontId="4" fillId="0" borderId="19"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center" wrapText="1"/>
    </xf>
    <xf numFmtId="0" fontId="5" fillId="2" borderId="10" xfId="0" applyFont="1" applyFill="1" applyBorder="1" applyAlignment="1">
      <alignment horizontal="center" vertical="center" wrapText="1"/>
    </xf>
    <xf numFmtId="0" fontId="4" fillId="0" borderId="22" xfId="0" applyFont="1" applyBorder="1" applyAlignment="1">
      <alignment vertical="center" wrapText="1"/>
    </xf>
    <xf numFmtId="164" fontId="4" fillId="0" borderId="19" xfId="0" applyNumberFormat="1" applyFont="1" applyBorder="1" applyAlignment="1">
      <alignment vertical="center" wrapText="1"/>
    </xf>
    <xf numFmtId="166" fontId="4" fillId="0" borderId="19" xfId="0" applyNumberFormat="1" applyFont="1" applyBorder="1" applyAlignment="1">
      <alignment vertical="center" wrapText="1"/>
    </xf>
    <xf numFmtId="166" fontId="4" fillId="0" borderId="20" xfId="0" applyNumberFormat="1" applyFont="1" applyBorder="1" applyAlignment="1">
      <alignment vertical="center" wrapText="1"/>
    </xf>
    <xf numFmtId="0" fontId="5" fillId="2" borderId="15" xfId="0" applyFont="1" applyFill="1" applyBorder="1" applyAlignment="1">
      <alignment horizontal="center" vertical="center" wrapText="1"/>
    </xf>
    <xf numFmtId="0" fontId="4" fillId="0" borderId="0" xfId="0" applyFont="1" applyAlignment="1">
      <alignment vertical="center"/>
    </xf>
    <xf numFmtId="0" fontId="4" fillId="0" borderId="12" xfId="0" applyFont="1" applyBorder="1" applyAlignment="1">
      <alignment vertical="center" wrapText="1"/>
    </xf>
    <xf numFmtId="168" fontId="4" fillId="0" borderId="1" xfId="1" applyNumberFormat="1" applyFont="1" applyBorder="1" applyAlignment="1">
      <alignment vertical="center" wrapText="1"/>
    </xf>
    <xf numFmtId="0" fontId="4" fillId="0" borderId="23" xfId="0" applyFont="1" applyBorder="1" applyAlignment="1">
      <alignment vertical="center" wrapText="1"/>
    </xf>
    <xf numFmtId="0" fontId="4" fillId="0" borderId="16" xfId="0" applyFont="1" applyBorder="1" applyAlignment="1">
      <alignment vertical="center" wrapText="1"/>
    </xf>
    <xf numFmtId="0" fontId="4" fillId="0" borderId="24" xfId="0" applyFont="1" applyBorder="1" applyAlignment="1">
      <alignment vertical="center" wrapText="1"/>
    </xf>
    <xf numFmtId="168" fontId="4" fillId="0" borderId="25" xfId="1" applyNumberFormat="1" applyFont="1" applyBorder="1" applyAlignment="1">
      <alignment vertical="center" wrapText="1"/>
    </xf>
    <xf numFmtId="168" fontId="4" fillId="0" borderId="26" xfId="1" applyNumberFormat="1" applyFont="1" applyBorder="1" applyAlignment="1">
      <alignment vertical="center" wrapText="1"/>
    </xf>
    <xf numFmtId="0" fontId="4" fillId="0" borderId="25" xfId="0" applyFont="1" applyBorder="1" applyAlignment="1">
      <alignment vertical="center" wrapText="1"/>
    </xf>
    <xf numFmtId="0" fontId="4" fillId="0" borderId="28" xfId="0" applyFont="1" applyBorder="1" applyAlignment="1">
      <alignment vertical="center" wrapText="1"/>
    </xf>
    <xf numFmtId="0" fontId="4" fillId="0" borderId="29" xfId="0" applyFont="1" applyBorder="1" applyAlignment="1">
      <alignment vertical="center" wrapText="1"/>
    </xf>
    <xf numFmtId="0" fontId="4" fillId="0" borderId="26" xfId="0" applyFont="1" applyBorder="1" applyAlignment="1">
      <alignment vertical="center" wrapText="1"/>
    </xf>
    <xf numFmtId="0" fontId="4" fillId="0" borderId="30" xfId="0" applyFont="1" applyBorder="1" applyAlignment="1">
      <alignment vertical="center" wrapText="1"/>
    </xf>
    <xf numFmtId="168" fontId="4" fillId="0" borderId="14" xfId="1" applyNumberFormat="1" applyFont="1" applyBorder="1" applyAlignment="1">
      <alignment vertical="center" wrapText="1"/>
    </xf>
    <xf numFmtId="0" fontId="4" fillId="0" borderId="8" xfId="0" applyFont="1" applyBorder="1" applyAlignment="1">
      <alignment vertical="center" wrapText="1"/>
    </xf>
    <xf numFmtId="0" fontId="4" fillId="0" borderId="34" xfId="0" applyFont="1" applyBorder="1" applyAlignment="1">
      <alignment vertical="center" wrapText="1"/>
    </xf>
    <xf numFmtId="168" fontId="4" fillId="0" borderId="0" xfId="1" applyNumberFormat="1" applyFont="1" applyAlignment="1">
      <alignment vertical="center" wrapText="1"/>
    </xf>
    <xf numFmtId="168" fontId="4" fillId="0" borderId="33" xfId="1" applyNumberFormat="1" applyFont="1" applyBorder="1" applyAlignment="1">
      <alignment vertical="center" wrapText="1"/>
    </xf>
    <xf numFmtId="0" fontId="4" fillId="0" borderId="37" xfId="0" applyFont="1" applyBorder="1" applyAlignment="1">
      <alignment vertical="center" wrapText="1"/>
    </xf>
    <xf numFmtId="0" fontId="5" fillId="2" borderId="38"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4" fillId="4" borderId="36"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31" xfId="0" applyFont="1" applyFill="1" applyBorder="1" applyAlignment="1">
      <alignment horizontal="center" vertical="center" wrapText="1"/>
    </xf>
    <xf numFmtId="0" fontId="5" fillId="2" borderId="0" xfId="0" applyFont="1" applyFill="1"/>
    <xf numFmtId="0" fontId="4" fillId="0" borderId="0" xfId="0" applyFont="1"/>
    <xf numFmtId="0" fontId="4" fillId="0" borderId="0" xfId="0" pivotButton="1" applyFont="1"/>
    <xf numFmtId="0" fontId="6" fillId="3" borderId="0" xfId="0" applyFont="1" applyFill="1"/>
    <xf numFmtId="0" fontId="5" fillId="2" borderId="0" xfId="0" applyFont="1" applyFill="1" applyAlignment="1">
      <alignment horizontal="left"/>
    </xf>
    <xf numFmtId="0" fontId="4" fillId="0" borderId="0" xfId="0" applyFont="1" applyAlignment="1">
      <alignment horizontal="left"/>
    </xf>
    <xf numFmtId="167" fontId="4" fillId="0" borderId="0" xfId="0" applyNumberFormat="1" applyFont="1"/>
    <xf numFmtId="0" fontId="3" fillId="0" borderId="4" xfId="0" applyFont="1" applyBorder="1" applyAlignment="1">
      <alignment horizontal="center" vertical="top"/>
    </xf>
    <xf numFmtId="165" fontId="3" fillId="0" borderId="5" xfId="0" applyNumberFormat="1"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4" fillId="0" borderId="2" xfId="0" applyFont="1" applyBorder="1"/>
    <xf numFmtId="165" fontId="4" fillId="0" borderId="1" xfId="0" applyNumberFormat="1" applyFont="1" applyBorder="1"/>
    <xf numFmtId="0" fontId="4" fillId="0" borderId="1" xfId="0" applyFont="1" applyBorder="1"/>
    <xf numFmtId="164" fontId="4" fillId="0" borderId="1" xfId="0" applyNumberFormat="1" applyFont="1" applyBorder="1"/>
    <xf numFmtId="0" fontId="4" fillId="0" borderId="3" xfId="0" applyFont="1" applyBorder="1"/>
    <xf numFmtId="164" fontId="4" fillId="0" borderId="5" xfId="0" applyNumberFormat="1" applyFont="1" applyBorder="1"/>
    <xf numFmtId="0" fontId="4" fillId="0" borderId="7" xfId="0" applyFont="1" applyBorder="1"/>
    <xf numFmtId="165" fontId="4"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4" fillId="0" borderId="0" xfId="0" applyFont="1" applyAlignment="1">
      <alignment horizontal="left" indent="1"/>
    </xf>
    <xf numFmtId="0" fontId="4" fillId="0" borderId="40" xfId="0" applyFont="1" applyBorder="1" applyAlignment="1">
      <alignment vertical="center" wrapText="1"/>
    </xf>
    <xf numFmtId="0" fontId="4" fillId="0" borderId="27" xfId="0" applyFont="1" applyBorder="1" applyAlignment="1">
      <alignment vertical="center" wrapText="1"/>
    </xf>
    <xf numFmtId="0" fontId="4" fillId="4" borderId="41" xfId="0" applyFont="1" applyFill="1" applyBorder="1" applyAlignment="1">
      <alignment horizontal="center" vertical="center" wrapText="1"/>
    </xf>
    <xf numFmtId="0" fontId="4" fillId="4" borderId="42" xfId="0" applyFont="1" applyFill="1" applyBorder="1" applyAlignment="1">
      <alignment horizontal="center" vertical="center" wrapText="1"/>
    </xf>
    <xf numFmtId="0" fontId="4" fillId="4" borderId="43" xfId="0" applyFont="1" applyFill="1" applyBorder="1" applyAlignment="1">
      <alignment horizontal="center" vertical="center" wrapText="1"/>
    </xf>
    <xf numFmtId="168" fontId="4" fillId="0" borderId="32" xfId="1" applyNumberFormat="1" applyFont="1" applyBorder="1" applyAlignment="1">
      <alignment vertical="center" wrapText="1"/>
    </xf>
    <xf numFmtId="0" fontId="4" fillId="0" borderId="3" xfId="0" applyFont="1" applyBorder="1" applyAlignment="1">
      <alignment vertical="center" wrapText="1"/>
    </xf>
    <xf numFmtId="0" fontId="4" fillId="0" borderId="44" xfId="0" applyFont="1" applyBorder="1" applyAlignment="1">
      <alignment vertical="center" wrapText="1"/>
    </xf>
    <xf numFmtId="2" fontId="4" fillId="0" borderId="14" xfId="0" applyNumberFormat="1" applyFont="1" applyBorder="1" applyAlignment="1">
      <alignment vertical="center" wrapText="1"/>
    </xf>
    <xf numFmtId="2" fontId="4" fillId="0" borderId="25" xfId="0" applyNumberFormat="1" applyFont="1" applyBorder="1" applyAlignment="1">
      <alignment vertical="center" wrapText="1"/>
    </xf>
    <xf numFmtId="2" fontId="4" fillId="0" borderId="26" xfId="0" applyNumberFormat="1" applyFont="1" applyBorder="1" applyAlignment="1">
      <alignment vertical="center" wrapText="1"/>
    </xf>
    <xf numFmtId="0" fontId="4" fillId="2" borderId="0" xfId="0" applyFont="1" applyFill="1"/>
    <xf numFmtId="2" fontId="4" fillId="0" borderId="0" xfId="0" applyNumberFormat="1" applyFont="1"/>
    <xf numFmtId="0" fontId="5" fillId="0" borderId="0" xfId="0" applyFont="1"/>
    <xf numFmtId="2" fontId="5" fillId="0" borderId="0" xfId="0" applyNumberFormat="1" applyFont="1"/>
    <xf numFmtId="0" fontId="8" fillId="2" borderId="10" xfId="0" applyFont="1" applyFill="1" applyBorder="1" applyAlignment="1">
      <alignment horizontal="center" vertical="center" wrapText="1"/>
    </xf>
    <xf numFmtId="0" fontId="5" fillId="2" borderId="0" xfId="0" applyFont="1" applyFill="1" applyAlignment="1">
      <alignment horizontal="center"/>
    </xf>
    <xf numFmtId="169" fontId="4" fillId="0" borderId="0" xfId="0" applyNumberFormat="1" applyFont="1"/>
    <xf numFmtId="0" fontId="7" fillId="4" borderId="39" xfId="0" applyFont="1" applyFill="1" applyBorder="1" applyAlignment="1">
      <alignment horizontal="center" vertical="center" wrapText="1"/>
    </xf>
    <xf numFmtId="0" fontId="7" fillId="4" borderId="31" xfId="0" applyFont="1" applyFill="1" applyBorder="1" applyAlignment="1">
      <alignment horizontal="center" vertical="center" wrapText="1"/>
    </xf>
    <xf numFmtId="0" fontId="4" fillId="0" borderId="45" xfId="0" applyFont="1" applyBorder="1" applyAlignment="1">
      <alignment vertical="center" wrapText="1"/>
    </xf>
  </cellXfs>
  <cellStyles count="2">
    <cellStyle name="Currency" xfId="1" builtinId="4"/>
    <cellStyle name="Normal" xfId="0" builtinId="0"/>
  </cellStyles>
  <dxfs count="126">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numFmt numFmtId="169" formatCode="&quot;₹&quot;\ #,##0"/>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0" formatCode="General"/>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numFmt numFmtId="0" formatCode="General"/>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numFmt numFmtId="0" formatCode="General"/>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font>
        <name val="Avenir Next LT Pro Demi"/>
        <scheme val="none"/>
      </font>
    </dxf>
    <dxf>
      <numFmt numFmtId="167" formatCode="_ [$₹-4009]\ * #,##0_ ;_ [$₹-4009]\ * \-#,##0_ ;_ [$₹-4009]\ * &quot;-&quot;??_ ;_ @_ "/>
    </dxf>
    <dxf>
      <font>
        <strike val="0"/>
        <outline val="0"/>
        <shadow val="0"/>
        <u val="none"/>
        <vertAlign val="baseline"/>
        <sz val="11"/>
        <color theme="1"/>
        <name val="Avenir Next LT Pro Demi"/>
        <family val="2"/>
        <scheme val="none"/>
      </font>
      <numFmt numFmtId="164"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style="thin">
          <color auto="1"/>
        </left>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numFmt numFmtId="164"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numFmt numFmtId="164"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numFmt numFmtId="164"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numFmt numFmtId="164"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numFmt numFmtId="164"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numFmt numFmtId="165" formatCode="dd\-mmm\-yyyy"/>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Avenir Next LT Pro Demi"/>
        <family val="2"/>
        <scheme val="none"/>
      </font>
    </dxf>
    <dxf>
      <border outline="0">
        <bottom style="thin">
          <color auto="1"/>
        </bottom>
      </border>
    </dxf>
    <dxf>
      <font>
        <b/>
        <i val="0"/>
        <strike val="0"/>
        <condense val="0"/>
        <extend val="0"/>
        <outline val="0"/>
        <shadow val="0"/>
        <u val="none"/>
        <vertAlign val="baseline"/>
        <sz val="11"/>
        <color auto="1"/>
        <name val="Avenir Next LT Pro Dem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A4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[Finance_MIS_Project_Practice.xlsx]pvt. for Dash!pvt das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95000"/>
                    <a:lumOff val="5000"/>
                  </a:schemeClr>
                </a:solidFill>
                <a:latin typeface="Avenir Next LT Pro Demi" panose="020B0704020202020204" pitchFamily="34" charset="0"/>
              </a:rPr>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for Dash'!$C$9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'pvt. for Dash'!$B$10:$B$14</c:f>
              <c:strCache>
                <c:ptCount val="4"/>
                <c:pt idx="0">
                  <c:v>Amritsar</c:v>
                </c:pt>
                <c:pt idx="1">
                  <c:v>Chandigarh</c:v>
                </c:pt>
                <c:pt idx="2">
                  <c:v>Jalandhar</c:v>
                </c:pt>
                <c:pt idx="3">
                  <c:v>Ludhiana</c:v>
                </c:pt>
              </c:strCache>
            </c:strRef>
          </c:cat>
          <c:val>
            <c:numRef>
              <c:f>'pvt. for Dash'!$C$10:$C$14</c:f>
              <c:numCache>
                <c:formatCode>_ [$₹-4009]\ * #,##0_ ;_ [$₹-4009]\ * \-#,##0_ ;_ [$₹-4009]\ * "-"??_ ;_ @_ </c:formatCode>
                <c:ptCount val="4"/>
                <c:pt idx="0">
                  <c:v>7181213</c:v>
                </c:pt>
                <c:pt idx="1">
                  <c:v>12416454</c:v>
                </c:pt>
                <c:pt idx="2">
                  <c:v>8123617</c:v>
                </c:pt>
                <c:pt idx="3">
                  <c:v>12543008</c:v>
                </c:pt>
              </c:numCache>
            </c:numRef>
          </c:val>
          <c:extLst>
            <c:ext xmlns:c16="http://schemas.microsoft.com/office/drawing/2014/chart" uri="{C3380CC4-5D6E-409C-BE32-E72D297353CC}">
              <c16:uniqueId val="{00000009-F140-4E9E-B717-AF0255D7DB46}"/>
            </c:ext>
          </c:extLst>
        </c:ser>
        <c:dLbls>
          <c:showLegendKey val="0"/>
          <c:showVal val="0"/>
          <c:showCatName val="0"/>
          <c:showSerName val="0"/>
          <c:showPercent val="0"/>
          <c:showBubbleSize val="0"/>
        </c:dLbls>
        <c:gapWidth val="100"/>
        <c:overlap val="-24"/>
        <c:axId val="829373455"/>
        <c:axId val="829388847"/>
      </c:barChart>
      <c:catAx>
        <c:axId val="829373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829388847"/>
        <c:crosses val="autoZero"/>
        <c:auto val="1"/>
        <c:lblAlgn val="ctr"/>
        <c:lblOffset val="100"/>
        <c:noMultiLvlLbl val="0"/>
      </c:catAx>
      <c:valAx>
        <c:axId val="82938884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Avenir Next LT Pro Demi" panose="020B0704020202020204" pitchFamily="34" charset="0"/>
                <a:ea typeface="+mn-ea"/>
                <a:cs typeface="+mn-cs"/>
              </a:defRPr>
            </a:pPr>
            <a:endParaRPr lang="en-US"/>
          </a:p>
        </c:txPr>
        <c:crossAx val="82937345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[Finance_MIS_Project_Practice.xlsx]pvt. for Dash!pvt dash</c:name>
    <c:fmtId val="2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latin typeface="Avenir Next LT Pro Demi" panose="020B0704020202020204" pitchFamily="34" charset="0"/>
              </a:rPr>
              <a:t>Aging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'pvt. for Dash'!$C$18</c:f>
              <c:strCache>
                <c:ptCount val="1"/>
                <c:pt idx="0">
                  <c:v>Total</c:v>
                </c:pt>
              </c:strCache>
            </c:strRef>
          </c:tx>
          <c:dPt>
            <c:idx val="0"/>
            <c:bubble3D val="0"/>
            <c:spPr>
              <a:gradFill rotWithShape="1">
                <a:gsLst>
                  <a:gs pos="0">
                    <a:schemeClr val="accent3">
                      <a:tint val="58000"/>
                      <a:shade val="51000"/>
                      <a:satMod val="130000"/>
                    </a:schemeClr>
                  </a:gs>
                  <a:gs pos="80000">
                    <a:schemeClr val="accent3">
                      <a:tint val="58000"/>
                      <a:shade val="93000"/>
                      <a:satMod val="130000"/>
                    </a:schemeClr>
                  </a:gs>
                  <a:gs pos="100000">
                    <a:schemeClr val="accent3">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D1D2-4B45-802E-BB13A286E856}"/>
              </c:ext>
            </c:extLst>
          </c:dPt>
          <c:dPt>
            <c:idx val="1"/>
            <c:bubble3D val="0"/>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D1D2-4B45-802E-BB13A286E856}"/>
              </c:ext>
            </c:extLst>
          </c:dPt>
          <c:dPt>
            <c:idx val="2"/>
            <c:bubble3D val="0"/>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D1D2-4B45-802E-BB13A286E856}"/>
              </c:ext>
            </c:extLst>
          </c:dPt>
          <c:dPt>
            <c:idx val="3"/>
            <c:bubble3D val="0"/>
            <c:spPr>
              <a:gradFill rotWithShape="1">
                <a:gsLst>
                  <a:gs pos="0">
                    <a:schemeClr val="accent3">
                      <a:shade val="58000"/>
                      <a:shade val="51000"/>
                      <a:satMod val="130000"/>
                    </a:schemeClr>
                  </a:gs>
                  <a:gs pos="80000">
                    <a:schemeClr val="accent3">
                      <a:shade val="58000"/>
                      <a:shade val="93000"/>
                      <a:satMod val="130000"/>
                    </a:schemeClr>
                  </a:gs>
                  <a:gs pos="100000">
                    <a:schemeClr val="accent3">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D1D2-4B45-802E-BB13A286E856}"/>
              </c:ext>
            </c:extLst>
          </c:dPt>
          <c:cat>
            <c:strRef>
              <c:f>'pvt. for Dash'!$B$19:$B$23</c:f>
              <c:strCache>
                <c:ptCount val="4"/>
                <c:pt idx="0">
                  <c:v>0-30</c:v>
                </c:pt>
                <c:pt idx="1">
                  <c:v>31-60</c:v>
                </c:pt>
                <c:pt idx="2">
                  <c:v>61-90</c:v>
                </c:pt>
                <c:pt idx="3">
                  <c:v>91-120</c:v>
                </c:pt>
              </c:strCache>
            </c:strRef>
          </c:cat>
          <c:val>
            <c:numRef>
              <c:f>'pvt. for Dash'!$C$19:$C$23</c:f>
              <c:numCache>
                <c:formatCode>_ [$₹-4009]\ * #,##0_ ;_ [$₹-4009]\ * \-#,##0_ ;_ [$₹-4009]\ * "-"??_ ;_ @_ </c:formatCode>
                <c:ptCount val="4"/>
                <c:pt idx="0">
                  <c:v>12121601</c:v>
                </c:pt>
                <c:pt idx="1">
                  <c:v>10719428</c:v>
                </c:pt>
                <c:pt idx="2">
                  <c:v>8904133</c:v>
                </c:pt>
                <c:pt idx="3">
                  <c:v>8519130</c:v>
                </c:pt>
              </c:numCache>
            </c:numRef>
          </c:val>
          <c:extLst>
            <c:ext xmlns:c16="http://schemas.microsoft.com/office/drawing/2014/chart" uri="{C3380CC4-5D6E-409C-BE32-E72D297353CC}">
              <c16:uniqueId val="{00000013-D1D2-4B45-802E-BB13A286E8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502244533358432"/>
          <c:y val="0.32201633810926256"/>
          <c:w val="0.15974657977697493"/>
          <c:h val="0.3581445523193095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Avenir Next LT Pro Demi" panose="020B07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[Finance_MIS_Project_Practice.xlsx]pvt. for Dash!pvy dash 4</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bg2">
                    <a:lumMod val="10000"/>
                  </a:schemeClr>
                </a:solidFill>
                <a:latin typeface="Avenir Next LT Pro Demi" panose="020B0704020202020204" pitchFamily="34" charset="0"/>
              </a:rPr>
              <a:t>Product Wise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Avenir Next LT Pro Demi" panose="020B07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for Dash'!$I$15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Avenir Next LT Pro Demi" panose="020B07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for Dash'!$H$16:$H$22</c:f>
              <c:strCache>
                <c:ptCount val="6"/>
                <c:pt idx="0">
                  <c:v>Air Conditioner</c:v>
                </c:pt>
                <c:pt idx="1">
                  <c:v>LED TV</c:v>
                </c:pt>
                <c:pt idx="2">
                  <c:v>Microwave</c:v>
                </c:pt>
                <c:pt idx="3">
                  <c:v>Mobile</c:v>
                </c:pt>
                <c:pt idx="4">
                  <c:v>Refrigerator</c:v>
                </c:pt>
                <c:pt idx="5">
                  <c:v>Washing Machine</c:v>
                </c:pt>
              </c:strCache>
            </c:strRef>
          </c:cat>
          <c:val>
            <c:numRef>
              <c:f>'pvt. for Dash'!$I$16:$I$22</c:f>
              <c:numCache>
                <c:formatCode>_ [$₹-4009]\ * #,##0_ ;_ [$₹-4009]\ * \-#,##0_ ;_ [$₹-4009]\ * "-"??_ ;_ @_ </c:formatCode>
                <c:ptCount val="6"/>
                <c:pt idx="0">
                  <c:v>7626548</c:v>
                </c:pt>
                <c:pt idx="1">
                  <c:v>6398232</c:v>
                </c:pt>
                <c:pt idx="2">
                  <c:v>6090031</c:v>
                </c:pt>
                <c:pt idx="3">
                  <c:v>6693007</c:v>
                </c:pt>
                <c:pt idx="4">
                  <c:v>6863761</c:v>
                </c:pt>
                <c:pt idx="5">
                  <c:v>6592713</c:v>
                </c:pt>
              </c:numCache>
            </c:numRef>
          </c:val>
          <c:extLst>
            <c:ext xmlns:c16="http://schemas.microsoft.com/office/drawing/2014/chart" uri="{C3380CC4-5D6E-409C-BE32-E72D297353CC}">
              <c16:uniqueId val="{00000000-A0FA-4C20-9BEC-092DE9BA78FB}"/>
            </c:ext>
          </c:extLst>
        </c:ser>
        <c:dLbls>
          <c:dLblPos val="outEnd"/>
          <c:showLegendKey val="0"/>
          <c:showVal val="1"/>
          <c:showCatName val="0"/>
          <c:showSerName val="0"/>
          <c:showPercent val="0"/>
          <c:showBubbleSize val="0"/>
        </c:dLbls>
        <c:gapWidth val="115"/>
        <c:overlap val="-20"/>
        <c:axId val="673257584"/>
        <c:axId val="673258416"/>
      </c:barChart>
      <c:catAx>
        <c:axId val="673257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2">
                    <a:lumMod val="10000"/>
                  </a:schemeClr>
                </a:solidFill>
                <a:latin typeface="Avenir Next LT Pro Demi" panose="020B0704020202020204" pitchFamily="34" charset="0"/>
                <a:ea typeface="+mn-ea"/>
                <a:cs typeface="+mn-cs"/>
              </a:defRPr>
            </a:pPr>
            <a:endParaRPr lang="en-US"/>
          </a:p>
        </c:txPr>
        <c:crossAx val="673258416"/>
        <c:crosses val="autoZero"/>
        <c:auto val="1"/>
        <c:lblAlgn val="ctr"/>
        <c:lblOffset val="100"/>
        <c:noMultiLvlLbl val="0"/>
      </c:catAx>
      <c:valAx>
        <c:axId val="673258416"/>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crossAx val="67325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[Finance_MIS_Project_Practice.xlsx]pvt. for Dash!pvt 5</c:name>
    <c:fmtId val="31"/>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1800">
                <a:solidFill>
                  <a:schemeClr val="bg2">
                    <a:lumMod val="10000"/>
                  </a:schemeClr>
                </a:solidFill>
                <a:latin typeface="Avenir Next LT Pro Demi" panose="020B0704020202020204" pitchFamily="34" charset="0"/>
              </a:rPr>
              <a:t>Sales</a:t>
            </a:r>
            <a:r>
              <a:rPr lang="en-US" sz="1800" baseline="0">
                <a:solidFill>
                  <a:schemeClr val="bg2">
                    <a:lumMod val="10000"/>
                  </a:schemeClr>
                </a:solidFill>
                <a:latin typeface="Avenir Next LT Pro Demi" panose="020B0704020202020204" pitchFamily="34" charset="0"/>
              </a:rPr>
              <a:t> Trend</a:t>
            </a:r>
            <a:endParaRPr lang="en-US" sz="1800">
              <a:solidFill>
                <a:schemeClr val="bg2">
                  <a:lumMod val="10000"/>
                </a:schemeClr>
              </a:solidFill>
              <a:latin typeface="Avenir Next LT Pro Demi" panose="020B070402020202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'pvt. for Dash'!$D$30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'pvt. for Dash'!$C$31:$C$33</c:f>
              <c:strCache>
                <c:ptCount val="2"/>
                <c:pt idx="0">
                  <c:v>Jul</c:v>
                </c:pt>
                <c:pt idx="1">
                  <c:v>Aug</c:v>
                </c:pt>
              </c:strCache>
            </c:strRef>
          </c:cat>
          <c:val>
            <c:numRef>
              <c:f>'pvt. for Dash'!$D$31:$D$33</c:f>
              <c:numCache>
                <c:formatCode>_ [$₹-4009]\ * #,##0_ ;_ [$₹-4009]\ * \-#,##0_ ;_ [$₹-4009]\ * "-"??_ ;_ @_ </c:formatCode>
                <c:ptCount val="2"/>
                <c:pt idx="0">
                  <c:v>18500162</c:v>
                </c:pt>
                <c:pt idx="1">
                  <c:v>21764130</c:v>
                </c:pt>
              </c:numCache>
            </c:numRef>
          </c:val>
          <c:extLst>
            <c:ext xmlns:c16="http://schemas.microsoft.com/office/drawing/2014/chart" uri="{C3380CC4-5D6E-409C-BE32-E72D297353CC}">
              <c16:uniqueId val="{00000000-CE65-41A4-AB2B-195237D70BE1}"/>
            </c:ext>
          </c:extLst>
        </c:ser>
        <c:dLbls>
          <c:showLegendKey val="0"/>
          <c:showVal val="0"/>
          <c:showCatName val="0"/>
          <c:showSerName val="0"/>
          <c:showPercent val="0"/>
          <c:showBubbleSize val="0"/>
        </c:dLbls>
        <c:axId val="946664336"/>
        <c:axId val="946661840"/>
        <c:axId val="768928688"/>
      </c:area3DChart>
      <c:catAx>
        <c:axId val="9466643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2">
                    <a:lumMod val="10000"/>
                  </a:schemeClr>
                </a:solidFill>
                <a:latin typeface="Avenir Next LT Pro Demi" panose="020B0704020202020204" pitchFamily="34" charset="0"/>
                <a:ea typeface="+mn-ea"/>
                <a:cs typeface="+mn-cs"/>
              </a:defRPr>
            </a:pPr>
            <a:endParaRPr lang="en-US"/>
          </a:p>
        </c:txPr>
        <c:crossAx val="946661840"/>
        <c:crosses val="autoZero"/>
        <c:auto val="1"/>
        <c:lblAlgn val="ctr"/>
        <c:lblOffset val="100"/>
        <c:noMultiLvlLbl val="0"/>
      </c:catAx>
      <c:valAx>
        <c:axId val="9466618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2">
                    <a:lumMod val="10000"/>
                  </a:schemeClr>
                </a:solidFill>
                <a:latin typeface="Avenir Next LT Pro Demi" panose="020B0704020202020204" pitchFamily="34" charset="0"/>
                <a:ea typeface="+mn-ea"/>
                <a:cs typeface="+mn-cs"/>
              </a:defRPr>
            </a:pPr>
            <a:endParaRPr lang="en-US"/>
          </a:p>
        </c:txPr>
        <c:crossAx val="946664336"/>
        <c:crosses val="autoZero"/>
        <c:crossBetween val="midCat"/>
      </c:valAx>
      <c:serAx>
        <c:axId val="768928688"/>
        <c:scaling>
          <c:orientation val="minMax"/>
        </c:scaling>
        <c:delete val="1"/>
        <c:axPos val="b"/>
        <c:majorTickMark val="out"/>
        <c:minorTickMark val="none"/>
        <c:tickLblPos val="nextTo"/>
        <c:crossAx val="946661840"/>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20</xdr:col>
      <xdr:colOff>575316</xdr:colOff>
      <xdr:row>17</xdr:row>
      <xdr:rowOff>30925</xdr:rowOff>
    </xdr:from>
    <xdr:to>
      <xdr:col>28</xdr:col>
      <xdr:colOff>540327</xdr:colOff>
      <xdr:row>35</xdr:row>
      <xdr:rowOff>52389</xdr:rowOff>
    </xdr:to>
    <xdr:sp macro="" textlink="">
      <xdr:nvSpPr>
        <xdr:cNvPr id="45" name="Rectangle: Rounded Corners 44">
          <a:extLst>
            <a:ext uri="{FF2B5EF4-FFF2-40B4-BE49-F238E27FC236}">
              <a16:creationId xmlns:a16="http://schemas.microsoft.com/office/drawing/2014/main" id="{2352A14E-D47A-4636-BF1A-A0C8B32F6314}"/>
            </a:ext>
          </a:extLst>
        </xdr:cNvPr>
        <xdr:cNvSpPr/>
      </xdr:nvSpPr>
      <xdr:spPr>
        <a:xfrm>
          <a:off x="12767316" y="3092780"/>
          <a:ext cx="5340575" cy="326342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clientData/>
  </xdr:twoCellAnchor>
  <xdr:twoCellAnchor>
    <xdr:from>
      <xdr:col>5</xdr:col>
      <xdr:colOff>540484</xdr:colOff>
      <xdr:row>0</xdr:row>
      <xdr:rowOff>99934</xdr:rowOff>
    </xdr:from>
    <xdr:to>
      <xdr:col>27</xdr:col>
      <xdr:colOff>32197</xdr:colOff>
      <xdr:row>3</xdr:row>
      <xdr:rowOff>87443</xdr:rowOff>
    </xdr:to>
    <xdr:sp macro="" textlink="">
      <xdr:nvSpPr>
        <xdr:cNvPr id="2" name="Rectangle: Rounded Corners 1">
          <a:extLst>
            <a:ext uri="{FF2B5EF4-FFF2-40B4-BE49-F238E27FC236}">
              <a16:creationId xmlns:a16="http://schemas.microsoft.com/office/drawing/2014/main" id="{D55466E7-7873-4BB8-BF0A-495D5EB10033}"/>
            </a:ext>
          </a:extLst>
        </xdr:cNvPr>
        <xdr:cNvSpPr/>
      </xdr:nvSpPr>
      <xdr:spPr>
        <a:xfrm>
          <a:off x="3599216" y="99934"/>
          <a:ext cx="12950136" cy="534861"/>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3600">
              <a:latin typeface="Avenir Next LT Pro Demi" panose="020B0704020202020204" pitchFamily="34" charset="0"/>
            </a:rPr>
            <a:t>Finance MIS &amp; Receivables Analysis Dashboard</a:t>
          </a:r>
          <a:endParaRPr lang="en-IN" sz="3600" b="1">
            <a:latin typeface="Avenir Next LT Pro Demi" panose="020B0704020202020204" pitchFamily="34" charset="0"/>
          </a:endParaRPr>
        </a:p>
      </xdr:txBody>
    </xdr:sp>
    <xdr:clientData/>
  </xdr:twoCellAnchor>
  <xdr:twoCellAnchor>
    <xdr:from>
      <xdr:col>3</xdr:col>
      <xdr:colOff>433302</xdr:colOff>
      <xdr:row>11</xdr:row>
      <xdr:rowOff>177010</xdr:rowOff>
    </xdr:from>
    <xdr:to>
      <xdr:col>7</xdr:col>
      <xdr:colOff>398537</xdr:colOff>
      <xdr:row>16</xdr:row>
      <xdr:rowOff>1522</xdr:rowOff>
    </xdr:to>
    <xdr:grpSp>
      <xdr:nvGrpSpPr>
        <xdr:cNvPr id="7" name="Group 6">
          <a:extLst>
            <a:ext uri="{FF2B5EF4-FFF2-40B4-BE49-F238E27FC236}">
              <a16:creationId xmlns:a16="http://schemas.microsoft.com/office/drawing/2014/main" id="{0E93EAF7-90A6-4CB3-BC72-B13EF40A7D80}"/>
            </a:ext>
          </a:extLst>
        </xdr:cNvPr>
        <xdr:cNvGrpSpPr/>
      </xdr:nvGrpSpPr>
      <xdr:grpSpPr>
        <a:xfrm>
          <a:off x="2270266" y="2122831"/>
          <a:ext cx="2414521" cy="708977"/>
          <a:chOff x="267582" y="890281"/>
          <a:chExt cx="2133604" cy="748899"/>
        </a:xfrm>
      </xdr:grpSpPr>
      <xdr:sp macro="" textlink="">
        <xdr:nvSpPr>
          <xdr:cNvPr id="3" name="Rectangle: Rounded Corners 2">
            <a:extLst>
              <a:ext uri="{FF2B5EF4-FFF2-40B4-BE49-F238E27FC236}">
                <a16:creationId xmlns:a16="http://schemas.microsoft.com/office/drawing/2014/main" id="{A5BD97B5-D327-42EA-B0B6-35D20BAF85A5}"/>
              </a:ext>
            </a:extLst>
          </xdr:cNvPr>
          <xdr:cNvSpPr/>
        </xdr:nvSpPr>
        <xdr:spPr>
          <a:xfrm>
            <a:off x="267582" y="890281"/>
            <a:ext cx="2133604" cy="7488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sp macro="" textlink="">
        <xdr:nvSpPr>
          <xdr:cNvPr id="5" name="Rectangle 4">
            <a:extLst>
              <a:ext uri="{FF2B5EF4-FFF2-40B4-BE49-F238E27FC236}">
                <a16:creationId xmlns:a16="http://schemas.microsoft.com/office/drawing/2014/main" id="{04D7A958-0AF5-4550-BAB0-A82FDB1861D3}"/>
              </a:ext>
            </a:extLst>
          </xdr:cNvPr>
          <xdr:cNvSpPr/>
        </xdr:nvSpPr>
        <xdr:spPr>
          <a:xfrm>
            <a:off x="558210" y="894907"/>
            <a:ext cx="1524000" cy="3189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800" b="1">
                <a:latin typeface="Avenir Next LT Pro Demi" panose="020B0704020202020204" pitchFamily="34" charset="0"/>
              </a:rPr>
              <a:t>Total Sales</a:t>
            </a:r>
          </a:p>
        </xdr:txBody>
      </xdr:sp>
      <xdr:sp macro="" textlink="'pvt. for Dash'!B3">
        <xdr:nvSpPr>
          <xdr:cNvPr id="6" name="Rectangle 5">
            <a:extLst>
              <a:ext uri="{FF2B5EF4-FFF2-40B4-BE49-F238E27FC236}">
                <a16:creationId xmlns:a16="http://schemas.microsoft.com/office/drawing/2014/main" id="{959848D0-036D-4F39-82E0-33DCB57478B3}"/>
              </a:ext>
            </a:extLst>
          </xdr:cNvPr>
          <xdr:cNvSpPr/>
        </xdr:nvSpPr>
        <xdr:spPr>
          <a:xfrm>
            <a:off x="462520" y="1206798"/>
            <a:ext cx="1726017" cy="379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1D13E860-383D-4522-A560-A82E6AD395B4}" type="TxLink">
              <a:rPr lang="en-US" sz="1800" b="0" i="0" u="none" strike="noStrike">
                <a:solidFill>
                  <a:srgbClr val="000000"/>
                </a:solidFill>
                <a:latin typeface="Avenir Next LT Pro Demi"/>
              </a:rPr>
              <a:pPr algn="ctr"/>
              <a:t>₹ 4,02,64,292</a:t>
            </a:fld>
            <a:endParaRPr lang="en-IN" sz="3200" b="0"/>
          </a:p>
        </xdr:txBody>
      </xdr:sp>
    </xdr:grpSp>
    <xdr:clientData/>
  </xdr:twoCellAnchor>
  <xdr:twoCellAnchor>
    <xdr:from>
      <xdr:col>7</xdr:col>
      <xdr:colOff>574488</xdr:colOff>
      <xdr:row>12</xdr:row>
      <xdr:rowOff>7534</xdr:rowOff>
    </xdr:from>
    <xdr:to>
      <xdr:col>11</xdr:col>
      <xdr:colOff>539722</xdr:colOff>
      <xdr:row>16</xdr:row>
      <xdr:rowOff>12155</xdr:rowOff>
    </xdr:to>
    <xdr:grpSp>
      <xdr:nvGrpSpPr>
        <xdr:cNvPr id="8" name="Group 7">
          <a:extLst>
            <a:ext uri="{FF2B5EF4-FFF2-40B4-BE49-F238E27FC236}">
              <a16:creationId xmlns:a16="http://schemas.microsoft.com/office/drawing/2014/main" id="{B67609E2-A409-428C-9814-F604731C4CE6}"/>
            </a:ext>
          </a:extLst>
        </xdr:cNvPr>
        <xdr:cNvGrpSpPr/>
      </xdr:nvGrpSpPr>
      <xdr:grpSpPr>
        <a:xfrm>
          <a:off x="4860738" y="2130248"/>
          <a:ext cx="2414520" cy="712193"/>
          <a:chOff x="267582" y="890281"/>
          <a:chExt cx="2133604" cy="748899"/>
        </a:xfrm>
      </xdr:grpSpPr>
      <xdr:sp macro="" textlink="">
        <xdr:nvSpPr>
          <xdr:cNvPr id="9" name="Rectangle: Rounded Corners 8">
            <a:extLst>
              <a:ext uri="{FF2B5EF4-FFF2-40B4-BE49-F238E27FC236}">
                <a16:creationId xmlns:a16="http://schemas.microsoft.com/office/drawing/2014/main" id="{9E643151-9288-46D9-ADA3-F7721BC2E16C}"/>
              </a:ext>
            </a:extLst>
          </xdr:cNvPr>
          <xdr:cNvSpPr/>
        </xdr:nvSpPr>
        <xdr:spPr>
          <a:xfrm>
            <a:off x="267582" y="890281"/>
            <a:ext cx="2133604" cy="7488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sp macro="" textlink="">
        <xdr:nvSpPr>
          <xdr:cNvPr id="10" name="Rectangle 9">
            <a:extLst>
              <a:ext uri="{FF2B5EF4-FFF2-40B4-BE49-F238E27FC236}">
                <a16:creationId xmlns:a16="http://schemas.microsoft.com/office/drawing/2014/main" id="{33F119B7-0AB2-406F-B193-C3A76111256B}"/>
              </a:ext>
            </a:extLst>
          </xdr:cNvPr>
          <xdr:cNvSpPr/>
        </xdr:nvSpPr>
        <xdr:spPr>
          <a:xfrm>
            <a:off x="558210" y="894907"/>
            <a:ext cx="1524000" cy="3189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800" b="1">
                <a:latin typeface="Avenir Next LT Pro Demi" panose="020B0704020202020204" pitchFamily="34" charset="0"/>
              </a:rPr>
              <a:t>Target</a:t>
            </a:r>
            <a:r>
              <a:rPr lang="en-IN" sz="1800" b="1" baseline="0">
                <a:latin typeface="Avenir Next LT Pro Demi" panose="020B0704020202020204" pitchFamily="34" charset="0"/>
              </a:rPr>
              <a:t> Sales</a:t>
            </a:r>
            <a:endParaRPr lang="en-IN" sz="1800" b="1">
              <a:latin typeface="Avenir Next LT Pro Demi" panose="020B0704020202020204" pitchFamily="34" charset="0"/>
            </a:endParaRPr>
          </a:p>
        </xdr:txBody>
      </xdr:sp>
      <xdr:sp macro="" textlink="'pvt. for Dash'!C3">
        <xdr:nvSpPr>
          <xdr:cNvPr id="11" name="Rectangle 10">
            <a:extLst>
              <a:ext uri="{FF2B5EF4-FFF2-40B4-BE49-F238E27FC236}">
                <a16:creationId xmlns:a16="http://schemas.microsoft.com/office/drawing/2014/main" id="{98FAB0B7-B98F-4B5F-8C46-A1CABA73746C}"/>
              </a:ext>
            </a:extLst>
          </xdr:cNvPr>
          <xdr:cNvSpPr/>
        </xdr:nvSpPr>
        <xdr:spPr>
          <a:xfrm>
            <a:off x="462520" y="1206798"/>
            <a:ext cx="1726017" cy="379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72A0E8C8-6CB8-4845-ADAC-07741E9A9478}" type="TxLink">
              <a:rPr lang="en-US" sz="1800" b="0" i="0" u="none" strike="noStrike">
                <a:solidFill>
                  <a:srgbClr val="000000"/>
                </a:solidFill>
                <a:latin typeface="Avenir Next LT Pro Demi"/>
              </a:rPr>
              <a:pPr algn="ctr"/>
              <a:t>₹ 4,12,18,200</a:t>
            </a:fld>
            <a:endParaRPr lang="en-IN" sz="1800" b="1"/>
          </a:p>
        </xdr:txBody>
      </xdr:sp>
    </xdr:grpSp>
    <xdr:clientData/>
  </xdr:twoCellAnchor>
  <xdr:twoCellAnchor>
    <xdr:from>
      <xdr:col>16</xdr:col>
      <xdr:colOff>259902</xdr:colOff>
      <xdr:row>12</xdr:row>
      <xdr:rowOff>4189</xdr:rowOff>
    </xdr:from>
    <xdr:to>
      <xdr:col>20</xdr:col>
      <xdr:colOff>225137</xdr:colOff>
      <xdr:row>16</xdr:row>
      <xdr:rowOff>8810</xdr:rowOff>
    </xdr:to>
    <xdr:grpSp>
      <xdr:nvGrpSpPr>
        <xdr:cNvPr id="12" name="Group 11">
          <a:extLst>
            <a:ext uri="{FF2B5EF4-FFF2-40B4-BE49-F238E27FC236}">
              <a16:creationId xmlns:a16="http://schemas.microsoft.com/office/drawing/2014/main" id="{63104675-4278-4D02-816E-5DE62237D1A5}"/>
            </a:ext>
          </a:extLst>
        </xdr:cNvPr>
        <xdr:cNvGrpSpPr/>
      </xdr:nvGrpSpPr>
      <xdr:grpSpPr>
        <a:xfrm>
          <a:off x="10057045" y="2126903"/>
          <a:ext cx="2414521" cy="712193"/>
          <a:chOff x="267582" y="890281"/>
          <a:chExt cx="2133604" cy="748899"/>
        </a:xfrm>
      </xdr:grpSpPr>
      <xdr:sp macro="" textlink="">
        <xdr:nvSpPr>
          <xdr:cNvPr id="13" name="Rectangle: Rounded Corners 12">
            <a:extLst>
              <a:ext uri="{FF2B5EF4-FFF2-40B4-BE49-F238E27FC236}">
                <a16:creationId xmlns:a16="http://schemas.microsoft.com/office/drawing/2014/main" id="{AC149348-C2B9-4B7B-9113-A0BAC14035E3}"/>
              </a:ext>
            </a:extLst>
          </xdr:cNvPr>
          <xdr:cNvSpPr/>
        </xdr:nvSpPr>
        <xdr:spPr>
          <a:xfrm>
            <a:off x="267582" y="890281"/>
            <a:ext cx="2133604" cy="7488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sp macro="" textlink="">
        <xdr:nvSpPr>
          <xdr:cNvPr id="14" name="Rectangle 13">
            <a:extLst>
              <a:ext uri="{FF2B5EF4-FFF2-40B4-BE49-F238E27FC236}">
                <a16:creationId xmlns:a16="http://schemas.microsoft.com/office/drawing/2014/main" id="{704B2817-46B5-47A1-8712-D9EEC9772CE8}"/>
              </a:ext>
            </a:extLst>
          </xdr:cNvPr>
          <xdr:cNvSpPr/>
        </xdr:nvSpPr>
        <xdr:spPr>
          <a:xfrm>
            <a:off x="558210" y="894907"/>
            <a:ext cx="1524000" cy="3189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800" b="1">
                <a:latin typeface="Avenir Next LT Pro Demi" panose="020B0704020202020204" pitchFamily="34" charset="0"/>
              </a:rPr>
              <a:t>Collection</a:t>
            </a:r>
          </a:p>
        </xdr:txBody>
      </xdr:sp>
      <xdr:sp macro="" textlink="'pvt. for Dash'!D3">
        <xdr:nvSpPr>
          <xdr:cNvPr id="15" name="Rectangle 14">
            <a:extLst>
              <a:ext uri="{FF2B5EF4-FFF2-40B4-BE49-F238E27FC236}">
                <a16:creationId xmlns:a16="http://schemas.microsoft.com/office/drawing/2014/main" id="{D432177D-E83D-43BB-A1CD-E060FA1E30DD}"/>
              </a:ext>
            </a:extLst>
          </xdr:cNvPr>
          <xdr:cNvSpPr/>
        </xdr:nvSpPr>
        <xdr:spPr>
          <a:xfrm>
            <a:off x="462520" y="1206798"/>
            <a:ext cx="1726017" cy="379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8ECBCE89-A9B3-4B48-A6D9-C30ACD0AA10A}" type="TxLink">
              <a:rPr lang="en-US" sz="1800" b="0" i="0" u="none" strike="noStrike">
                <a:solidFill>
                  <a:srgbClr val="000000"/>
                </a:solidFill>
                <a:latin typeface="Avenir Next LT Pro Demi"/>
              </a:rPr>
              <a:pPr algn="ctr"/>
              <a:t>₹ 2,80,71,400</a:t>
            </a:fld>
            <a:endParaRPr lang="en-IN" sz="4800" b="1"/>
          </a:p>
        </xdr:txBody>
      </xdr:sp>
    </xdr:grpSp>
    <xdr:clientData/>
  </xdr:twoCellAnchor>
  <xdr:twoCellAnchor>
    <xdr:from>
      <xdr:col>20</xdr:col>
      <xdr:colOff>418191</xdr:colOff>
      <xdr:row>12</xdr:row>
      <xdr:rowOff>2068</xdr:rowOff>
    </xdr:from>
    <xdr:to>
      <xdr:col>24</xdr:col>
      <xdr:colOff>379490</xdr:colOff>
      <xdr:row>16</xdr:row>
      <xdr:rowOff>6689</xdr:rowOff>
    </xdr:to>
    <xdr:grpSp>
      <xdr:nvGrpSpPr>
        <xdr:cNvPr id="16" name="Group 15">
          <a:extLst>
            <a:ext uri="{FF2B5EF4-FFF2-40B4-BE49-F238E27FC236}">
              <a16:creationId xmlns:a16="http://schemas.microsoft.com/office/drawing/2014/main" id="{3B9D30C8-84C6-4557-82D2-B181BDB94DAD}"/>
            </a:ext>
          </a:extLst>
        </xdr:cNvPr>
        <xdr:cNvGrpSpPr/>
      </xdr:nvGrpSpPr>
      <xdr:grpSpPr>
        <a:xfrm>
          <a:off x="12664620" y="2124782"/>
          <a:ext cx="2410584" cy="712193"/>
          <a:chOff x="267582" y="890281"/>
          <a:chExt cx="2133604" cy="748899"/>
        </a:xfrm>
      </xdr:grpSpPr>
      <xdr:sp macro="" textlink="">
        <xdr:nvSpPr>
          <xdr:cNvPr id="17" name="Rectangle: Rounded Corners 16">
            <a:extLst>
              <a:ext uri="{FF2B5EF4-FFF2-40B4-BE49-F238E27FC236}">
                <a16:creationId xmlns:a16="http://schemas.microsoft.com/office/drawing/2014/main" id="{BB3727E2-8918-400D-8977-E5101672C28A}"/>
              </a:ext>
            </a:extLst>
          </xdr:cNvPr>
          <xdr:cNvSpPr/>
        </xdr:nvSpPr>
        <xdr:spPr>
          <a:xfrm>
            <a:off x="267582" y="890281"/>
            <a:ext cx="2133604" cy="7488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sp macro="" textlink="">
        <xdr:nvSpPr>
          <xdr:cNvPr id="18" name="Rectangle 17">
            <a:extLst>
              <a:ext uri="{FF2B5EF4-FFF2-40B4-BE49-F238E27FC236}">
                <a16:creationId xmlns:a16="http://schemas.microsoft.com/office/drawing/2014/main" id="{2F85493C-5731-4FBE-8429-E5D8E11845D9}"/>
              </a:ext>
            </a:extLst>
          </xdr:cNvPr>
          <xdr:cNvSpPr/>
        </xdr:nvSpPr>
        <xdr:spPr>
          <a:xfrm>
            <a:off x="558210" y="894907"/>
            <a:ext cx="1524000" cy="3189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800" b="1">
                <a:latin typeface="Avenir Next LT Pro Demi" panose="020B0704020202020204" pitchFamily="34" charset="0"/>
              </a:rPr>
              <a:t>Outstandi</a:t>
            </a:r>
            <a:r>
              <a:rPr lang="en-IN" sz="1800" b="1" baseline="0">
                <a:latin typeface="Avenir Next LT Pro Demi" panose="020B0704020202020204" pitchFamily="34" charset="0"/>
              </a:rPr>
              <a:t>ng</a:t>
            </a:r>
            <a:endParaRPr lang="en-IN" sz="1800" b="1">
              <a:latin typeface="Avenir Next LT Pro Demi" panose="020B0704020202020204" pitchFamily="34" charset="0"/>
            </a:endParaRPr>
          </a:p>
        </xdr:txBody>
      </xdr:sp>
      <xdr:sp macro="" textlink="'pvt. for Dash'!E3">
        <xdr:nvSpPr>
          <xdr:cNvPr id="19" name="Rectangle 18">
            <a:extLst>
              <a:ext uri="{FF2B5EF4-FFF2-40B4-BE49-F238E27FC236}">
                <a16:creationId xmlns:a16="http://schemas.microsoft.com/office/drawing/2014/main" id="{A6AAB1A0-796A-40D5-8B6F-A3CFC4824FCE}"/>
              </a:ext>
            </a:extLst>
          </xdr:cNvPr>
          <xdr:cNvSpPr/>
        </xdr:nvSpPr>
        <xdr:spPr>
          <a:xfrm>
            <a:off x="462520" y="1206798"/>
            <a:ext cx="1726017" cy="379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518A0BF3-041F-4250-BF20-6DB578988025}" type="TxLink">
              <a:rPr lang="en-US" sz="1800" b="0" i="0" u="none" strike="noStrike">
                <a:solidFill>
                  <a:srgbClr val="000000"/>
                </a:solidFill>
                <a:latin typeface="Avenir Next LT Pro Demi"/>
              </a:rPr>
              <a:pPr algn="ctr"/>
              <a:t>₹ 1,21,92,892</a:t>
            </a:fld>
            <a:endParaRPr lang="en-IN" sz="4800" b="1"/>
          </a:p>
        </xdr:txBody>
      </xdr:sp>
    </xdr:grpSp>
    <xdr:clientData/>
  </xdr:twoCellAnchor>
  <xdr:twoCellAnchor>
    <xdr:from>
      <xdr:col>12</xdr:col>
      <xdr:colOff>112796</xdr:colOff>
      <xdr:row>12</xdr:row>
      <xdr:rowOff>5862</xdr:rowOff>
    </xdr:from>
    <xdr:to>
      <xdr:col>16</xdr:col>
      <xdr:colOff>78031</xdr:colOff>
      <xdr:row>16</xdr:row>
      <xdr:rowOff>10483</xdr:rowOff>
    </xdr:to>
    <xdr:grpSp>
      <xdr:nvGrpSpPr>
        <xdr:cNvPr id="20" name="Group 19">
          <a:extLst>
            <a:ext uri="{FF2B5EF4-FFF2-40B4-BE49-F238E27FC236}">
              <a16:creationId xmlns:a16="http://schemas.microsoft.com/office/drawing/2014/main" id="{7D959021-D986-488D-A8FB-0A2522517424}"/>
            </a:ext>
          </a:extLst>
        </xdr:cNvPr>
        <xdr:cNvGrpSpPr/>
      </xdr:nvGrpSpPr>
      <xdr:grpSpPr>
        <a:xfrm>
          <a:off x="7460653" y="2128576"/>
          <a:ext cx="2414521" cy="712193"/>
          <a:chOff x="267582" y="890281"/>
          <a:chExt cx="2133604" cy="748899"/>
        </a:xfrm>
      </xdr:grpSpPr>
      <xdr:sp macro="" textlink="">
        <xdr:nvSpPr>
          <xdr:cNvPr id="21" name="Rectangle: Rounded Corners 20">
            <a:extLst>
              <a:ext uri="{FF2B5EF4-FFF2-40B4-BE49-F238E27FC236}">
                <a16:creationId xmlns:a16="http://schemas.microsoft.com/office/drawing/2014/main" id="{0B87141D-11AD-43E7-9B8F-FABE90A7FDAA}"/>
              </a:ext>
            </a:extLst>
          </xdr:cNvPr>
          <xdr:cNvSpPr/>
        </xdr:nvSpPr>
        <xdr:spPr>
          <a:xfrm>
            <a:off x="267582" y="890281"/>
            <a:ext cx="2133604" cy="7488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sp macro="" textlink="">
        <xdr:nvSpPr>
          <xdr:cNvPr id="22" name="Rectangle 21">
            <a:extLst>
              <a:ext uri="{FF2B5EF4-FFF2-40B4-BE49-F238E27FC236}">
                <a16:creationId xmlns:a16="http://schemas.microsoft.com/office/drawing/2014/main" id="{898D1228-4012-4651-A86A-309F43498E6A}"/>
              </a:ext>
            </a:extLst>
          </xdr:cNvPr>
          <xdr:cNvSpPr/>
        </xdr:nvSpPr>
        <xdr:spPr>
          <a:xfrm>
            <a:off x="558210" y="894907"/>
            <a:ext cx="1524000" cy="3189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800" b="1">
                <a:latin typeface="Avenir Next LT Pro Demi" panose="020B0704020202020204" pitchFamily="34" charset="0"/>
              </a:rPr>
              <a:t>Achivement</a:t>
            </a:r>
            <a:r>
              <a:rPr lang="en-IN" sz="1800" b="1" baseline="0">
                <a:latin typeface="Avenir Next LT Pro Demi" panose="020B0704020202020204" pitchFamily="34" charset="0"/>
              </a:rPr>
              <a:t> %</a:t>
            </a:r>
            <a:endParaRPr lang="en-IN" sz="1800" b="1">
              <a:latin typeface="Avenir Next LT Pro Demi" panose="020B0704020202020204" pitchFamily="34" charset="0"/>
            </a:endParaRPr>
          </a:p>
        </xdr:txBody>
      </xdr:sp>
      <xdr:sp macro="" textlink="'pvt. for Dash'!F3">
        <xdr:nvSpPr>
          <xdr:cNvPr id="23" name="Rectangle 22">
            <a:extLst>
              <a:ext uri="{FF2B5EF4-FFF2-40B4-BE49-F238E27FC236}">
                <a16:creationId xmlns:a16="http://schemas.microsoft.com/office/drawing/2014/main" id="{839444BB-E62F-4B46-A803-4B70BAF665B7}"/>
              </a:ext>
            </a:extLst>
          </xdr:cNvPr>
          <xdr:cNvSpPr/>
        </xdr:nvSpPr>
        <xdr:spPr>
          <a:xfrm>
            <a:off x="462520" y="1206798"/>
            <a:ext cx="1726017" cy="379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EE91B083-7A2A-40C7-90D4-60754832C620}" type="TxLink">
              <a:rPr lang="en-US" sz="1800" b="0" i="0" u="none" strike="noStrike">
                <a:solidFill>
                  <a:srgbClr val="000000"/>
                </a:solidFill>
                <a:latin typeface="Avenir Next LT Pro Demi"/>
              </a:rPr>
              <a:pPr algn="ctr"/>
              <a:t>69.72</a:t>
            </a:fld>
            <a:endParaRPr lang="en-IN" sz="1800" b="1"/>
          </a:p>
        </xdr:txBody>
      </xdr:sp>
    </xdr:grpSp>
    <xdr:clientData/>
  </xdr:twoCellAnchor>
  <xdr:twoCellAnchor>
    <xdr:from>
      <xdr:col>24</xdr:col>
      <xdr:colOff>484808</xdr:colOff>
      <xdr:row>12</xdr:row>
      <xdr:rowOff>5080</xdr:rowOff>
    </xdr:from>
    <xdr:to>
      <xdr:col>28</xdr:col>
      <xdr:colOff>601016</xdr:colOff>
      <xdr:row>16</xdr:row>
      <xdr:rowOff>17321</xdr:rowOff>
    </xdr:to>
    <xdr:grpSp>
      <xdr:nvGrpSpPr>
        <xdr:cNvPr id="24" name="Group 23">
          <a:extLst>
            <a:ext uri="{FF2B5EF4-FFF2-40B4-BE49-F238E27FC236}">
              <a16:creationId xmlns:a16="http://schemas.microsoft.com/office/drawing/2014/main" id="{80EF0170-812B-4EFD-A335-9A5958F188A6}"/>
            </a:ext>
          </a:extLst>
        </xdr:cNvPr>
        <xdr:cNvGrpSpPr/>
      </xdr:nvGrpSpPr>
      <xdr:grpSpPr>
        <a:xfrm>
          <a:off x="15180522" y="2127794"/>
          <a:ext cx="3068958" cy="719813"/>
          <a:chOff x="196894" y="890281"/>
          <a:chExt cx="2270841" cy="748899"/>
        </a:xfrm>
      </xdr:grpSpPr>
      <xdr:sp macro="" textlink="">
        <xdr:nvSpPr>
          <xdr:cNvPr id="25" name="Rectangle: Rounded Corners 24">
            <a:extLst>
              <a:ext uri="{FF2B5EF4-FFF2-40B4-BE49-F238E27FC236}">
                <a16:creationId xmlns:a16="http://schemas.microsoft.com/office/drawing/2014/main" id="{54A8A009-B6DD-4266-9242-70F5F8F1BFDA}"/>
              </a:ext>
            </a:extLst>
          </xdr:cNvPr>
          <xdr:cNvSpPr/>
        </xdr:nvSpPr>
        <xdr:spPr>
          <a:xfrm>
            <a:off x="267582" y="890281"/>
            <a:ext cx="2133604" cy="7488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sp macro="" textlink="">
        <xdr:nvSpPr>
          <xdr:cNvPr id="26" name="Rectangle 25">
            <a:extLst>
              <a:ext uri="{FF2B5EF4-FFF2-40B4-BE49-F238E27FC236}">
                <a16:creationId xmlns:a16="http://schemas.microsoft.com/office/drawing/2014/main" id="{8690BF18-AA3C-4AC0-A0F5-CDE5C22170FC}"/>
              </a:ext>
            </a:extLst>
          </xdr:cNvPr>
          <xdr:cNvSpPr/>
        </xdr:nvSpPr>
        <xdr:spPr>
          <a:xfrm>
            <a:off x="196894" y="894907"/>
            <a:ext cx="2270841" cy="3242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1800" b="1">
                <a:latin typeface="Avenir Next LT Pro Demi" panose="020B0704020202020204" pitchFamily="34" charset="0"/>
              </a:rPr>
              <a:t>Critical</a:t>
            </a:r>
            <a:r>
              <a:rPr lang="en-IN" sz="1800" b="1" baseline="0">
                <a:latin typeface="Avenir Next LT Pro Demi" panose="020B0704020202020204" pitchFamily="34" charset="0"/>
              </a:rPr>
              <a:t> Outstanding %</a:t>
            </a:r>
            <a:endParaRPr lang="en-IN" sz="1800" b="1">
              <a:latin typeface="Avenir Next LT Pro Demi" panose="020B0704020202020204" pitchFamily="34" charset="0"/>
            </a:endParaRPr>
          </a:p>
        </xdr:txBody>
      </xdr:sp>
      <xdr:sp macro="" textlink="'pvt. for Dash'!J4">
        <xdr:nvSpPr>
          <xdr:cNvPr id="27" name="Rectangle 26">
            <a:extLst>
              <a:ext uri="{FF2B5EF4-FFF2-40B4-BE49-F238E27FC236}">
                <a16:creationId xmlns:a16="http://schemas.microsoft.com/office/drawing/2014/main" id="{F18DFB78-1872-4EB1-80B4-3ABE763C0D35}"/>
              </a:ext>
            </a:extLst>
          </xdr:cNvPr>
          <xdr:cNvSpPr/>
        </xdr:nvSpPr>
        <xdr:spPr>
          <a:xfrm>
            <a:off x="462520" y="1206798"/>
            <a:ext cx="1726017" cy="379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53942AA2-6CA0-46C7-A4AF-A75B4D8CE1BB}" type="TxLink">
              <a:rPr lang="en-US" sz="1800" b="0" i="0" u="none" strike="noStrike">
                <a:solidFill>
                  <a:srgbClr val="000000"/>
                </a:solidFill>
                <a:latin typeface="Avenir Next LT Pro Demi"/>
              </a:rPr>
              <a:pPr algn="ctr"/>
              <a:t>13.70</a:t>
            </a:fld>
            <a:endParaRPr lang="en-IN" sz="4800" b="1"/>
          </a:p>
        </xdr:txBody>
      </xdr:sp>
    </xdr:grpSp>
    <xdr:clientData/>
  </xdr:twoCellAnchor>
  <xdr:twoCellAnchor>
    <xdr:from>
      <xdr:col>3</xdr:col>
      <xdr:colOff>386366</xdr:colOff>
      <xdr:row>17</xdr:row>
      <xdr:rowOff>13259</xdr:rowOff>
    </xdr:from>
    <xdr:to>
      <xdr:col>11</xdr:col>
      <xdr:colOff>504423</xdr:colOff>
      <xdr:row>35</xdr:row>
      <xdr:rowOff>34723</xdr:rowOff>
    </xdr:to>
    <xdr:grpSp>
      <xdr:nvGrpSpPr>
        <xdr:cNvPr id="28" name="Group 27">
          <a:extLst>
            <a:ext uri="{FF2B5EF4-FFF2-40B4-BE49-F238E27FC236}">
              <a16:creationId xmlns:a16="http://schemas.microsoft.com/office/drawing/2014/main" id="{021B8C96-4DA9-43D1-861F-3B9B289D9878}"/>
            </a:ext>
          </a:extLst>
        </xdr:cNvPr>
        <xdr:cNvGrpSpPr/>
      </xdr:nvGrpSpPr>
      <xdr:grpSpPr>
        <a:xfrm>
          <a:off x="2223330" y="3020438"/>
          <a:ext cx="5016629" cy="3205535"/>
          <a:chOff x="2231208" y="1978904"/>
          <a:chExt cx="5037636" cy="3390305"/>
        </a:xfrm>
      </xdr:grpSpPr>
      <xdr:sp macro="" textlink="">
        <xdr:nvSpPr>
          <xdr:cNvPr id="43" name="Rectangle: Rounded Corners 42">
            <a:extLst>
              <a:ext uri="{FF2B5EF4-FFF2-40B4-BE49-F238E27FC236}">
                <a16:creationId xmlns:a16="http://schemas.microsoft.com/office/drawing/2014/main" id="{D140CA4E-9B40-4691-A3A3-FDCC9CA6B891}"/>
              </a:ext>
            </a:extLst>
          </xdr:cNvPr>
          <xdr:cNvSpPr/>
        </xdr:nvSpPr>
        <xdr:spPr>
          <a:xfrm>
            <a:off x="2231208" y="1978904"/>
            <a:ext cx="5037636" cy="339030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aphicFrame macro="">
        <xdr:nvGraphicFramePr>
          <xdr:cNvPr id="40" name="Chart 39">
            <a:extLst>
              <a:ext uri="{FF2B5EF4-FFF2-40B4-BE49-F238E27FC236}">
                <a16:creationId xmlns:a16="http://schemas.microsoft.com/office/drawing/2014/main" id="{E1B95301-356F-4A15-95A6-612BC39C7E76}"/>
              </a:ext>
            </a:extLst>
          </xdr:cNvPr>
          <xdr:cNvGraphicFramePr>
            <a:graphicFrameLocks/>
          </xdr:cNvGraphicFramePr>
        </xdr:nvGraphicFramePr>
        <xdr:xfrm>
          <a:off x="2338532" y="2166060"/>
          <a:ext cx="4844452" cy="301599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12</xdr:col>
      <xdr:colOff>163293</xdr:colOff>
      <xdr:row>17</xdr:row>
      <xdr:rowOff>22092</xdr:rowOff>
    </xdr:from>
    <xdr:to>
      <xdr:col>20</xdr:col>
      <xdr:colOff>281350</xdr:colOff>
      <xdr:row>35</xdr:row>
      <xdr:rowOff>43556</xdr:rowOff>
    </xdr:to>
    <xdr:grpSp>
      <xdr:nvGrpSpPr>
        <xdr:cNvPr id="29" name="Group 28">
          <a:extLst>
            <a:ext uri="{FF2B5EF4-FFF2-40B4-BE49-F238E27FC236}">
              <a16:creationId xmlns:a16="http://schemas.microsoft.com/office/drawing/2014/main" id="{F386BF93-047C-47C7-9888-B6A08DF7C97C}"/>
            </a:ext>
          </a:extLst>
        </xdr:cNvPr>
        <xdr:cNvGrpSpPr/>
      </xdr:nvGrpSpPr>
      <xdr:grpSpPr>
        <a:xfrm>
          <a:off x="7511150" y="3029271"/>
          <a:ext cx="5016629" cy="3205535"/>
          <a:chOff x="7542661" y="1987737"/>
          <a:chExt cx="5037636" cy="3390305"/>
        </a:xfrm>
      </xdr:grpSpPr>
      <xdr:sp macro="" textlink="">
        <xdr:nvSpPr>
          <xdr:cNvPr id="44" name="Rectangle: Rounded Corners 43">
            <a:extLst>
              <a:ext uri="{FF2B5EF4-FFF2-40B4-BE49-F238E27FC236}">
                <a16:creationId xmlns:a16="http://schemas.microsoft.com/office/drawing/2014/main" id="{CA202A62-B147-42C1-9CAC-1B22C045EF91}"/>
              </a:ext>
            </a:extLst>
          </xdr:cNvPr>
          <xdr:cNvSpPr/>
        </xdr:nvSpPr>
        <xdr:spPr>
          <a:xfrm>
            <a:off x="7542661" y="1987737"/>
            <a:ext cx="5037636" cy="339030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aphicFrame macro="">
        <xdr:nvGraphicFramePr>
          <xdr:cNvPr id="46" name="Chart 45">
            <a:extLst>
              <a:ext uri="{FF2B5EF4-FFF2-40B4-BE49-F238E27FC236}">
                <a16:creationId xmlns:a16="http://schemas.microsoft.com/office/drawing/2014/main" id="{997E57CB-0DCE-494E-88FD-E955DD6F1B30}"/>
              </a:ext>
            </a:extLst>
          </xdr:cNvPr>
          <xdr:cNvGraphicFramePr>
            <a:graphicFrameLocks/>
          </xdr:cNvGraphicFramePr>
        </xdr:nvGraphicFramePr>
        <xdr:xfrm>
          <a:off x="7749200" y="2134934"/>
          <a:ext cx="4600742" cy="312725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15</xdr:col>
      <xdr:colOff>564719</xdr:colOff>
      <xdr:row>3</xdr:row>
      <xdr:rowOff>145850</xdr:rowOff>
    </xdr:from>
    <xdr:to>
      <xdr:col>28</xdr:col>
      <xdr:colOff>290914</xdr:colOff>
      <xdr:row>7</xdr:row>
      <xdr:rowOff>106949</xdr:rowOff>
    </xdr:to>
    <mc:AlternateContent xmlns:mc="http://schemas.openxmlformats.org/markup-compatibility/2006" xmlns:a14="http://schemas.microsoft.com/office/drawing/2010/main">
      <mc:Choice Requires="a14">
        <xdr:graphicFrame macro="">
          <xdr:nvGraphicFramePr>
            <xdr:cNvPr id="34" name="Product">
              <a:extLst>
                <a:ext uri="{FF2B5EF4-FFF2-40B4-BE49-F238E27FC236}">
                  <a16:creationId xmlns:a16="http://schemas.microsoft.com/office/drawing/2014/main" id="{20570A0B-C89A-4D23-BD80-A1880499E31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40916" y="693202"/>
              <a:ext cx="8183322" cy="690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203915</xdr:colOff>
      <xdr:row>3</xdr:row>
      <xdr:rowOff>144647</xdr:rowOff>
    </xdr:from>
    <xdr:to>
      <xdr:col>15</xdr:col>
      <xdr:colOff>450195</xdr:colOff>
      <xdr:row>7</xdr:row>
      <xdr:rowOff>93580</xdr:rowOff>
    </xdr:to>
    <mc:AlternateContent xmlns:mc="http://schemas.openxmlformats.org/markup-compatibility/2006" xmlns:a14="http://schemas.microsoft.com/office/drawing/2010/main">
      <mc:Choice Requires="a14">
        <xdr:graphicFrame macro="">
          <xdr:nvGraphicFramePr>
            <xdr:cNvPr id="35" name="Manager">
              <a:extLst>
                <a:ext uri="{FF2B5EF4-FFF2-40B4-BE49-F238E27FC236}">
                  <a16:creationId xmlns:a16="http://schemas.microsoft.com/office/drawing/2014/main" id="{1EB90437-142E-4D84-9E30-95E2B0089C24}"/>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2650901" y="691999"/>
              <a:ext cx="6975491" cy="678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198239</xdr:colOff>
      <xdr:row>7</xdr:row>
      <xdr:rowOff>152402</xdr:rowOff>
    </xdr:from>
    <xdr:to>
      <xdr:col>28</xdr:col>
      <xdr:colOff>295231</xdr:colOff>
      <xdr:row>11</xdr:row>
      <xdr:rowOff>83130</xdr:rowOff>
    </xdr:to>
    <mc:AlternateContent xmlns:mc="http://schemas.openxmlformats.org/markup-compatibility/2006" xmlns:a14="http://schemas.microsoft.com/office/drawing/2010/main">
      <mc:Choice Requires="a14">
        <xdr:graphicFrame macro="">
          <xdr:nvGraphicFramePr>
            <xdr:cNvPr id="66" name="Region">
              <a:extLst>
                <a:ext uri="{FF2B5EF4-FFF2-40B4-BE49-F238E27FC236}">
                  <a16:creationId xmlns:a16="http://schemas.microsoft.com/office/drawing/2014/main" id="{96D15CF5-0FBF-4DD3-AE1C-0923F740A8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45225" y="1429557"/>
              <a:ext cx="15283330" cy="660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69273</xdr:colOff>
      <xdr:row>18</xdr:row>
      <xdr:rowOff>69272</xdr:rowOff>
    </xdr:from>
    <xdr:to>
      <xdr:col>28</xdr:col>
      <xdr:colOff>498763</xdr:colOff>
      <xdr:row>33</xdr:row>
      <xdr:rowOff>166255</xdr:rowOff>
    </xdr:to>
    <xdr:pic>
      <xdr:nvPicPr>
        <xdr:cNvPr id="68" name="Picture 67">
          <a:extLst>
            <a:ext uri="{FF2B5EF4-FFF2-40B4-BE49-F238E27FC236}">
              <a16:creationId xmlns:a16="http://schemas.microsoft.com/office/drawing/2014/main" id="{98D8EC58-86FF-4AD7-83AB-47C567A943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70873" y="3311236"/>
          <a:ext cx="5195454" cy="279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398820</xdr:colOff>
      <xdr:row>36</xdr:row>
      <xdr:rowOff>105220</xdr:rowOff>
    </xdr:from>
    <xdr:to>
      <xdr:col>28</xdr:col>
      <xdr:colOff>544286</xdr:colOff>
      <xdr:row>54</xdr:row>
      <xdr:rowOff>126683</xdr:rowOff>
    </xdr:to>
    <xdr:sp macro="" textlink="">
      <xdr:nvSpPr>
        <xdr:cNvPr id="70" name="Rectangle: Rounded Corners 69">
          <a:extLst>
            <a:ext uri="{FF2B5EF4-FFF2-40B4-BE49-F238E27FC236}">
              <a16:creationId xmlns:a16="http://schemas.microsoft.com/office/drawing/2014/main" id="{F5200694-A1F9-4BB7-BF7F-A94AF1B9F8E2}"/>
            </a:ext>
          </a:extLst>
        </xdr:cNvPr>
        <xdr:cNvSpPr/>
      </xdr:nvSpPr>
      <xdr:spPr>
        <a:xfrm>
          <a:off x="2235784" y="6473363"/>
          <a:ext cx="15956966" cy="3205534"/>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clientData/>
  </xdr:twoCellAnchor>
  <xdr:twoCellAnchor>
    <xdr:from>
      <xdr:col>3</xdr:col>
      <xdr:colOff>419178</xdr:colOff>
      <xdr:row>37</xdr:row>
      <xdr:rowOff>44222</xdr:rowOff>
    </xdr:from>
    <xdr:to>
      <xdr:col>16</xdr:col>
      <xdr:colOff>367393</xdr:colOff>
      <xdr:row>53</xdr:row>
      <xdr:rowOff>161584</xdr:rowOff>
    </xdr:to>
    <xdr:graphicFrame macro="">
      <xdr:nvGraphicFramePr>
        <xdr:cNvPr id="69" name="Chart 68">
          <a:extLst>
            <a:ext uri="{FF2B5EF4-FFF2-40B4-BE49-F238E27FC236}">
              <a16:creationId xmlns:a16="http://schemas.microsoft.com/office/drawing/2014/main" id="{F0E1E877-2BC6-42C1-960A-C77856ABC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244928</xdr:colOff>
      <xdr:row>37</xdr:row>
      <xdr:rowOff>23577</xdr:rowOff>
    </xdr:from>
    <xdr:to>
      <xdr:col>27</xdr:col>
      <xdr:colOff>394606</xdr:colOff>
      <xdr:row>54</xdr:row>
      <xdr:rowOff>1</xdr:rowOff>
    </xdr:to>
    <xdr:graphicFrame macro="">
      <xdr:nvGraphicFramePr>
        <xdr:cNvPr id="71" name="Chart 70">
          <a:extLst>
            <a:ext uri="{FF2B5EF4-FFF2-40B4-BE49-F238E27FC236}">
              <a16:creationId xmlns:a16="http://schemas.microsoft.com/office/drawing/2014/main" id="{4742304D-7E3D-4F86-B391-A3CA89062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276.626201157407" createdVersion="7" refreshedVersion="7" minRefreshableVersion="3" recordCount="500" xr:uid="{FE245628-8A95-4218-BEA6-C5BB908D2B5E}">
  <cacheSource type="worksheet">
    <worksheetSource name="Table1"/>
  </cacheSource>
  <cacheFields count="15">
    <cacheField name="Transaction_ID" numFmtId="0">
      <sharedItems/>
    </cacheField>
    <cacheField name="Date" numFmtId="165">
      <sharedItems containsSemiMixedTypes="0" containsNonDate="0" containsDate="1" containsString="0" minDate="2026-07-01T00:00:00" maxDate="2026-09-01T00:00:00" count="62">
        <d v="2026-08-08T00:00:00"/>
        <d v="2026-08-21T00:00:00"/>
        <d v="2026-07-29T00:00:00"/>
        <d v="2026-07-15T00:00:00"/>
        <d v="2026-08-12T00:00:00"/>
        <d v="2026-07-08T00:00:00"/>
        <d v="2026-08-30T00:00:00"/>
        <d v="2026-07-21T00:00:00"/>
        <d v="2026-08-27T00:00:00"/>
        <d v="2026-07-19T00:00:00"/>
        <d v="2026-07-23T00:00:00"/>
        <d v="2026-07-11T00:00:00"/>
        <d v="2026-07-24T00:00:00"/>
        <d v="2026-08-22T00:00:00"/>
        <d v="2026-08-05T00:00:00"/>
        <d v="2026-08-09T00:00:00"/>
        <d v="2026-07-03T00:00:00"/>
        <d v="2026-07-22T00:00:00"/>
        <d v="2026-07-02T00:00:00"/>
        <d v="2026-08-13T00:00:00"/>
        <d v="2026-07-30T00:00:00"/>
        <d v="2026-08-07T00:00:00"/>
        <d v="2026-08-29T00:00:00"/>
        <d v="2026-08-02T00:00:00"/>
        <d v="2026-07-12T00:00:00"/>
        <d v="2026-07-25T00:00:00"/>
        <d v="2026-08-18T00:00:00"/>
        <d v="2026-07-27T00:00:00"/>
        <d v="2026-08-28T00:00:00"/>
        <d v="2026-08-11T00:00:00"/>
        <d v="2026-07-28T00:00:00"/>
        <d v="2026-07-16T00:00:00"/>
        <d v="2026-08-31T00:00:00"/>
        <d v="2026-08-16T00:00:00"/>
        <d v="2026-08-20T00:00:00"/>
        <d v="2026-08-24T00:00:00"/>
        <d v="2026-08-26T00:00:00"/>
        <d v="2026-08-06T00:00:00"/>
        <d v="2026-07-07T00:00:00"/>
        <d v="2026-07-09T00:00:00"/>
        <d v="2026-07-18T00:00:00"/>
        <d v="2026-07-04T00:00:00"/>
        <d v="2026-07-14T00:00:00"/>
        <d v="2026-08-19T00:00:00"/>
        <d v="2026-07-26T00:00:00"/>
        <d v="2026-07-20T00:00:00"/>
        <d v="2026-08-04T00:00:00"/>
        <d v="2026-07-17T00:00:00"/>
        <d v="2026-07-06T00:00:00"/>
        <d v="2026-08-23T00:00:00"/>
        <d v="2026-08-03T00:00:00"/>
        <d v="2026-07-10T00:00:00"/>
        <d v="2026-07-31T00:00:00"/>
        <d v="2026-08-17T00:00:00"/>
        <d v="2026-08-14T00:00:00"/>
        <d v="2026-08-10T00:00:00"/>
        <d v="2026-07-01T00:00:00"/>
        <d v="2026-07-05T00:00:00"/>
        <d v="2026-07-13T00:00:00"/>
        <d v="2026-08-01T00:00:00"/>
        <d v="2026-08-25T00:00:00"/>
        <d v="2026-08-15T00:00:00"/>
      </sharedItems>
      <fieldGroup par="14" base="1">
        <rangePr groupBy="days" startDate="2026-07-01T00:00:00" endDate="2026-09-01T00:00:00"/>
        <groupItems count="368">
          <s v="&lt;01-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6"/>
        </groupItems>
      </fieldGroup>
    </cacheField>
    <cacheField name="Region" numFmtId="0">
      <sharedItems count="6">
        <s v="Jalandhar"/>
        <s v="Ludhiana"/>
        <s v="Chandigarh"/>
        <s v="Amritsar"/>
        <s v=" ludhiana" u="1"/>
        <s v="amritsar " u="1"/>
      </sharedItems>
    </cacheField>
    <cacheField name="Customer" numFmtId="0">
      <sharedItems count="15">
        <s v="ABC Traders"/>
        <s v="Malhotra Stores"/>
        <s v="Singh Enterprises"/>
        <s v="Arora Telecom"/>
        <s v="Raj Traders"/>
        <s v="Sethi Electronics"/>
        <s v="Kumar Stores"/>
        <s v="Sharma Electronics"/>
        <s v="Mehta Traders"/>
        <s v="Khanna Traders"/>
        <s v="XYZ Distributors"/>
        <s v="Verma Electronics"/>
        <s v="Bansal Retail"/>
        <s v="Gupta Retail"/>
        <s v="Kapoor Retail"/>
      </sharedItems>
    </cacheField>
    <cacheField name="Product" numFmtId="0">
      <sharedItems count="6">
        <s v="Refrigerator"/>
        <s v="Washing Machine"/>
        <s v="Air Conditioner"/>
        <s v="Mobile"/>
        <s v="Microwave"/>
        <s v="LED TV"/>
      </sharedItems>
    </cacheField>
    <cacheField name="Sales" numFmtId="164">
      <sharedItems containsSemiMixedTypes="0" containsString="0" containsNumber="1" containsInteger="1" minValue="10163" maxValue="149999"/>
    </cacheField>
    <cacheField name="Manager" numFmtId="0">
      <sharedItems count="5">
        <s v="Amit"/>
        <s v="Simran"/>
        <s v="Rohit"/>
        <s v="Karan"/>
        <s v="Neha"/>
      </sharedItems>
    </cacheField>
    <cacheField name="Branch" numFmtId="164">
      <sharedItems/>
    </cacheField>
    <cacheField name="Target_Sales" numFmtId="164">
      <sharedItems containsSemiMixedTypes="0" containsString="0" containsNumber="1" containsInteger="1" minValue="8900" maxValue="178100"/>
    </cacheField>
    <cacheField name="Collection" numFmtId="164">
      <sharedItems containsSemiMixedTypes="0" containsString="0" containsNumber="1" containsInteger="1" minValue="6900" maxValue="137300"/>
    </cacheField>
    <cacheField name="Outstanding" numFmtId="164">
      <sharedItems containsSemiMixedTypes="0" containsString="0" containsNumber="1" containsInteger="1" minValue="663" maxValue="75711"/>
    </cacheField>
    <cacheField name="Days_Overdue" numFmtId="0">
      <sharedItems containsSemiMixedTypes="0" containsString="0" containsNumber="1" containsInteger="1" minValue="5" maxValue="120"/>
    </cacheField>
    <cacheField name="Aging_Bucket" numFmtId="0">
      <sharedItems count="4">
        <s v="31-60"/>
        <s v="61-90"/>
        <s v="91-120"/>
        <s v="0-30"/>
      </sharedItems>
    </cacheField>
    <cacheField name="Condition" numFmtId="164">
      <sharedItems count="6">
        <s v="General Follow Up"/>
        <s v="Fast Follow Up"/>
        <s v="Critical"/>
        <s v="Mild critical"/>
        <s v="Normal"/>
        <s v="Mild ctirical" u="1"/>
      </sharedItems>
    </cacheField>
    <cacheField name="Months" numFmtId="0" databaseField="0">
      <fieldGroup base="1">
        <rangePr groupBy="months" startDate="2026-07-01T00:00:00" endDate="2026-09-01T00:00:00"/>
        <groupItems count="14">
          <s v="&lt;01-07-2026"/>
          <s v="Jan"/>
          <s v="Feb"/>
          <s v="Mar"/>
          <s v="Apr"/>
          <s v="May"/>
          <s v="Jun"/>
          <s v="Jul"/>
          <s v="Aug"/>
          <s v="Sep"/>
          <s v="Oct"/>
          <s v="Nov"/>
          <s v="Dec"/>
          <s v="&gt;01-09-2026"/>
        </groupItems>
      </fieldGroup>
    </cacheField>
  </cacheFields>
  <extLst>
    <ext xmlns:x14="http://schemas.microsoft.com/office/spreadsheetml/2009/9/main" uri="{725AE2AE-9491-48be-B2B4-4EB974FC3084}">
      <x14:pivotCacheDefinition pivotCacheId="108781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10001"/>
    <x v="0"/>
    <x v="0"/>
    <x v="0"/>
    <x v="0"/>
    <n v="90818"/>
    <x v="0"/>
    <s v="Jalandhar-1"/>
    <n v="96400"/>
    <n v="46200"/>
    <n v="44618"/>
    <n v="45"/>
    <x v="0"/>
    <x v="0"/>
  </r>
  <r>
    <s v="10002"/>
    <x v="1"/>
    <x v="1"/>
    <x v="1"/>
    <x v="1"/>
    <n v="14703"/>
    <x v="1"/>
    <s v="Ludhiana-2"/>
    <n v="16000"/>
    <n v="8700"/>
    <n v="6003"/>
    <n v="85"/>
    <x v="1"/>
    <x v="1"/>
  </r>
  <r>
    <s v="10003"/>
    <x v="2"/>
    <x v="2"/>
    <x v="2"/>
    <x v="2"/>
    <n v="82099"/>
    <x v="0"/>
    <s v="Chandigarh-1"/>
    <n v="73100"/>
    <n v="53300"/>
    <n v="28799"/>
    <n v="60"/>
    <x v="0"/>
    <x v="0"/>
  </r>
  <r>
    <s v="10004"/>
    <x v="3"/>
    <x v="0"/>
    <x v="3"/>
    <x v="0"/>
    <n v="41585"/>
    <x v="2"/>
    <s v="Jalandhar-1"/>
    <n v="40900"/>
    <n v="37800"/>
    <n v="3785"/>
    <n v="120"/>
    <x v="2"/>
    <x v="2"/>
  </r>
  <r>
    <s v="10005"/>
    <x v="4"/>
    <x v="3"/>
    <x v="4"/>
    <x v="3"/>
    <n v="53585"/>
    <x v="3"/>
    <s v="Amritsar-1"/>
    <n v="54100"/>
    <n v="50700"/>
    <n v="2885"/>
    <n v="85"/>
    <x v="1"/>
    <x v="1"/>
  </r>
  <r>
    <s v="10006"/>
    <x v="5"/>
    <x v="3"/>
    <x v="0"/>
    <x v="4"/>
    <n v="36958"/>
    <x v="3"/>
    <s v="Amritsar-1"/>
    <n v="36200"/>
    <n v="17500"/>
    <n v="19458"/>
    <n v="35"/>
    <x v="0"/>
    <x v="0"/>
  </r>
  <r>
    <s v="10007"/>
    <x v="6"/>
    <x v="3"/>
    <x v="5"/>
    <x v="1"/>
    <n v="36017"/>
    <x v="3"/>
    <s v="Amritsar-1"/>
    <n v="32100"/>
    <n v="29900"/>
    <n v="6117"/>
    <n v="95"/>
    <x v="2"/>
    <x v="3"/>
  </r>
  <r>
    <s v="10008"/>
    <x v="7"/>
    <x v="2"/>
    <x v="0"/>
    <x v="0"/>
    <n v="134677"/>
    <x v="1"/>
    <s v="Chandigarh-1"/>
    <n v="134200"/>
    <n v="85600"/>
    <n v="49077"/>
    <n v="68"/>
    <x v="1"/>
    <x v="1"/>
  </r>
  <r>
    <s v="10009"/>
    <x v="0"/>
    <x v="1"/>
    <x v="6"/>
    <x v="1"/>
    <n v="39426"/>
    <x v="4"/>
    <s v="Ludhiana-2"/>
    <n v="43900"/>
    <n v="25500"/>
    <n v="13926"/>
    <n v="5"/>
    <x v="3"/>
    <x v="4"/>
  </r>
  <r>
    <s v="10010"/>
    <x v="8"/>
    <x v="0"/>
    <x v="7"/>
    <x v="0"/>
    <n v="27778"/>
    <x v="4"/>
    <s v="Jalandhar-1"/>
    <n v="24300"/>
    <n v="23000"/>
    <n v="4778"/>
    <n v="45"/>
    <x v="0"/>
    <x v="0"/>
  </r>
  <r>
    <s v="10011"/>
    <x v="9"/>
    <x v="0"/>
    <x v="8"/>
    <x v="5"/>
    <n v="52229"/>
    <x v="0"/>
    <s v="Jalandhar-1"/>
    <n v="45900"/>
    <n v="47500"/>
    <n v="4729"/>
    <n v="120"/>
    <x v="2"/>
    <x v="2"/>
  </r>
  <r>
    <s v="10012"/>
    <x v="10"/>
    <x v="0"/>
    <x v="2"/>
    <x v="3"/>
    <n v="96652"/>
    <x v="1"/>
    <s v="Jalandhar-1"/>
    <n v="94200"/>
    <n v="89400"/>
    <n v="7252"/>
    <n v="18"/>
    <x v="3"/>
    <x v="4"/>
  </r>
  <r>
    <s v="10013"/>
    <x v="11"/>
    <x v="0"/>
    <x v="3"/>
    <x v="1"/>
    <n v="138267"/>
    <x v="3"/>
    <s v="Jalandhar-1"/>
    <n v="163100"/>
    <n v="102100"/>
    <n v="36167"/>
    <n v="30"/>
    <x v="3"/>
    <x v="0"/>
  </r>
  <r>
    <s v="10014"/>
    <x v="11"/>
    <x v="2"/>
    <x v="8"/>
    <x v="4"/>
    <n v="136503"/>
    <x v="3"/>
    <s v="Chandigarh-1"/>
    <n v="148000"/>
    <n v="85800"/>
    <n v="50703"/>
    <n v="68"/>
    <x v="1"/>
    <x v="1"/>
  </r>
  <r>
    <s v="10015"/>
    <x v="12"/>
    <x v="2"/>
    <x v="0"/>
    <x v="4"/>
    <n v="94878"/>
    <x v="2"/>
    <s v="Chandigarh-1"/>
    <n v="103200"/>
    <n v="80100"/>
    <n v="14778"/>
    <n v="25"/>
    <x v="3"/>
    <x v="4"/>
  </r>
  <r>
    <s v="10016"/>
    <x v="13"/>
    <x v="3"/>
    <x v="6"/>
    <x v="2"/>
    <n v="67056"/>
    <x v="2"/>
    <s v="Amritsar-1"/>
    <n v="65500"/>
    <n v="38600"/>
    <n v="28456"/>
    <n v="68"/>
    <x v="1"/>
    <x v="1"/>
  </r>
  <r>
    <s v="10017"/>
    <x v="14"/>
    <x v="3"/>
    <x v="6"/>
    <x v="0"/>
    <n v="29975"/>
    <x v="3"/>
    <s v="Amritsar-1"/>
    <n v="31700"/>
    <n v="21900"/>
    <n v="8075"/>
    <n v="30"/>
    <x v="3"/>
    <x v="0"/>
  </r>
  <r>
    <s v="10018"/>
    <x v="15"/>
    <x v="3"/>
    <x v="1"/>
    <x v="1"/>
    <n v="98397"/>
    <x v="3"/>
    <s v="Amritsar-1"/>
    <n v="84000"/>
    <n v="61900"/>
    <n v="36497"/>
    <n v="30"/>
    <x v="3"/>
    <x v="0"/>
  </r>
  <r>
    <s v="10019"/>
    <x v="12"/>
    <x v="3"/>
    <x v="9"/>
    <x v="2"/>
    <n v="43142"/>
    <x v="1"/>
    <s v="Amritsar-1"/>
    <n v="46300"/>
    <n v="33600"/>
    <n v="9542"/>
    <n v="35"/>
    <x v="0"/>
    <x v="0"/>
  </r>
  <r>
    <s v="10020"/>
    <x v="16"/>
    <x v="0"/>
    <x v="9"/>
    <x v="1"/>
    <n v="36916"/>
    <x v="4"/>
    <s v="Jalandhar-1"/>
    <n v="43200"/>
    <n v="21000"/>
    <n v="15916"/>
    <n v="105"/>
    <x v="2"/>
    <x v="2"/>
  </r>
  <r>
    <s v="10021"/>
    <x v="17"/>
    <x v="2"/>
    <x v="10"/>
    <x v="0"/>
    <n v="74324"/>
    <x v="2"/>
    <s v="Chandigarh-1"/>
    <n v="79100"/>
    <n v="40600"/>
    <n v="33724"/>
    <n v="68"/>
    <x v="1"/>
    <x v="1"/>
  </r>
  <r>
    <s v="10022"/>
    <x v="13"/>
    <x v="2"/>
    <x v="1"/>
    <x v="4"/>
    <n v="135932"/>
    <x v="4"/>
    <s v="Chandigarh-1"/>
    <n v="157100"/>
    <n v="123600"/>
    <n v="12332"/>
    <n v="85"/>
    <x v="1"/>
    <x v="1"/>
  </r>
  <r>
    <s v="10023"/>
    <x v="18"/>
    <x v="1"/>
    <x v="11"/>
    <x v="5"/>
    <n v="145720"/>
    <x v="1"/>
    <s v="Ludhiana-1"/>
    <n v="160800"/>
    <n v="73000"/>
    <n v="72720"/>
    <n v="68"/>
    <x v="1"/>
    <x v="1"/>
  </r>
  <r>
    <s v="10024"/>
    <x v="12"/>
    <x v="2"/>
    <x v="10"/>
    <x v="4"/>
    <n v="106059"/>
    <x v="3"/>
    <s v="Chandigarh-1"/>
    <n v="94600"/>
    <n v="74600"/>
    <n v="31459"/>
    <n v="95"/>
    <x v="2"/>
    <x v="3"/>
  </r>
  <r>
    <s v="10025"/>
    <x v="19"/>
    <x v="1"/>
    <x v="11"/>
    <x v="2"/>
    <n v="108317"/>
    <x v="4"/>
    <s v="Ludhiana-2"/>
    <n v="126300"/>
    <n v="60700"/>
    <n v="47617"/>
    <n v="95"/>
    <x v="2"/>
    <x v="3"/>
  </r>
  <r>
    <s v="10026"/>
    <x v="20"/>
    <x v="2"/>
    <x v="9"/>
    <x v="3"/>
    <n v="45046"/>
    <x v="3"/>
    <s v="Chandigarh-1"/>
    <n v="39300"/>
    <n v="21100"/>
    <n v="23946"/>
    <n v="75"/>
    <x v="1"/>
    <x v="1"/>
  </r>
  <r>
    <s v="10027"/>
    <x v="21"/>
    <x v="2"/>
    <x v="1"/>
    <x v="5"/>
    <n v="111459"/>
    <x v="3"/>
    <s v="Chandigarh-1"/>
    <n v="115600"/>
    <n v="52200"/>
    <n v="59259"/>
    <n v="35"/>
    <x v="0"/>
    <x v="0"/>
  </r>
  <r>
    <s v="10028"/>
    <x v="18"/>
    <x v="1"/>
    <x v="11"/>
    <x v="2"/>
    <n v="55893"/>
    <x v="0"/>
    <s v="Ludhiana-1"/>
    <n v="50300"/>
    <n v="30000"/>
    <n v="25893"/>
    <n v="52"/>
    <x v="0"/>
    <x v="0"/>
  </r>
  <r>
    <s v="10029"/>
    <x v="22"/>
    <x v="2"/>
    <x v="2"/>
    <x v="0"/>
    <n v="111520"/>
    <x v="4"/>
    <s v="Chandigarh-1"/>
    <n v="95200"/>
    <n v="98500"/>
    <n v="13020"/>
    <n v="52"/>
    <x v="0"/>
    <x v="0"/>
  </r>
  <r>
    <s v="10030"/>
    <x v="7"/>
    <x v="1"/>
    <x v="1"/>
    <x v="5"/>
    <n v="135818"/>
    <x v="4"/>
    <s v="Ludhiana-1"/>
    <n v="135500"/>
    <n v="80300"/>
    <n v="55518"/>
    <n v="75"/>
    <x v="1"/>
    <x v="1"/>
  </r>
  <r>
    <s v="10031"/>
    <x v="23"/>
    <x v="1"/>
    <x v="9"/>
    <x v="2"/>
    <n v="71272"/>
    <x v="3"/>
    <s v="Ludhiana-1"/>
    <n v="67900"/>
    <n v="65900"/>
    <n v="5372"/>
    <n v="60"/>
    <x v="0"/>
    <x v="0"/>
  </r>
  <r>
    <s v="10032"/>
    <x v="24"/>
    <x v="1"/>
    <x v="10"/>
    <x v="0"/>
    <n v="77649"/>
    <x v="1"/>
    <s v="Jalandhar-1"/>
    <n v="79200"/>
    <n v="57500"/>
    <n v="20149"/>
    <n v="52"/>
    <x v="0"/>
    <x v="0"/>
  </r>
  <r>
    <s v="10033"/>
    <x v="8"/>
    <x v="2"/>
    <x v="12"/>
    <x v="4"/>
    <n v="74674"/>
    <x v="0"/>
    <s v="Chandigarh-1"/>
    <n v="78600"/>
    <n v="49900"/>
    <n v="24774"/>
    <n v="95"/>
    <x v="2"/>
    <x v="3"/>
  </r>
  <r>
    <s v="10034"/>
    <x v="17"/>
    <x v="1"/>
    <x v="1"/>
    <x v="3"/>
    <n v="96475"/>
    <x v="3"/>
    <s v="Ludhiana-2"/>
    <n v="83500"/>
    <n v="71400"/>
    <n v="25075"/>
    <n v="75"/>
    <x v="1"/>
    <x v="1"/>
  </r>
  <r>
    <s v="10035"/>
    <x v="6"/>
    <x v="2"/>
    <x v="7"/>
    <x v="0"/>
    <n v="71367"/>
    <x v="2"/>
    <s v="Chandigarh-1"/>
    <n v="63700"/>
    <n v="50600"/>
    <n v="20767"/>
    <n v="12"/>
    <x v="3"/>
    <x v="4"/>
  </r>
  <r>
    <s v="10036"/>
    <x v="19"/>
    <x v="3"/>
    <x v="3"/>
    <x v="1"/>
    <n v="131750"/>
    <x v="2"/>
    <s v="Amritsar-1"/>
    <n v="137700"/>
    <n v="109300"/>
    <n v="22450"/>
    <n v="105"/>
    <x v="2"/>
    <x v="2"/>
  </r>
  <r>
    <s v="10037"/>
    <x v="25"/>
    <x v="1"/>
    <x v="9"/>
    <x v="0"/>
    <n v="128154"/>
    <x v="0"/>
    <s v="Ludhiana-2"/>
    <n v="124300"/>
    <n v="75800"/>
    <n v="52354"/>
    <n v="105"/>
    <x v="2"/>
    <x v="2"/>
  </r>
  <r>
    <s v="10038"/>
    <x v="26"/>
    <x v="3"/>
    <x v="13"/>
    <x v="0"/>
    <n v="54738"/>
    <x v="1"/>
    <s v="Amritsar-1"/>
    <n v="60500"/>
    <n v="34300"/>
    <n v="20438"/>
    <n v="85"/>
    <x v="1"/>
    <x v="1"/>
  </r>
  <r>
    <s v="10039"/>
    <x v="27"/>
    <x v="1"/>
    <x v="13"/>
    <x v="3"/>
    <n v="43397"/>
    <x v="3"/>
    <s v="Ludhiana-2"/>
    <n v="46800"/>
    <n v="38900"/>
    <n v="4497"/>
    <n v="68"/>
    <x v="1"/>
    <x v="1"/>
  </r>
  <r>
    <s v="10040"/>
    <x v="28"/>
    <x v="1"/>
    <x v="10"/>
    <x v="1"/>
    <n v="92189"/>
    <x v="4"/>
    <s v="Ludhiana-2"/>
    <n v="105600"/>
    <n v="85100"/>
    <n v="7089"/>
    <n v="85"/>
    <x v="1"/>
    <x v="1"/>
  </r>
  <r>
    <s v="10041"/>
    <x v="29"/>
    <x v="2"/>
    <x v="10"/>
    <x v="2"/>
    <n v="86367"/>
    <x v="0"/>
    <s v="Chandigarh-1"/>
    <n v="94300"/>
    <n v="77400"/>
    <n v="8967"/>
    <n v="75"/>
    <x v="1"/>
    <x v="1"/>
  </r>
  <r>
    <s v="10042"/>
    <x v="30"/>
    <x v="2"/>
    <x v="8"/>
    <x v="2"/>
    <n v="130585"/>
    <x v="1"/>
    <s v="Chandigarh-1"/>
    <n v="130600"/>
    <n v="86200"/>
    <n v="44385"/>
    <n v="120"/>
    <x v="2"/>
    <x v="2"/>
  </r>
  <r>
    <s v="10043"/>
    <x v="22"/>
    <x v="3"/>
    <x v="3"/>
    <x v="0"/>
    <n v="86619"/>
    <x v="4"/>
    <s v="Amritsar-1"/>
    <n v="94000"/>
    <n v="72800"/>
    <n v="13819"/>
    <n v="5"/>
    <x v="3"/>
    <x v="4"/>
  </r>
  <r>
    <s v="10044"/>
    <x v="31"/>
    <x v="3"/>
    <x v="3"/>
    <x v="1"/>
    <n v="121453"/>
    <x v="2"/>
    <s v="Amritsar-1"/>
    <n v="114900"/>
    <n v="83600"/>
    <n v="37853"/>
    <n v="68"/>
    <x v="1"/>
    <x v="1"/>
  </r>
  <r>
    <s v="10045"/>
    <x v="3"/>
    <x v="0"/>
    <x v="2"/>
    <x v="1"/>
    <n v="29816"/>
    <x v="2"/>
    <s v="Jalandhar-1"/>
    <n v="28500"/>
    <n v="20800"/>
    <n v="9016"/>
    <n v="12"/>
    <x v="3"/>
    <x v="4"/>
  </r>
  <r>
    <s v="10046"/>
    <x v="32"/>
    <x v="2"/>
    <x v="10"/>
    <x v="3"/>
    <n v="147348"/>
    <x v="4"/>
    <s v="Chandigarh-1"/>
    <n v="165900"/>
    <n v="81400"/>
    <n v="65948"/>
    <n v="12"/>
    <x v="3"/>
    <x v="4"/>
  </r>
  <r>
    <s v="10047"/>
    <x v="32"/>
    <x v="2"/>
    <x v="3"/>
    <x v="4"/>
    <n v="89530"/>
    <x v="0"/>
    <s v="Chandigarh-1"/>
    <n v="90100"/>
    <n v="66800"/>
    <n v="22730"/>
    <n v="85"/>
    <x v="1"/>
    <x v="1"/>
  </r>
  <r>
    <s v="10048"/>
    <x v="33"/>
    <x v="3"/>
    <x v="5"/>
    <x v="2"/>
    <n v="118856"/>
    <x v="2"/>
    <s v="Amritsar-1"/>
    <n v="134200"/>
    <n v="64500"/>
    <n v="54356"/>
    <n v="18"/>
    <x v="3"/>
    <x v="4"/>
  </r>
  <r>
    <s v="10049"/>
    <x v="32"/>
    <x v="1"/>
    <x v="8"/>
    <x v="3"/>
    <n v="81635"/>
    <x v="3"/>
    <s v="Ludhiana-2"/>
    <n v="92900"/>
    <n v="50300"/>
    <n v="31335"/>
    <n v="68"/>
    <x v="1"/>
    <x v="1"/>
  </r>
  <r>
    <s v="10050"/>
    <x v="34"/>
    <x v="2"/>
    <x v="11"/>
    <x v="5"/>
    <n v="117803"/>
    <x v="4"/>
    <s v="Chandigarh-1"/>
    <n v="135500"/>
    <n v="103400"/>
    <n v="14403"/>
    <n v="45"/>
    <x v="0"/>
    <x v="0"/>
  </r>
  <r>
    <s v="10051"/>
    <x v="19"/>
    <x v="1"/>
    <x v="6"/>
    <x v="2"/>
    <n v="45946"/>
    <x v="4"/>
    <s v="Ludhiana-1"/>
    <n v="53800"/>
    <n v="25400"/>
    <n v="20546"/>
    <n v="12"/>
    <x v="3"/>
    <x v="4"/>
  </r>
  <r>
    <s v="10052"/>
    <x v="35"/>
    <x v="1"/>
    <x v="6"/>
    <x v="3"/>
    <n v="65204"/>
    <x v="2"/>
    <s v="Ludhiana-1"/>
    <n v="65300"/>
    <n v="31700"/>
    <n v="33504"/>
    <n v="105"/>
    <x v="2"/>
    <x v="2"/>
  </r>
  <r>
    <s v="10053"/>
    <x v="1"/>
    <x v="0"/>
    <x v="11"/>
    <x v="2"/>
    <n v="25563"/>
    <x v="0"/>
    <s v="Jalandhar-1"/>
    <n v="24600"/>
    <n v="12400"/>
    <n v="13163"/>
    <n v="5"/>
    <x v="3"/>
    <x v="4"/>
  </r>
  <r>
    <s v="10054"/>
    <x v="36"/>
    <x v="0"/>
    <x v="4"/>
    <x v="4"/>
    <n v="102324"/>
    <x v="3"/>
    <s v="Jalandhar-1"/>
    <n v="107800"/>
    <n v="94200"/>
    <n v="8124"/>
    <n v="105"/>
    <x v="2"/>
    <x v="2"/>
  </r>
  <r>
    <s v="10055"/>
    <x v="16"/>
    <x v="3"/>
    <x v="9"/>
    <x v="5"/>
    <n v="19847"/>
    <x v="0"/>
    <s v="Amritsar-1"/>
    <n v="19400"/>
    <n v="14000"/>
    <n v="5847"/>
    <n v="35"/>
    <x v="0"/>
    <x v="0"/>
  </r>
  <r>
    <s v="10056"/>
    <x v="37"/>
    <x v="2"/>
    <x v="8"/>
    <x v="4"/>
    <n v="36155"/>
    <x v="1"/>
    <s v="Chandigarh-1"/>
    <n v="38300"/>
    <n v="23700"/>
    <n v="12455"/>
    <n v="60"/>
    <x v="0"/>
    <x v="0"/>
  </r>
  <r>
    <s v="10057"/>
    <x v="34"/>
    <x v="1"/>
    <x v="5"/>
    <x v="5"/>
    <n v="89671"/>
    <x v="1"/>
    <s v="Ludhiana-1"/>
    <n v="98400"/>
    <n v="76700"/>
    <n v="12971"/>
    <n v="120"/>
    <x v="2"/>
    <x v="2"/>
  </r>
  <r>
    <s v="10058"/>
    <x v="38"/>
    <x v="1"/>
    <x v="3"/>
    <x v="0"/>
    <n v="126891"/>
    <x v="2"/>
    <s v="Ludhiana-1"/>
    <n v="138400"/>
    <n v="110100"/>
    <n v="16791"/>
    <n v="18"/>
    <x v="3"/>
    <x v="4"/>
  </r>
  <r>
    <s v="10059"/>
    <x v="7"/>
    <x v="1"/>
    <x v="12"/>
    <x v="3"/>
    <n v="93310"/>
    <x v="2"/>
    <s v="Ludhiana-2"/>
    <n v="91500"/>
    <n v="57500"/>
    <n v="35810"/>
    <n v="35"/>
    <x v="0"/>
    <x v="0"/>
  </r>
  <r>
    <s v="10060"/>
    <x v="39"/>
    <x v="2"/>
    <x v="8"/>
    <x v="5"/>
    <n v="141691"/>
    <x v="2"/>
    <s v="Chandigarh-1"/>
    <n v="128700"/>
    <n v="112900"/>
    <n v="28791"/>
    <n v="18"/>
    <x v="3"/>
    <x v="4"/>
  </r>
  <r>
    <s v="10061"/>
    <x v="0"/>
    <x v="3"/>
    <x v="1"/>
    <x v="4"/>
    <n v="44707"/>
    <x v="1"/>
    <s v="Amritsar-1"/>
    <n v="44700"/>
    <n v="37400"/>
    <n v="7307"/>
    <n v="105"/>
    <x v="2"/>
    <x v="2"/>
  </r>
  <r>
    <s v="10062"/>
    <x v="40"/>
    <x v="3"/>
    <x v="11"/>
    <x v="2"/>
    <n v="91537"/>
    <x v="0"/>
    <s v="Amritsar-1"/>
    <n v="82400"/>
    <n v="71200"/>
    <n v="20337"/>
    <n v="95"/>
    <x v="2"/>
    <x v="3"/>
  </r>
  <r>
    <s v="10063"/>
    <x v="41"/>
    <x v="1"/>
    <x v="5"/>
    <x v="5"/>
    <n v="101155"/>
    <x v="0"/>
    <s v="Ludhiana-2"/>
    <n v="117500"/>
    <n v="53200"/>
    <n v="47955"/>
    <n v="5"/>
    <x v="3"/>
    <x v="4"/>
  </r>
  <r>
    <s v="10064"/>
    <x v="25"/>
    <x v="0"/>
    <x v="7"/>
    <x v="3"/>
    <n v="10281"/>
    <x v="2"/>
    <s v="Jalandhar-1"/>
    <n v="10000"/>
    <n v="9100"/>
    <n v="1181"/>
    <n v="105"/>
    <x v="2"/>
    <x v="2"/>
  </r>
  <r>
    <s v="10065"/>
    <x v="22"/>
    <x v="3"/>
    <x v="14"/>
    <x v="5"/>
    <n v="142130"/>
    <x v="3"/>
    <s v="Amritsar-1"/>
    <n v="128500"/>
    <n v="102300"/>
    <n v="39830"/>
    <n v="95"/>
    <x v="2"/>
    <x v="3"/>
  </r>
  <r>
    <s v="10066"/>
    <x v="42"/>
    <x v="2"/>
    <x v="0"/>
    <x v="1"/>
    <n v="86260"/>
    <x v="0"/>
    <s v="Chandigarh-1"/>
    <n v="74100"/>
    <n v="51000"/>
    <n v="35260"/>
    <n v="85"/>
    <x v="1"/>
    <x v="1"/>
  </r>
  <r>
    <s v="10067"/>
    <x v="43"/>
    <x v="3"/>
    <x v="9"/>
    <x v="2"/>
    <n v="74178"/>
    <x v="1"/>
    <s v="Amritsar-1"/>
    <n v="79800"/>
    <n v="49200"/>
    <n v="24978"/>
    <n v="30"/>
    <x v="3"/>
    <x v="0"/>
  </r>
  <r>
    <s v="10068"/>
    <x v="8"/>
    <x v="2"/>
    <x v="11"/>
    <x v="3"/>
    <n v="43997"/>
    <x v="4"/>
    <s v="Chandigarh-1"/>
    <n v="47200"/>
    <n v="20600"/>
    <n v="23397"/>
    <n v="68"/>
    <x v="1"/>
    <x v="1"/>
  </r>
  <r>
    <s v="10069"/>
    <x v="39"/>
    <x v="1"/>
    <x v="12"/>
    <x v="3"/>
    <n v="129273"/>
    <x v="4"/>
    <s v="Ludhiana-1"/>
    <n v="125300"/>
    <n v="66400"/>
    <n v="62873"/>
    <n v="105"/>
    <x v="2"/>
    <x v="2"/>
  </r>
  <r>
    <s v="10070"/>
    <x v="44"/>
    <x v="2"/>
    <x v="3"/>
    <x v="0"/>
    <n v="142311"/>
    <x v="4"/>
    <s v="Chandigarh-1"/>
    <n v="124500"/>
    <n v="118500"/>
    <n v="23811"/>
    <n v="95"/>
    <x v="2"/>
    <x v="3"/>
  </r>
  <r>
    <s v="10071"/>
    <x v="13"/>
    <x v="3"/>
    <x v="12"/>
    <x v="4"/>
    <n v="136945"/>
    <x v="3"/>
    <s v="Amritsar-1"/>
    <n v="136000"/>
    <n v="61600"/>
    <n v="75345"/>
    <n v="75"/>
    <x v="1"/>
    <x v="1"/>
  </r>
  <r>
    <s v="10072"/>
    <x v="18"/>
    <x v="1"/>
    <x v="12"/>
    <x v="0"/>
    <n v="55272"/>
    <x v="2"/>
    <s v="Ludhiana-2"/>
    <n v="53000"/>
    <n v="36400"/>
    <n v="18872"/>
    <n v="25"/>
    <x v="3"/>
    <x v="4"/>
  </r>
  <r>
    <s v="10073"/>
    <x v="45"/>
    <x v="1"/>
    <x v="10"/>
    <x v="3"/>
    <n v="99393"/>
    <x v="1"/>
    <s v="Ludhiana-2"/>
    <n v="108000"/>
    <n v="70700"/>
    <n v="28693"/>
    <n v="45"/>
    <x v="0"/>
    <x v="0"/>
  </r>
  <r>
    <s v="10074"/>
    <x v="30"/>
    <x v="1"/>
    <x v="10"/>
    <x v="2"/>
    <n v="71212"/>
    <x v="3"/>
    <s v="Ludhiana-1"/>
    <n v="75600"/>
    <n v="34000"/>
    <n v="37212"/>
    <n v="35"/>
    <x v="0"/>
    <x v="0"/>
  </r>
  <r>
    <s v="10075"/>
    <x v="33"/>
    <x v="1"/>
    <x v="2"/>
    <x v="5"/>
    <n v="130030"/>
    <x v="1"/>
    <s v="Ludhiana-1"/>
    <n v="127100"/>
    <n v="121800"/>
    <n v="8230"/>
    <n v="68"/>
    <x v="1"/>
    <x v="1"/>
  </r>
  <r>
    <s v="10076"/>
    <x v="22"/>
    <x v="0"/>
    <x v="11"/>
    <x v="5"/>
    <n v="66503"/>
    <x v="1"/>
    <s v="Jalandhar-1"/>
    <n v="61600"/>
    <n v="37400"/>
    <n v="29103"/>
    <n v="45"/>
    <x v="0"/>
    <x v="0"/>
  </r>
  <r>
    <s v="10077"/>
    <x v="38"/>
    <x v="3"/>
    <x v="2"/>
    <x v="2"/>
    <n v="147710"/>
    <x v="2"/>
    <s v="Amritsar-1"/>
    <n v="176600"/>
    <n v="88900"/>
    <n v="58810"/>
    <n v="30"/>
    <x v="3"/>
    <x v="0"/>
  </r>
  <r>
    <s v="10078"/>
    <x v="19"/>
    <x v="2"/>
    <x v="11"/>
    <x v="3"/>
    <n v="16570"/>
    <x v="4"/>
    <s v="Chandigarh-1"/>
    <n v="16700"/>
    <n v="10000"/>
    <n v="6570"/>
    <n v="120"/>
    <x v="2"/>
    <x v="2"/>
  </r>
  <r>
    <s v="10079"/>
    <x v="6"/>
    <x v="1"/>
    <x v="9"/>
    <x v="5"/>
    <n v="78785"/>
    <x v="2"/>
    <s v="Ludhiana-2"/>
    <n v="85900"/>
    <n v="44500"/>
    <n v="34285"/>
    <n v="120"/>
    <x v="2"/>
    <x v="2"/>
  </r>
  <r>
    <s v="10080"/>
    <x v="5"/>
    <x v="2"/>
    <x v="8"/>
    <x v="5"/>
    <n v="19110"/>
    <x v="3"/>
    <s v="Chandigarh-1"/>
    <n v="17200"/>
    <n v="8600"/>
    <n v="10510"/>
    <n v="25"/>
    <x v="3"/>
    <x v="4"/>
  </r>
  <r>
    <s v="10081"/>
    <x v="33"/>
    <x v="2"/>
    <x v="0"/>
    <x v="5"/>
    <n v="89141"/>
    <x v="3"/>
    <s v="Chandigarh-1"/>
    <n v="90900"/>
    <n v="72600"/>
    <n v="16541"/>
    <n v="45"/>
    <x v="0"/>
    <x v="0"/>
  </r>
  <r>
    <s v="10082"/>
    <x v="46"/>
    <x v="1"/>
    <x v="12"/>
    <x v="4"/>
    <n v="22115"/>
    <x v="3"/>
    <s v="Ludhiana-2"/>
    <n v="19000"/>
    <n v="20600"/>
    <n v="1515"/>
    <n v="45"/>
    <x v="0"/>
    <x v="0"/>
  </r>
  <r>
    <s v="10083"/>
    <x v="42"/>
    <x v="2"/>
    <x v="9"/>
    <x v="4"/>
    <n v="49062"/>
    <x v="2"/>
    <s v="Chandigarh-1"/>
    <n v="50400"/>
    <n v="27600"/>
    <n v="21462"/>
    <n v="35"/>
    <x v="0"/>
    <x v="0"/>
  </r>
  <r>
    <s v="10084"/>
    <x v="47"/>
    <x v="2"/>
    <x v="8"/>
    <x v="1"/>
    <n v="32911"/>
    <x v="1"/>
    <s v="Chandigarh-1"/>
    <n v="39100"/>
    <n v="25700"/>
    <n v="7211"/>
    <n v="52"/>
    <x v="0"/>
    <x v="0"/>
  </r>
  <r>
    <s v="10085"/>
    <x v="14"/>
    <x v="3"/>
    <x v="14"/>
    <x v="0"/>
    <n v="114061"/>
    <x v="1"/>
    <s v="Amritsar-1"/>
    <n v="112300"/>
    <n v="93600"/>
    <n v="20461"/>
    <n v="25"/>
    <x v="3"/>
    <x v="4"/>
  </r>
  <r>
    <s v="10086"/>
    <x v="43"/>
    <x v="3"/>
    <x v="6"/>
    <x v="2"/>
    <n v="42556"/>
    <x v="0"/>
    <s v="Amritsar-1"/>
    <n v="36800"/>
    <n v="37200"/>
    <n v="5356"/>
    <n v="68"/>
    <x v="1"/>
    <x v="1"/>
  </r>
  <r>
    <s v="10087"/>
    <x v="15"/>
    <x v="1"/>
    <x v="13"/>
    <x v="2"/>
    <n v="138335"/>
    <x v="3"/>
    <s v="Ludhiana-1"/>
    <n v="119100"/>
    <n v="91500"/>
    <n v="46835"/>
    <n v="30"/>
    <x v="3"/>
    <x v="0"/>
  </r>
  <r>
    <s v="10088"/>
    <x v="41"/>
    <x v="2"/>
    <x v="1"/>
    <x v="2"/>
    <n v="11969"/>
    <x v="1"/>
    <s v="Chandigarh-1"/>
    <n v="11800"/>
    <n v="7200"/>
    <n v="4769"/>
    <n v="25"/>
    <x v="3"/>
    <x v="4"/>
  </r>
  <r>
    <s v="10089"/>
    <x v="18"/>
    <x v="3"/>
    <x v="5"/>
    <x v="1"/>
    <n v="53753"/>
    <x v="0"/>
    <s v="Amritsar-1"/>
    <n v="48700"/>
    <n v="32900"/>
    <n v="20853"/>
    <n v="85"/>
    <x v="1"/>
    <x v="1"/>
  </r>
  <r>
    <s v="10090"/>
    <x v="32"/>
    <x v="2"/>
    <x v="11"/>
    <x v="4"/>
    <n v="145542"/>
    <x v="1"/>
    <s v="Chandigarh-1"/>
    <n v="124900"/>
    <n v="117400"/>
    <n v="28142"/>
    <n v="5"/>
    <x v="3"/>
    <x v="4"/>
  </r>
  <r>
    <s v="10091"/>
    <x v="48"/>
    <x v="0"/>
    <x v="14"/>
    <x v="3"/>
    <n v="131863"/>
    <x v="3"/>
    <s v="Jalandhar-1"/>
    <n v="147000"/>
    <n v="113200"/>
    <n v="18663"/>
    <n v="85"/>
    <x v="1"/>
    <x v="1"/>
  </r>
  <r>
    <s v="10092"/>
    <x v="49"/>
    <x v="3"/>
    <x v="6"/>
    <x v="3"/>
    <n v="20225"/>
    <x v="4"/>
    <s v="Amritsar-1"/>
    <n v="20400"/>
    <n v="10900"/>
    <n v="9325"/>
    <n v="52"/>
    <x v="0"/>
    <x v="0"/>
  </r>
  <r>
    <s v="10093"/>
    <x v="29"/>
    <x v="1"/>
    <x v="3"/>
    <x v="1"/>
    <n v="133008"/>
    <x v="3"/>
    <s v="Ludhiana-1"/>
    <n v="126500"/>
    <n v="84500"/>
    <n v="48508"/>
    <n v="5"/>
    <x v="3"/>
    <x v="4"/>
  </r>
  <r>
    <s v="10094"/>
    <x v="41"/>
    <x v="1"/>
    <x v="4"/>
    <x v="3"/>
    <n v="115823"/>
    <x v="2"/>
    <s v="Ludhiana-1"/>
    <n v="134900"/>
    <n v="104400"/>
    <n v="11423"/>
    <n v="30"/>
    <x v="3"/>
    <x v="0"/>
  </r>
  <r>
    <s v="10095"/>
    <x v="49"/>
    <x v="3"/>
    <x v="0"/>
    <x v="2"/>
    <n v="23669"/>
    <x v="1"/>
    <s v="Amritsar-1"/>
    <n v="21100"/>
    <n v="20200"/>
    <n v="3469"/>
    <n v="120"/>
    <x v="2"/>
    <x v="2"/>
  </r>
  <r>
    <s v="10096"/>
    <x v="2"/>
    <x v="1"/>
    <x v="5"/>
    <x v="0"/>
    <n v="134398"/>
    <x v="1"/>
    <s v="Ludhiana-2"/>
    <n v="159200"/>
    <n v="126700"/>
    <n v="7698"/>
    <n v="35"/>
    <x v="0"/>
    <x v="0"/>
  </r>
  <r>
    <s v="10097"/>
    <x v="40"/>
    <x v="2"/>
    <x v="2"/>
    <x v="5"/>
    <n v="120677"/>
    <x v="2"/>
    <s v="Chandigarh-1"/>
    <n v="115800"/>
    <n v="99800"/>
    <n v="20877"/>
    <n v="35"/>
    <x v="0"/>
    <x v="0"/>
  </r>
  <r>
    <s v="10098"/>
    <x v="44"/>
    <x v="0"/>
    <x v="2"/>
    <x v="4"/>
    <n v="58320"/>
    <x v="2"/>
    <s v="Jalandhar-1"/>
    <n v="67700"/>
    <n v="37700"/>
    <n v="20620"/>
    <n v="95"/>
    <x v="2"/>
    <x v="3"/>
  </r>
  <r>
    <s v="10099"/>
    <x v="19"/>
    <x v="2"/>
    <x v="8"/>
    <x v="4"/>
    <n v="135354"/>
    <x v="4"/>
    <s v="Chandigarh-1"/>
    <n v="143600"/>
    <n v="100900"/>
    <n v="34454"/>
    <n v="30"/>
    <x v="3"/>
    <x v="0"/>
  </r>
  <r>
    <s v="10100"/>
    <x v="50"/>
    <x v="2"/>
    <x v="5"/>
    <x v="1"/>
    <n v="98009"/>
    <x v="1"/>
    <s v="Chandigarh-1"/>
    <n v="111700"/>
    <n v="76500"/>
    <n v="21509"/>
    <n v="18"/>
    <x v="3"/>
    <x v="4"/>
  </r>
  <r>
    <s v="10101"/>
    <x v="51"/>
    <x v="3"/>
    <x v="10"/>
    <x v="4"/>
    <n v="38625"/>
    <x v="1"/>
    <s v="Amritsar-1"/>
    <n v="46100"/>
    <n v="18900"/>
    <n v="19725"/>
    <n v="120"/>
    <x v="2"/>
    <x v="2"/>
  </r>
  <r>
    <s v="10102"/>
    <x v="32"/>
    <x v="2"/>
    <x v="6"/>
    <x v="2"/>
    <n v="34089"/>
    <x v="4"/>
    <s v="Chandigarh-1"/>
    <n v="32400"/>
    <n v="24600"/>
    <n v="9489"/>
    <n v="30"/>
    <x v="3"/>
    <x v="0"/>
  </r>
  <r>
    <s v="10103"/>
    <x v="14"/>
    <x v="2"/>
    <x v="4"/>
    <x v="3"/>
    <n v="46487"/>
    <x v="0"/>
    <s v="Chandigarh-1"/>
    <n v="55200"/>
    <n v="37400"/>
    <n v="9087"/>
    <n v="85"/>
    <x v="1"/>
    <x v="1"/>
  </r>
  <r>
    <s v="10104"/>
    <x v="42"/>
    <x v="0"/>
    <x v="14"/>
    <x v="2"/>
    <n v="120448"/>
    <x v="4"/>
    <s v="Jalandhar-1"/>
    <n v="118800"/>
    <n v="64300"/>
    <n v="56148"/>
    <n v="52"/>
    <x v="0"/>
    <x v="0"/>
  </r>
  <r>
    <s v="10105"/>
    <x v="52"/>
    <x v="2"/>
    <x v="0"/>
    <x v="1"/>
    <n v="60138"/>
    <x v="3"/>
    <s v="Chandigarh-1"/>
    <n v="59200"/>
    <n v="50500"/>
    <n v="9638"/>
    <n v="105"/>
    <x v="2"/>
    <x v="2"/>
  </r>
  <r>
    <s v="10106"/>
    <x v="53"/>
    <x v="0"/>
    <x v="9"/>
    <x v="2"/>
    <n v="64061"/>
    <x v="1"/>
    <s v="Jalandhar-1"/>
    <n v="62100"/>
    <n v="47500"/>
    <n v="16561"/>
    <n v="12"/>
    <x v="3"/>
    <x v="4"/>
  </r>
  <r>
    <s v="10107"/>
    <x v="3"/>
    <x v="0"/>
    <x v="6"/>
    <x v="3"/>
    <n v="111376"/>
    <x v="2"/>
    <s v="Jalandhar-1"/>
    <n v="115800"/>
    <n v="103100"/>
    <n v="8276"/>
    <n v="35"/>
    <x v="0"/>
    <x v="0"/>
  </r>
  <r>
    <s v="10108"/>
    <x v="5"/>
    <x v="1"/>
    <x v="4"/>
    <x v="0"/>
    <n v="89134"/>
    <x v="3"/>
    <s v="Ludhiana-1"/>
    <n v="80600"/>
    <n v="42000"/>
    <n v="47134"/>
    <n v="60"/>
    <x v="0"/>
    <x v="0"/>
  </r>
  <r>
    <s v="10109"/>
    <x v="42"/>
    <x v="1"/>
    <x v="13"/>
    <x v="1"/>
    <n v="57055"/>
    <x v="1"/>
    <s v="Ludhiana-1"/>
    <n v="59600"/>
    <n v="33200"/>
    <n v="23855"/>
    <n v="52"/>
    <x v="0"/>
    <x v="0"/>
  </r>
  <r>
    <s v="10110"/>
    <x v="10"/>
    <x v="1"/>
    <x v="11"/>
    <x v="0"/>
    <n v="29508"/>
    <x v="4"/>
    <s v="Ludhiana-2"/>
    <n v="30700"/>
    <n v="22200"/>
    <n v="7308"/>
    <n v="105"/>
    <x v="2"/>
    <x v="2"/>
  </r>
  <r>
    <s v="10111"/>
    <x v="22"/>
    <x v="1"/>
    <x v="9"/>
    <x v="5"/>
    <n v="120169"/>
    <x v="3"/>
    <s v="Ludhiana-2"/>
    <n v="134200"/>
    <n v="71900"/>
    <n v="48269"/>
    <n v="75"/>
    <x v="1"/>
    <x v="1"/>
  </r>
  <r>
    <s v="10112"/>
    <x v="36"/>
    <x v="1"/>
    <x v="2"/>
    <x v="0"/>
    <n v="18125"/>
    <x v="1"/>
    <s v="Ludhiana-2"/>
    <n v="20700"/>
    <n v="14600"/>
    <n v="3525"/>
    <n v="52"/>
    <x v="0"/>
    <x v="0"/>
  </r>
  <r>
    <s v="10113"/>
    <x v="32"/>
    <x v="3"/>
    <x v="9"/>
    <x v="5"/>
    <n v="46059"/>
    <x v="0"/>
    <s v="Amritsar-1"/>
    <n v="46300"/>
    <n v="38200"/>
    <n v="7859"/>
    <n v="52"/>
    <x v="0"/>
    <x v="0"/>
  </r>
  <r>
    <s v="10114"/>
    <x v="15"/>
    <x v="1"/>
    <x v="14"/>
    <x v="5"/>
    <n v="113409"/>
    <x v="0"/>
    <s v="Ludhiana-2"/>
    <n v="108400"/>
    <n v="56800"/>
    <n v="56609"/>
    <n v="120"/>
    <x v="2"/>
    <x v="2"/>
  </r>
  <r>
    <s v="10115"/>
    <x v="7"/>
    <x v="1"/>
    <x v="2"/>
    <x v="0"/>
    <n v="15704"/>
    <x v="2"/>
    <s v="Ludhiana-2"/>
    <n v="14800"/>
    <n v="11100"/>
    <n v="4604"/>
    <n v="95"/>
    <x v="2"/>
    <x v="3"/>
  </r>
  <r>
    <s v="10116"/>
    <x v="31"/>
    <x v="0"/>
    <x v="14"/>
    <x v="1"/>
    <n v="121279"/>
    <x v="1"/>
    <s v="Jalandhar-1"/>
    <n v="111300"/>
    <n v="85400"/>
    <n v="35879"/>
    <n v="45"/>
    <x v="0"/>
    <x v="0"/>
  </r>
  <r>
    <s v="10117"/>
    <x v="54"/>
    <x v="1"/>
    <x v="8"/>
    <x v="3"/>
    <n v="128516"/>
    <x v="0"/>
    <s v="Ludhiana-1"/>
    <n v="111800"/>
    <n v="81600"/>
    <n v="46916"/>
    <n v="52"/>
    <x v="0"/>
    <x v="0"/>
  </r>
  <r>
    <s v="10118"/>
    <x v="40"/>
    <x v="0"/>
    <x v="10"/>
    <x v="2"/>
    <n v="124044"/>
    <x v="4"/>
    <s v="Jalandhar-1"/>
    <n v="120300"/>
    <n v="113700"/>
    <n v="10344"/>
    <n v="95"/>
    <x v="2"/>
    <x v="3"/>
  </r>
  <r>
    <s v="10119"/>
    <x v="33"/>
    <x v="1"/>
    <x v="7"/>
    <x v="2"/>
    <n v="39165"/>
    <x v="1"/>
    <s v="Ludhiana-1"/>
    <n v="37000"/>
    <n v="33800"/>
    <n v="5365"/>
    <n v="35"/>
    <x v="0"/>
    <x v="0"/>
  </r>
  <r>
    <s v="10120"/>
    <x v="13"/>
    <x v="1"/>
    <x v="2"/>
    <x v="3"/>
    <n v="77203"/>
    <x v="4"/>
    <s v="Ludhiana-2"/>
    <n v="91700"/>
    <n v="61700"/>
    <n v="15503"/>
    <n v="12"/>
    <x v="3"/>
    <x v="4"/>
  </r>
  <r>
    <s v="10121"/>
    <x v="12"/>
    <x v="3"/>
    <x v="8"/>
    <x v="5"/>
    <n v="14114"/>
    <x v="4"/>
    <s v="Amritsar-1"/>
    <n v="14800"/>
    <n v="11400"/>
    <n v="2714"/>
    <n v="12"/>
    <x v="3"/>
    <x v="4"/>
  </r>
  <r>
    <s v="10122"/>
    <x v="44"/>
    <x v="3"/>
    <x v="14"/>
    <x v="5"/>
    <n v="46321"/>
    <x v="0"/>
    <s v="Amritsar-1"/>
    <n v="45000"/>
    <n v="31500"/>
    <n v="14821"/>
    <n v="52"/>
    <x v="0"/>
    <x v="0"/>
  </r>
  <r>
    <s v="10123"/>
    <x v="25"/>
    <x v="0"/>
    <x v="13"/>
    <x v="1"/>
    <n v="83297"/>
    <x v="1"/>
    <s v="Jalandhar-1"/>
    <n v="87700"/>
    <n v="75800"/>
    <n v="7497"/>
    <n v="75"/>
    <x v="1"/>
    <x v="1"/>
  </r>
  <r>
    <s v="10124"/>
    <x v="22"/>
    <x v="3"/>
    <x v="9"/>
    <x v="4"/>
    <n v="106652"/>
    <x v="3"/>
    <s v="Amritsar-1"/>
    <n v="95900"/>
    <n v="85000"/>
    <n v="21652"/>
    <n v="5"/>
    <x v="3"/>
    <x v="4"/>
  </r>
  <r>
    <s v="10125"/>
    <x v="22"/>
    <x v="0"/>
    <x v="10"/>
    <x v="0"/>
    <n v="109304"/>
    <x v="0"/>
    <s v="Jalandhar-1"/>
    <n v="109900"/>
    <n v="89000"/>
    <n v="20304"/>
    <n v="35"/>
    <x v="0"/>
    <x v="0"/>
  </r>
  <r>
    <s v="10126"/>
    <x v="22"/>
    <x v="1"/>
    <x v="14"/>
    <x v="5"/>
    <n v="27772"/>
    <x v="0"/>
    <s v="Ludhiana-2"/>
    <n v="29700"/>
    <n v="24500"/>
    <n v="3272"/>
    <n v="95"/>
    <x v="2"/>
    <x v="3"/>
  </r>
  <r>
    <s v="10127"/>
    <x v="54"/>
    <x v="1"/>
    <x v="8"/>
    <x v="2"/>
    <n v="113754"/>
    <x v="1"/>
    <s v="Ludhiana-2"/>
    <n v="116200"/>
    <n v="66800"/>
    <n v="46954"/>
    <n v="35"/>
    <x v="0"/>
    <x v="0"/>
  </r>
  <r>
    <s v="10128"/>
    <x v="55"/>
    <x v="3"/>
    <x v="3"/>
    <x v="1"/>
    <n v="13712"/>
    <x v="1"/>
    <s v="Amritsar-1"/>
    <n v="13600"/>
    <n v="11700"/>
    <n v="2012"/>
    <n v="75"/>
    <x v="1"/>
    <x v="1"/>
  </r>
  <r>
    <s v="10129"/>
    <x v="2"/>
    <x v="0"/>
    <x v="6"/>
    <x v="0"/>
    <n v="142439"/>
    <x v="4"/>
    <s v="Jalandhar-1"/>
    <n v="170600"/>
    <n v="78000"/>
    <n v="64439"/>
    <n v="25"/>
    <x v="3"/>
    <x v="4"/>
  </r>
  <r>
    <s v="10130"/>
    <x v="3"/>
    <x v="0"/>
    <x v="7"/>
    <x v="1"/>
    <n v="125142"/>
    <x v="1"/>
    <s v="Jalandhar-1"/>
    <n v="144900"/>
    <n v="77900"/>
    <n v="47242"/>
    <n v="85"/>
    <x v="1"/>
    <x v="1"/>
  </r>
  <r>
    <s v="10131"/>
    <x v="54"/>
    <x v="2"/>
    <x v="4"/>
    <x v="0"/>
    <n v="101736"/>
    <x v="4"/>
    <s v="Chandigarh-1"/>
    <n v="108700"/>
    <n v="62900"/>
    <n v="38836"/>
    <n v="75"/>
    <x v="1"/>
    <x v="1"/>
  </r>
  <r>
    <s v="10132"/>
    <x v="56"/>
    <x v="2"/>
    <x v="7"/>
    <x v="0"/>
    <n v="61924"/>
    <x v="0"/>
    <s v="Chandigarh-1"/>
    <n v="65000"/>
    <n v="58200"/>
    <n v="3724"/>
    <n v="95"/>
    <x v="2"/>
    <x v="3"/>
  </r>
  <r>
    <s v="10133"/>
    <x v="25"/>
    <x v="3"/>
    <x v="3"/>
    <x v="3"/>
    <n v="13726"/>
    <x v="2"/>
    <s v="Amritsar-1"/>
    <n v="14600"/>
    <n v="12100"/>
    <n v="1626"/>
    <n v="120"/>
    <x v="2"/>
    <x v="2"/>
  </r>
  <r>
    <s v="10134"/>
    <x v="38"/>
    <x v="2"/>
    <x v="7"/>
    <x v="5"/>
    <n v="99152"/>
    <x v="3"/>
    <s v="Chandigarh-1"/>
    <n v="91300"/>
    <n v="79400"/>
    <n v="19752"/>
    <n v="75"/>
    <x v="1"/>
    <x v="1"/>
  </r>
  <r>
    <s v="10135"/>
    <x v="39"/>
    <x v="0"/>
    <x v="3"/>
    <x v="1"/>
    <n v="37723"/>
    <x v="0"/>
    <s v="Jalandhar-1"/>
    <n v="37300"/>
    <n v="30700"/>
    <n v="7023"/>
    <n v="95"/>
    <x v="2"/>
    <x v="3"/>
  </r>
  <r>
    <s v="10136"/>
    <x v="12"/>
    <x v="0"/>
    <x v="0"/>
    <x v="1"/>
    <n v="136969"/>
    <x v="1"/>
    <s v="Jalandhar-1"/>
    <n v="118300"/>
    <n v="100100"/>
    <n v="36869"/>
    <n v="68"/>
    <x v="1"/>
    <x v="1"/>
  </r>
  <r>
    <s v="10137"/>
    <x v="56"/>
    <x v="2"/>
    <x v="3"/>
    <x v="3"/>
    <n v="110494"/>
    <x v="3"/>
    <s v="Chandigarh-1"/>
    <n v="112300"/>
    <n v="102000"/>
    <n v="8494"/>
    <n v="18"/>
    <x v="3"/>
    <x v="4"/>
  </r>
  <r>
    <s v="10138"/>
    <x v="19"/>
    <x v="3"/>
    <x v="3"/>
    <x v="2"/>
    <n v="45643"/>
    <x v="2"/>
    <s v="Amritsar-1"/>
    <n v="47500"/>
    <n v="31900"/>
    <n v="13743"/>
    <n v="95"/>
    <x v="2"/>
    <x v="3"/>
  </r>
  <r>
    <s v="10139"/>
    <x v="5"/>
    <x v="3"/>
    <x v="12"/>
    <x v="2"/>
    <n v="113896"/>
    <x v="2"/>
    <s v="Amritsar-1"/>
    <n v="105900"/>
    <n v="72900"/>
    <n v="40996"/>
    <n v="75"/>
    <x v="1"/>
    <x v="1"/>
  </r>
  <r>
    <s v="10140"/>
    <x v="12"/>
    <x v="1"/>
    <x v="3"/>
    <x v="5"/>
    <n v="149999"/>
    <x v="4"/>
    <s v="Ludhiana-2"/>
    <n v="178100"/>
    <n v="79700"/>
    <n v="70299"/>
    <n v="18"/>
    <x v="3"/>
    <x v="4"/>
  </r>
  <r>
    <s v="10141"/>
    <x v="11"/>
    <x v="0"/>
    <x v="13"/>
    <x v="5"/>
    <n v="103680"/>
    <x v="3"/>
    <s v="Jalandhar-1"/>
    <n v="121100"/>
    <n v="87400"/>
    <n v="16280"/>
    <n v="120"/>
    <x v="2"/>
    <x v="2"/>
  </r>
  <r>
    <s v="10142"/>
    <x v="34"/>
    <x v="2"/>
    <x v="6"/>
    <x v="4"/>
    <n v="106546"/>
    <x v="4"/>
    <s v="Chandigarh-1"/>
    <n v="117500"/>
    <n v="87100"/>
    <n v="19446"/>
    <n v="120"/>
    <x v="2"/>
    <x v="2"/>
  </r>
  <r>
    <s v="10143"/>
    <x v="47"/>
    <x v="0"/>
    <x v="11"/>
    <x v="3"/>
    <n v="89973"/>
    <x v="0"/>
    <s v="Jalandhar-1"/>
    <n v="93300"/>
    <n v="57800"/>
    <n v="32173"/>
    <n v="95"/>
    <x v="2"/>
    <x v="3"/>
  </r>
  <r>
    <s v="10144"/>
    <x v="5"/>
    <x v="2"/>
    <x v="14"/>
    <x v="2"/>
    <n v="73449"/>
    <x v="3"/>
    <s v="Chandigarh-1"/>
    <n v="84800"/>
    <n v="34000"/>
    <n v="39449"/>
    <n v="95"/>
    <x v="2"/>
    <x v="3"/>
  </r>
  <r>
    <s v="10145"/>
    <x v="46"/>
    <x v="0"/>
    <x v="4"/>
    <x v="0"/>
    <n v="119834"/>
    <x v="0"/>
    <s v="Jalandhar-1"/>
    <n v="107300"/>
    <n v="104200"/>
    <n v="15634"/>
    <n v="5"/>
    <x v="3"/>
    <x v="4"/>
  </r>
  <r>
    <s v="10146"/>
    <x v="46"/>
    <x v="2"/>
    <x v="10"/>
    <x v="1"/>
    <n v="35537"/>
    <x v="4"/>
    <s v="Chandigarh-1"/>
    <n v="40000"/>
    <n v="16200"/>
    <n v="19337"/>
    <n v="18"/>
    <x v="3"/>
    <x v="4"/>
  </r>
  <r>
    <s v="10147"/>
    <x v="23"/>
    <x v="1"/>
    <x v="6"/>
    <x v="5"/>
    <n v="87576"/>
    <x v="3"/>
    <s v="Ludhiana-2"/>
    <n v="78300"/>
    <n v="70200"/>
    <n v="17376"/>
    <n v="25"/>
    <x v="3"/>
    <x v="4"/>
  </r>
  <r>
    <s v="10148"/>
    <x v="28"/>
    <x v="0"/>
    <x v="2"/>
    <x v="1"/>
    <n v="117522"/>
    <x v="4"/>
    <s v="Jalandhar-1"/>
    <n v="132600"/>
    <n v="109900"/>
    <n v="7622"/>
    <n v="75"/>
    <x v="1"/>
    <x v="1"/>
  </r>
  <r>
    <s v="10149"/>
    <x v="57"/>
    <x v="1"/>
    <x v="11"/>
    <x v="1"/>
    <n v="32612"/>
    <x v="3"/>
    <s v="Ludhiana-1"/>
    <n v="30900"/>
    <n v="21800"/>
    <n v="10812"/>
    <n v="75"/>
    <x v="1"/>
    <x v="1"/>
  </r>
  <r>
    <s v="10150"/>
    <x v="29"/>
    <x v="1"/>
    <x v="0"/>
    <x v="4"/>
    <n v="16471"/>
    <x v="4"/>
    <s v="Ludhiana-1"/>
    <n v="19100"/>
    <n v="9300"/>
    <n v="7171"/>
    <n v="30"/>
    <x v="3"/>
    <x v="0"/>
  </r>
  <r>
    <s v="10151"/>
    <x v="0"/>
    <x v="0"/>
    <x v="0"/>
    <x v="2"/>
    <n v="41348"/>
    <x v="2"/>
    <s v="Jalandhar-1"/>
    <n v="48800"/>
    <n v="33200"/>
    <n v="8148"/>
    <n v="18"/>
    <x v="3"/>
    <x v="4"/>
  </r>
  <r>
    <s v="10152"/>
    <x v="8"/>
    <x v="0"/>
    <x v="1"/>
    <x v="5"/>
    <n v="11177"/>
    <x v="4"/>
    <s v="Jalandhar-1"/>
    <n v="10100"/>
    <n v="9600"/>
    <n v="1577"/>
    <n v="35"/>
    <x v="0"/>
    <x v="0"/>
  </r>
  <r>
    <s v="10153"/>
    <x v="55"/>
    <x v="2"/>
    <x v="9"/>
    <x v="1"/>
    <n v="145832"/>
    <x v="2"/>
    <s v="Chandigarh-1"/>
    <n v="147600"/>
    <n v="105500"/>
    <n v="40332"/>
    <n v="75"/>
    <x v="1"/>
    <x v="1"/>
  </r>
  <r>
    <s v="10154"/>
    <x v="30"/>
    <x v="3"/>
    <x v="3"/>
    <x v="5"/>
    <n v="42779"/>
    <x v="4"/>
    <s v="Amritsar-1"/>
    <n v="51100"/>
    <n v="39900"/>
    <n v="2879"/>
    <n v="105"/>
    <x v="2"/>
    <x v="2"/>
  </r>
  <r>
    <s v="10155"/>
    <x v="38"/>
    <x v="2"/>
    <x v="6"/>
    <x v="0"/>
    <n v="31636"/>
    <x v="3"/>
    <s v="Chandigarh-1"/>
    <n v="32200"/>
    <n v="15100"/>
    <n v="16536"/>
    <n v="120"/>
    <x v="2"/>
    <x v="2"/>
  </r>
  <r>
    <s v="10156"/>
    <x v="39"/>
    <x v="1"/>
    <x v="8"/>
    <x v="4"/>
    <n v="91889"/>
    <x v="3"/>
    <s v="Ludhiana-1"/>
    <n v="105900"/>
    <n v="64500"/>
    <n v="27389"/>
    <n v="85"/>
    <x v="1"/>
    <x v="1"/>
  </r>
  <r>
    <s v="10157"/>
    <x v="5"/>
    <x v="2"/>
    <x v="12"/>
    <x v="0"/>
    <n v="63551"/>
    <x v="3"/>
    <s v="Chandigarh-1"/>
    <n v="67100"/>
    <n v="51400"/>
    <n v="12151"/>
    <n v="30"/>
    <x v="3"/>
    <x v="0"/>
  </r>
  <r>
    <s v="10158"/>
    <x v="24"/>
    <x v="3"/>
    <x v="7"/>
    <x v="5"/>
    <n v="56819"/>
    <x v="1"/>
    <s v="Amritsar-1"/>
    <n v="55800"/>
    <n v="50100"/>
    <n v="6719"/>
    <n v="18"/>
    <x v="3"/>
    <x v="4"/>
  </r>
  <r>
    <s v="10159"/>
    <x v="50"/>
    <x v="3"/>
    <x v="2"/>
    <x v="5"/>
    <n v="83770"/>
    <x v="0"/>
    <s v="Amritsar-1"/>
    <n v="79600"/>
    <n v="45200"/>
    <n v="38570"/>
    <n v="35"/>
    <x v="0"/>
    <x v="0"/>
  </r>
  <r>
    <s v="10160"/>
    <x v="23"/>
    <x v="3"/>
    <x v="0"/>
    <x v="2"/>
    <n v="88714"/>
    <x v="3"/>
    <s v="Amritsar-1"/>
    <n v="81700"/>
    <n v="75400"/>
    <n v="13314"/>
    <n v="35"/>
    <x v="0"/>
    <x v="0"/>
  </r>
  <r>
    <s v="10161"/>
    <x v="53"/>
    <x v="3"/>
    <x v="4"/>
    <x v="1"/>
    <n v="34596"/>
    <x v="2"/>
    <s v="Amritsar-1"/>
    <n v="38600"/>
    <n v="25100"/>
    <n v="9496"/>
    <n v="120"/>
    <x v="2"/>
    <x v="2"/>
  </r>
  <r>
    <s v="10162"/>
    <x v="35"/>
    <x v="1"/>
    <x v="0"/>
    <x v="1"/>
    <n v="74106"/>
    <x v="3"/>
    <s v="Ludhiana-1"/>
    <n v="73000"/>
    <n v="48000"/>
    <n v="26106"/>
    <n v="105"/>
    <x v="2"/>
    <x v="2"/>
  </r>
  <r>
    <s v="10163"/>
    <x v="10"/>
    <x v="2"/>
    <x v="10"/>
    <x v="0"/>
    <n v="69182"/>
    <x v="1"/>
    <s v="Chandigarh-1"/>
    <n v="71200"/>
    <n v="35700"/>
    <n v="33482"/>
    <n v="52"/>
    <x v="0"/>
    <x v="0"/>
  </r>
  <r>
    <s v="10164"/>
    <x v="32"/>
    <x v="1"/>
    <x v="14"/>
    <x v="4"/>
    <n v="97163"/>
    <x v="2"/>
    <s v="Ludhiana-2"/>
    <n v="99300"/>
    <n v="85800"/>
    <n v="11363"/>
    <n v="12"/>
    <x v="3"/>
    <x v="4"/>
  </r>
  <r>
    <s v="10165"/>
    <x v="12"/>
    <x v="2"/>
    <x v="0"/>
    <x v="3"/>
    <n v="49310"/>
    <x v="1"/>
    <s v="Chandigarh-1"/>
    <n v="51900"/>
    <n v="26100"/>
    <n v="23210"/>
    <n v="5"/>
    <x v="3"/>
    <x v="4"/>
  </r>
  <r>
    <s v="10166"/>
    <x v="37"/>
    <x v="2"/>
    <x v="10"/>
    <x v="1"/>
    <n v="66088"/>
    <x v="2"/>
    <s v="Chandigarh-1"/>
    <n v="76200"/>
    <n v="40000"/>
    <n v="26088"/>
    <n v="25"/>
    <x v="3"/>
    <x v="4"/>
  </r>
  <r>
    <s v="10167"/>
    <x v="46"/>
    <x v="0"/>
    <x v="6"/>
    <x v="2"/>
    <n v="138803"/>
    <x v="4"/>
    <s v="Jalandhar-1"/>
    <n v="165600"/>
    <n v="82600"/>
    <n v="56203"/>
    <n v="45"/>
    <x v="0"/>
    <x v="0"/>
  </r>
  <r>
    <s v="10168"/>
    <x v="19"/>
    <x v="2"/>
    <x v="6"/>
    <x v="0"/>
    <n v="149978"/>
    <x v="0"/>
    <s v="Chandigarh-1"/>
    <n v="148900"/>
    <n v="132800"/>
    <n v="17178"/>
    <n v="120"/>
    <x v="2"/>
    <x v="2"/>
  </r>
  <r>
    <s v="10169"/>
    <x v="15"/>
    <x v="1"/>
    <x v="12"/>
    <x v="0"/>
    <n v="46914"/>
    <x v="0"/>
    <s v="Ludhiana-1"/>
    <n v="53500"/>
    <n v="36900"/>
    <n v="10014"/>
    <n v="75"/>
    <x v="1"/>
    <x v="1"/>
  </r>
  <r>
    <s v="10170"/>
    <x v="17"/>
    <x v="1"/>
    <x v="9"/>
    <x v="3"/>
    <n v="120350"/>
    <x v="1"/>
    <s v="Ludhiana-2"/>
    <n v="134500"/>
    <n v="102100"/>
    <n v="18250"/>
    <n v="68"/>
    <x v="1"/>
    <x v="1"/>
  </r>
  <r>
    <s v="10171"/>
    <x v="27"/>
    <x v="3"/>
    <x v="1"/>
    <x v="2"/>
    <n v="55379"/>
    <x v="0"/>
    <s v="Amritsar-1"/>
    <n v="58200"/>
    <n v="31900"/>
    <n v="23479"/>
    <n v="18"/>
    <x v="3"/>
    <x v="4"/>
  </r>
  <r>
    <s v="10172"/>
    <x v="46"/>
    <x v="3"/>
    <x v="11"/>
    <x v="4"/>
    <n v="56413"/>
    <x v="1"/>
    <s v="Amritsar-1"/>
    <n v="66800"/>
    <n v="43000"/>
    <n v="13413"/>
    <n v="18"/>
    <x v="3"/>
    <x v="4"/>
  </r>
  <r>
    <s v="10173"/>
    <x v="56"/>
    <x v="1"/>
    <x v="0"/>
    <x v="2"/>
    <n v="147084"/>
    <x v="1"/>
    <s v="Ludhiana-2"/>
    <n v="135300"/>
    <n v="108200"/>
    <n v="38884"/>
    <n v="30"/>
    <x v="3"/>
    <x v="0"/>
  </r>
  <r>
    <s v="10174"/>
    <x v="46"/>
    <x v="1"/>
    <x v="4"/>
    <x v="4"/>
    <n v="17151"/>
    <x v="1"/>
    <s v="Ludhiana-2"/>
    <n v="15200"/>
    <n v="14900"/>
    <n v="2251"/>
    <n v="30"/>
    <x v="3"/>
    <x v="0"/>
  </r>
  <r>
    <s v="10175"/>
    <x v="37"/>
    <x v="3"/>
    <x v="0"/>
    <x v="2"/>
    <n v="67716"/>
    <x v="0"/>
    <s v="Amritsar-1"/>
    <n v="77800"/>
    <n v="61200"/>
    <n v="6516"/>
    <n v="95"/>
    <x v="2"/>
    <x v="3"/>
  </r>
  <r>
    <s v="10176"/>
    <x v="33"/>
    <x v="1"/>
    <x v="1"/>
    <x v="2"/>
    <n v="103747"/>
    <x v="1"/>
    <s v="Ludhiana-1"/>
    <n v="104100"/>
    <n v="47300"/>
    <n v="56447"/>
    <n v="68"/>
    <x v="1"/>
    <x v="1"/>
  </r>
  <r>
    <s v="10177"/>
    <x v="42"/>
    <x v="0"/>
    <x v="5"/>
    <x v="5"/>
    <n v="131999"/>
    <x v="0"/>
    <s v="Jalandhar-1"/>
    <n v="151300"/>
    <n v="103900"/>
    <n v="28099"/>
    <n v="18"/>
    <x v="3"/>
    <x v="4"/>
  </r>
  <r>
    <s v="10178"/>
    <x v="16"/>
    <x v="3"/>
    <x v="4"/>
    <x v="0"/>
    <n v="124793"/>
    <x v="1"/>
    <s v="Amritsar-1"/>
    <n v="145100"/>
    <n v="59400"/>
    <n v="65393"/>
    <n v="60"/>
    <x v="0"/>
    <x v="0"/>
  </r>
  <r>
    <s v="10179"/>
    <x v="56"/>
    <x v="1"/>
    <x v="13"/>
    <x v="2"/>
    <n v="118177"/>
    <x v="3"/>
    <s v="Ludhiana-2"/>
    <n v="103000"/>
    <n v="85600"/>
    <n v="32577"/>
    <n v="25"/>
    <x v="3"/>
    <x v="4"/>
  </r>
  <r>
    <s v="10180"/>
    <x v="57"/>
    <x v="1"/>
    <x v="3"/>
    <x v="3"/>
    <n v="22289"/>
    <x v="1"/>
    <s v="Ludhiana-1"/>
    <n v="25800"/>
    <n v="13200"/>
    <n v="9089"/>
    <n v="95"/>
    <x v="2"/>
    <x v="3"/>
  </r>
  <r>
    <s v="10181"/>
    <x v="44"/>
    <x v="0"/>
    <x v="11"/>
    <x v="2"/>
    <n v="96365"/>
    <x v="2"/>
    <s v="Jalandhar-1"/>
    <n v="97000"/>
    <n v="58100"/>
    <n v="38265"/>
    <n v="95"/>
    <x v="2"/>
    <x v="3"/>
  </r>
  <r>
    <s v="10182"/>
    <x v="35"/>
    <x v="2"/>
    <x v="13"/>
    <x v="1"/>
    <n v="124014"/>
    <x v="1"/>
    <s v="Chandigarh-1"/>
    <n v="127600"/>
    <n v="77700"/>
    <n v="46314"/>
    <n v="120"/>
    <x v="2"/>
    <x v="2"/>
  </r>
  <r>
    <s v="10183"/>
    <x v="42"/>
    <x v="2"/>
    <x v="5"/>
    <x v="0"/>
    <n v="82588"/>
    <x v="4"/>
    <s v="Chandigarh-1"/>
    <n v="88300"/>
    <n v="62800"/>
    <n v="19788"/>
    <n v="18"/>
    <x v="3"/>
    <x v="4"/>
  </r>
  <r>
    <s v="10184"/>
    <x v="0"/>
    <x v="0"/>
    <x v="5"/>
    <x v="1"/>
    <n v="73646"/>
    <x v="1"/>
    <s v="Jalandhar-1"/>
    <n v="86500"/>
    <n v="45400"/>
    <n v="28246"/>
    <n v="75"/>
    <x v="1"/>
    <x v="1"/>
  </r>
  <r>
    <s v="10185"/>
    <x v="27"/>
    <x v="0"/>
    <x v="1"/>
    <x v="0"/>
    <n v="13654"/>
    <x v="2"/>
    <s v="Jalandhar-1"/>
    <n v="11700"/>
    <n v="11100"/>
    <n v="2554"/>
    <n v="12"/>
    <x v="3"/>
    <x v="4"/>
  </r>
  <r>
    <s v="10186"/>
    <x v="39"/>
    <x v="0"/>
    <x v="0"/>
    <x v="1"/>
    <n v="28743"/>
    <x v="2"/>
    <s v="Jalandhar-1"/>
    <n v="29200"/>
    <n v="18700"/>
    <n v="10043"/>
    <n v="68"/>
    <x v="1"/>
    <x v="1"/>
  </r>
  <r>
    <s v="10187"/>
    <x v="3"/>
    <x v="3"/>
    <x v="1"/>
    <x v="2"/>
    <n v="58368"/>
    <x v="0"/>
    <s v="Amritsar-1"/>
    <n v="63700"/>
    <n v="28300"/>
    <n v="30068"/>
    <n v="95"/>
    <x v="2"/>
    <x v="3"/>
  </r>
  <r>
    <s v="10188"/>
    <x v="3"/>
    <x v="2"/>
    <x v="1"/>
    <x v="2"/>
    <n v="147513"/>
    <x v="3"/>
    <s v="Chandigarh-1"/>
    <n v="162700"/>
    <n v="124200"/>
    <n v="23313"/>
    <n v="75"/>
    <x v="1"/>
    <x v="1"/>
  </r>
  <r>
    <s v="10189"/>
    <x v="44"/>
    <x v="1"/>
    <x v="5"/>
    <x v="5"/>
    <n v="129735"/>
    <x v="1"/>
    <s v="Ludhiana-1"/>
    <n v="141700"/>
    <n v="76900"/>
    <n v="52835"/>
    <n v="60"/>
    <x v="0"/>
    <x v="0"/>
  </r>
  <r>
    <s v="10190"/>
    <x v="29"/>
    <x v="3"/>
    <x v="11"/>
    <x v="3"/>
    <n v="129891"/>
    <x v="0"/>
    <s v="Amritsar-1"/>
    <n v="116500"/>
    <n v="86600"/>
    <n v="43291"/>
    <n v="25"/>
    <x v="3"/>
    <x v="4"/>
  </r>
  <r>
    <s v="10191"/>
    <x v="22"/>
    <x v="2"/>
    <x v="13"/>
    <x v="1"/>
    <n v="117971"/>
    <x v="3"/>
    <s v="Chandigarh-1"/>
    <n v="112600"/>
    <n v="93500"/>
    <n v="24471"/>
    <n v="18"/>
    <x v="3"/>
    <x v="4"/>
  </r>
  <r>
    <s v="10192"/>
    <x v="58"/>
    <x v="2"/>
    <x v="7"/>
    <x v="4"/>
    <n v="22149"/>
    <x v="1"/>
    <s v="Chandigarh-1"/>
    <n v="21600"/>
    <n v="13600"/>
    <n v="8549"/>
    <n v="45"/>
    <x v="0"/>
    <x v="0"/>
  </r>
  <r>
    <s v="10193"/>
    <x v="34"/>
    <x v="0"/>
    <x v="0"/>
    <x v="5"/>
    <n v="110102"/>
    <x v="4"/>
    <s v="Jalandhar-1"/>
    <n v="124600"/>
    <n v="52700"/>
    <n v="57402"/>
    <n v="52"/>
    <x v="0"/>
    <x v="0"/>
  </r>
  <r>
    <s v="10194"/>
    <x v="59"/>
    <x v="1"/>
    <x v="5"/>
    <x v="1"/>
    <n v="69189"/>
    <x v="1"/>
    <s v="Ludhiana-2"/>
    <n v="65600"/>
    <n v="44100"/>
    <n v="25089"/>
    <n v="75"/>
    <x v="1"/>
    <x v="1"/>
  </r>
  <r>
    <s v="10195"/>
    <x v="0"/>
    <x v="2"/>
    <x v="13"/>
    <x v="1"/>
    <n v="81031"/>
    <x v="2"/>
    <s v="Chandigarh-1"/>
    <n v="74900"/>
    <n v="74700"/>
    <n v="6331"/>
    <n v="105"/>
    <x v="2"/>
    <x v="2"/>
  </r>
  <r>
    <s v="10196"/>
    <x v="26"/>
    <x v="1"/>
    <x v="9"/>
    <x v="5"/>
    <n v="52668"/>
    <x v="2"/>
    <s v="Ludhiana-2"/>
    <n v="62400"/>
    <n v="40600"/>
    <n v="12068"/>
    <n v="12"/>
    <x v="3"/>
    <x v="4"/>
  </r>
  <r>
    <s v="10197"/>
    <x v="1"/>
    <x v="2"/>
    <x v="7"/>
    <x v="2"/>
    <n v="98204"/>
    <x v="4"/>
    <s v="Chandigarh-1"/>
    <n v="83800"/>
    <n v="77200"/>
    <n v="21004"/>
    <n v="45"/>
    <x v="0"/>
    <x v="0"/>
  </r>
  <r>
    <s v="10198"/>
    <x v="6"/>
    <x v="1"/>
    <x v="7"/>
    <x v="1"/>
    <n v="47384"/>
    <x v="0"/>
    <s v="Ludhiana-2"/>
    <n v="56800"/>
    <n v="36300"/>
    <n v="11084"/>
    <n v="85"/>
    <x v="1"/>
    <x v="1"/>
  </r>
  <r>
    <s v="10199"/>
    <x v="59"/>
    <x v="1"/>
    <x v="6"/>
    <x v="2"/>
    <n v="91929"/>
    <x v="3"/>
    <s v="Ludhiana-1"/>
    <n v="99900"/>
    <n v="50500"/>
    <n v="41429"/>
    <n v="30"/>
    <x v="3"/>
    <x v="0"/>
  </r>
  <r>
    <s v="10200"/>
    <x v="41"/>
    <x v="1"/>
    <x v="12"/>
    <x v="5"/>
    <n v="137959"/>
    <x v="1"/>
    <s v="Ludhiana-2"/>
    <n v="157300"/>
    <n v="90900"/>
    <n v="47059"/>
    <n v="120"/>
    <x v="2"/>
    <x v="2"/>
  </r>
  <r>
    <s v="10201"/>
    <x v="20"/>
    <x v="3"/>
    <x v="0"/>
    <x v="2"/>
    <n v="86153"/>
    <x v="2"/>
    <s v="Amritsar-1"/>
    <n v="82100"/>
    <n v="71100"/>
    <n v="15053"/>
    <n v="75"/>
    <x v="1"/>
    <x v="1"/>
  </r>
  <r>
    <s v="10202"/>
    <x v="37"/>
    <x v="3"/>
    <x v="7"/>
    <x v="0"/>
    <n v="85388"/>
    <x v="0"/>
    <s v="Amritsar-1"/>
    <n v="73000"/>
    <n v="42800"/>
    <n v="42588"/>
    <n v="30"/>
    <x v="3"/>
    <x v="0"/>
  </r>
  <r>
    <s v="10203"/>
    <x v="10"/>
    <x v="2"/>
    <x v="5"/>
    <x v="4"/>
    <n v="41401"/>
    <x v="4"/>
    <s v="Chandigarh-1"/>
    <n v="45900"/>
    <n v="24400"/>
    <n v="17001"/>
    <n v="18"/>
    <x v="3"/>
    <x v="4"/>
  </r>
  <r>
    <s v="10204"/>
    <x v="0"/>
    <x v="2"/>
    <x v="6"/>
    <x v="1"/>
    <n v="129503"/>
    <x v="2"/>
    <s v="Jalandhar-1"/>
    <n v="147900"/>
    <n v="76200"/>
    <n v="53303"/>
    <n v="30"/>
    <x v="3"/>
    <x v="0"/>
  </r>
  <r>
    <s v="10205"/>
    <x v="54"/>
    <x v="2"/>
    <x v="13"/>
    <x v="3"/>
    <n v="137834"/>
    <x v="4"/>
    <s v="Chandigarh-1"/>
    <n v="152900"/>
    <n v="91800"/>
    <n v="46034"/>
    <n v="85"/>
    <x v="1"/>
    <x v="1"/>
  </r>
  <r>
    <s v="10206"/>
    <x v="3"/>
    <x v="1"/>
    <x v="9"/>
    <x v="4"/>
    <n v="44084"/>
    <x v="1"/>
    <s v="Ludhiana-1"/>
    <n v="39700"/>
    <n v="41400"/>
    <n v="2684"/>
    <n v="12"/>
    <x v="3"/>
    <x v="4"/>
  </r>
  <r>
    <s v="10207"/>
    <x v="4"/>
    <x v="0"/>
    <x v="10"/>
    <x v="2"/>
    <n v="120641"/>
    <x v="3"/>
    <s v="Jalandhar-1"/>
    <n v="134400"/>
    <n v="58400"/>
    <n v="62241"/>
    <n v="25"/>
    <x v="3"/>
    <x v="4"/>
  </r>
  <r>
    <s v="10208"/>
    <x v="2"/>
    <x v="1"/>
    <x v="0"/>
    <x v="1"/>
    <n v="115111"/>
    <x v="2"/>
    <s v="Ludhiana-2"/>
    <n v="128800"/>
    <n v="81700"/>
    <n v="33411"/>
    <n v="35"/>
    <x v="0"/>
    <x v="0"/>
  </r>
  <r>
    <s v="10209"/>
    <x v="14"/>
    <x v="0"/>
    <x v="11"/>
    <x v="2"/>
    <n v="148299"/>
    <x v="2"/>
    <s v="Jalandhar-1"/>
    <n v="160200"/>
    <n v="80000"/>
    <n v="68299"/>
    <n v="5"/>
    <x v="3"/>
    <x v="4"/>
  </r>
  <r>
    <s v="10210"/>
    <x v="58"/>
    <x v="1"/>
    <x v="1"/>
    <x v="0"/>
    <n v="46041"/>
    <x v="1"/>
    <s v="Ludhiana-2"/>
    <n v="51500"/>
    <n v="43100"/>
    <n v="2941"/>
    <n v="68"/>
    <x v="1"/>
    <x v="1"/>
  </r>
  <r>
    <s v="10211"/>
    <x v="59"/>
    <x v="0"/>
    <x v="4"/>
    <x v="5"/>
    <n v="98920"/>
    <x v="0"/>
    <s v="Jalandhar-1"/>
    <n v="113400"/>
    <n v="50100"/>
    <n v="48820"/>
    <n v="25"/>
    <x v="3"/>
    <x v="4"/>
  </r>
  <r>
    <s v="10212"/>
    <x v="38"/>
    <x v="1"/>
    <x v="4"/>
    <x v="1"/>
    <n v="75681"/>
    <x v="3"/>
    <s v="Ludhiana-1"/>
    <n v="80600"/>
    <n v="49300"/>
    <n v="26381"/>
    <n v="35"/>
    <x v="0"/>
    <x v="0"/>
  </r>
  <r>
    <s v="10213"/>
    <x v="28"/>
    <x v="0"/>
    <x v="13"/>
    <x v="0"/>
    <n v="91571"/>
    <x v="2"/>
    <s v="Jalandhar-1"/>
    <n v="80700"/>
    <n v="75000"/>
    <n v="16571"/>
    <n v="60"/>
    <x v="0"/>
    <x v="0"/>
  </r>
  <r>
    <s v="10214"/>
    <x v="34"/>
    <x v="2"/>
    <x v="8"/>
    <x v="0"/>
    <n v="137556"/>
    <x v="3"/>
    <s v="Chandigarh-1"/>
    <n v="140400"/>
    <n v="110400"/>
    <n v="27156"/>
    <n v="105"/>
    <x v="2"/>
    <x v="2"/>
  </r>
  <r>
    <s v="10215"/>
    <x v="17"/>
    <x v="0"/>
    <x v="8"/>
    <x v="1"/>
    <n v="36160"/>
    <x v="2"/>
    <s v="Jalandhar-1"/>
    <n v="31700"/>
    <n v="23900"/>
    <n v="12260"/>
    <n v="75"/>
    <x v="1"/>
    <x v="1"/>
  </r>
  <r>
    <s v="10216"/>
    <x v="30"/>
    <x v="1"/>
    <x v="13"/>
    <x v="2"/>
    <n v="27633"/>
    <x v="3"/>
    <s v="Ludhiana-1"/>
    <n v="27400"/>
    <n v="17200"/>
    <n v="10433"/>
    <n v="75"/>
    <x v="1"/>
    <x v="1"/>
  </r>
  <r>
    <s v="10217"/>
    <x v="18"/>
    <x v="2"/>
    <x v="5"/>
    <x v="3"/>
    <n v="27014"/>
    <x v="4"/>
    <s v="Chandigarh-1"/>
    <n v="26800"/>
    <n v="17500"/>
    <n v="9514"/>
    <n v="95"/>
    <x v="2"/>
    <x v="3"/>
  </r>
  <r>
    <s v="10218"/>
    <x v="29"/>
    <x v="0"/>
    <x v="7"/>
    <x v="0"/>
    <n v="90532"/>
    <x v="2"/>
    <s v="Jalandhar-1"/>
    <n v="79000"/>
    <n v="52700"/>
    <n v="37832"/>
    <n v="12"/>
    <x v="3"/>
    <x v="4"/>
  </r>
  <r>
    <s v="10219"/>
    <x v="54"/>
    <x v="2"/>
    <x v="12"/>
    <x v="4"/>
    <n v="59104"/>
    <x v="3"/>
    <s v="Chandigarh-1"/>
    <n v="57500"/>
    <n v="32700"/>
    <n v="26404"/>
    <n v="75"/>
    <x v="1"/>
    <x v="1"/>
  </r>
  <r>
    <s v="10220"/>
    <x v="32"/>
    <x v="3"/>
    <x v="0"/>
    <x v="0"/>
    <n v="87231"/>
    <x v="0"/>
    <s v="Amritsar-1"/>
    <n v="77500"/>
    <n v="60300"/>
    <n v="26931"/>
    <n v="45"/>
    <x v="0"/>
    <x v="0"/>
  </r>
  <r>
    <s v="10221"/>
    <x v="36"/>
    <x v="3"/>
    <x v="4"/>
    <x v="3"/>
    <n v="78388"/>
    <x v="4"/>
    <s v="Amritsar-1"/>
    <n v="88800"/>
    <n v="45800"/>
    <n v="32588"/>
    <n v="35"/>
    <x v="0"/>
    <x v="0"/>
  </r>
  <r>
    <s v="10222"/>
    <x v="13"/>
    <x v="2"/>
    <x v="4"/>
    <x v="2"/>
    <n v="26014"/>
    <x v="4"/>
    <s v="Chandigarh-1"/>
    <n v="30700"/>
    <n v="15400"/>
    <n v="10614"/>
    <n v="12"/>
    <x v="3"/>
    <x v="4"/>
  </r>
  <r>
    <s v="10223"/>
    <x v="48"/>
    <x v="3"/>
    <x v="12"/>
    <x v="2"/>
    <n v="102578"/>
    <x v="0"/>
    <s v="Amritsar-1"/>
    <n v="89800"/>
    <n v="79800"/>
    <n v="22778"/>
    <n v="52"/>
    <x v="0"/>
    <x v="0"/>
  </r>
  <r>
    <s v="10224"/>
    <x v="30"/>
    <x v="2"/>
    <x v="7"/>
    <x v="4"/>
    <n v="50390"/>
    <x v="3"/>
    <s v="Chandigarh-1"/>
    <n v="59700"/>
    <n v="47100"/>
    <n v="3290"/>
    <n v="45"/>
    <x v="0"/>
    <x v="0"/>
  </r>
  <r>
    <s v="10225"/>
    <x v="30"/>
    <x v="0"/>
    <x v="4"/>
    <x v="0"/>
    <n v="33711"/>
    <x v="1"/>
    <s v="Jalandhar-1"/>
    <n v="34800"/>
    <n v="25300"/>
    <n v="8411"/>
    <n v="75"/>
    <x v="1"/>
    <x v="1"/>
  </r>
  <r>
    <s v="10226"/>
    <x v="19"/>
    <x v="1"/>
    <x v="1"/>
    <x v="2"/>
    <n v="101658"/>
    <x v="0"/>
    <s v="Ludhiana-1"/>
    <n v="97100"/>
    <n v="49700"/>
    <n v="51958"/>
    <n v="30"/>
    <x v="3"/>
    <x v="0"/>
  </r>
  <r>
    <s v="10227"/>
    <x v="19"/>
    <x v="1"/>
    <x v="11"/>
    <x v="3"/>
    <n v="67993"/>
    <x v="3"/>
    <s v="Ludhiana-1"/>
    <n v="59600"/>
    <n v="33200"/>
    <n v="34793"/>
    <n v="85"/>
    <x v="1"/>
    <x v="1"/>
  </r>
  <r>
    <s v="10228"/>
    <x v="45"/>
    <x v="0"/>
    <x v="0"/>
    <x v="1"/>
    <n v="17421"/>
    <x v="0"/>
    <s v="Jalandhar-1"/>
    <n v="17900"/>
    <n v="16100"/>
    <n v="1321"/>
    <n v="30"/>
    <x v="3"/>
    <x v="0"/>
  </r>
  <r>
    <s v="10229"/>
    <x v="20"/>
    <x v="0"/>
    <x v="14"/>
    <x v="5"/>
    <n v="27727"/>
    <x v="0"/>
    <s v="Jalandhar-1"/>
    <n v="31300"/>
    <n v="16600"/>
    <n v="11127"/>
    <n v="45"/>
    <x v="0"/>
    <x v="0"/>
  </r>
  <r>
    <s v="10230"/>
    <x v="32"/>
    <x v="2"/>
    <x v="4"/>
    <x v="5"/>
    <n v="122418"/>
    <x v="2"/>
    <s v="Chandigarh-1"/>
    <n v="134400"/>
    <n v="60700"/>
    <n v="61718"/>
    <n v="60"/>
    <x v="0"/>
    <x v="0"/>
  </r>
  <r>
    <s v="10231"/>
    <x v="11"/>
    <x v="3"/>
    <x v="13"/>
    <x v="5"/>
    <n v="14358"/>
    <x v="3"/>
    <s v="Amritsar-1"/>
    <n v="12500"/>
    <n v="10800"/>
    <n v="3558"/>
    <n v="75"/>
    <x v="1"/>
    <x v="1"/>
  </r>
  <r>
    <s v="10232"/>
    <x v="8"/>
    <x v="1"/>
    <x v="11"/>
    <x v="0"/>
    <n v="75108"/>
    <x v="1"/>
    <s v="Ludhiana-1"/>
    <n v="65800"/>
    <n v="57200"/>
    <n v="17908"/>
    <n v="120"/>
    <x v="2"/>
    <x v="2"/>
  </r>
  <r>
    <s v="10233"/>
    <x v="35"/>
    <x v="1"/>
    <x v="4"/>
    <x v="4"/>
    <n v="104018"/>
    <x v="2"/>
    <s v="Ludhiana-1"/>
    <n v="103100"/>
    <n v="80500"/>
    <n v="23518"/>
    <n v="60"/>
    <x v="0"/>
    <x v="0"/>
  </r>
  <r>
    <s v="10234"/>
    <x v="30"/>
    <x v="2"/>
    <x v="3"/>
    <x v="2"/>
    <n v="134457"/>
    <x v="0"/>
    <s v="Chandigarh-1"/>
    <n v="128200"/>
    <n v="78500"/>
    <n v="55957"/>
    <n v="60"/>
    <x v="0"/>
    <x v="0"/>
  </r>
  <r>
    <s v="10235"/>
    <x v="25"/>
    <x v="2"/>
    <x v="9"/>
    <x v="1"/>
    <n v="41910"/>
    <x v="0"/>
    <s v="Chandigarh-1"/>
    <n v="39000"/>
    <n v="19200"/>
    <n v="22710"/>
    <n v="35"/>
    <x v="0"/>
    <x v="0"/>
  </r>
  <r>
    <s v="10236"/>
    <x v="0"/>
    <x v="2"/>
    <x v="1"/>
    <x v="3"/>
    <n v="136888"/>
    <x v="0"/>
    <s v="Chandigarh-1"/>
    <n v="129800"/>
    <n v="127600"/>
    <n v="9288"/>
    <n v="68"/>
    <x v="1"/>
    <x v="1"/>
  </r>
  <r>
    <s v="10237"/>
    <x v="32"/>
    <x v="1"/>
    <x v="11"/>
    <x v="1"/>
    <n v="65754"/>
    <x v="3"/>
    <s v="Ludhiana-2"/>
    <n v="74400"/>
    <n v="37800"/>
    <n v="27954"/>
    <n v="35"/>
    <x v="0"/>
    <x v="0"/>
  </r>
  <r>
    <s v="10238"/>
    <x v="23"/>
    <x v="0"/>
    <x v="6"/>
    <x v="3"/>
    <n v="119847"/>
    <x v="3"/>
    <s v="Jalandhar-1"/>
    <n v="140800"/>
    <n v="94400"/>
    <n v="25447"/>
    <n v="18"/>
    <x v="3"/>
    <x v="4"/>
  </r>
  <r>
    <s v="10239"/>
    <x v="56"/>
    <x v="0"/>
    <x v="14"/>
    <x v="0"/>
    <n v="48467"/>
    <x v="2"/>
    <s v="Jalandhar-1"/>
    <n v="48100"/>
    <n v="38900"/>
    <n v="9567"/>
    <n v="5"/>
    <x v="3"/>
    <x v="4"/>
  </r>
  <r>
    <s v="10240"/>
    <x v="36"/>
    <x v="3"/>
    <x v="9"/>
    <x v="5"/>
    <n v="43893"/>
    <x v="1"/>
    <s v="Amritsar-1"/>
    <n v="51200"/>
    <n v="33100"/>
    <n v="10793"/>
    <n v="45"/>
    <x v="0"/>
    <x v="0"/>
  </r>
  <r>
    <s v="10241"/>
    <x v="27"/>
    <x v="2"/>
    <x v="2"/>
    <x v="0"/>
    <n v="86329"/>
    <x v="2"/>
    <s v="Chandigarh-1"/>
    <n v="83100"/>
    <n v="52400"/>
    <n v="33929"/>
    <n v="25"/>
    <x v="3"/>
    <x v="4"/>
  </r>
  <r>
    <s v="10242"/>
    <x v="32"/>
    <x v="1"/>
    <x v="13"/>
    <x v="4"/>
    <n v="41007"/>
    <x v="4"/>
    <s v="Ludhiana-2"/>
    <n v="41700"/>
    <n v="24000"/>
    <n v="17007"/>
    <n v="5"/>
    <x v="3"/>
    <x v="4"/>
  </r>
  <r>
    <s v="10243"/>
    <x v="36"/>
    <x v="0"/>
    <x v="13"/>
    <x v="4"/>
    <n v="64253"/>
    <x v="0"/>
    <s v="Jalandhar-1"/>
    <n v="59700"/>
    <n v="48100"/>
    <n v="16153"/>
    <n v="120"/>
    <x v="2"/>
    <x v="2"/>
  </r>
  <r>
    <s v="10244"/>
    <x v="1"/>
    <x v="3"/>
    <x v="0"/>
    <x v="3"/>
    <n v="22323"/>
    <x v="0"/>
    <s v="Amritsar-1"/>
    <n v="24000"/>
    <n v="19700"/>
    <n v="2623"/>
    <n v="52"/>
    <x v="0"/>
    <x v="0"/>
  </r>
  <r>
    <s v="10245"/>
    <x v="58"/>
    <x v="1"/>
    <x v="12"/>
    <x v="2"/>
    <n v="121335"/>
    <x v="0"/>
    <s v="Ludhiana-1"/>
    <n v="144700"/>
    <n v="112000"/>
    <n v="9335"/>
    <n v="85"/>
    <x v="1"/>
    <x v="1"/>
  </r>
  <r>
    <s v="10246"/>
    <x v="55"/>
    <x v="0"/>
    <x v="9"/>
    <x v="2"/>
    <n v="122356"/>
    <x v="2"/>
    <s v="Jalandhar-1"/>
    <n v="129800"/>
    <n v="61500"/>
    <n v="60856"/>
    <n v="35"/>
    <x v="0"/>
    <x v="0"/>
  </r>
  <r>
    <s v="10247"/>
    <x v="16"/>
    <x v="0"/>
    <x v="11"/>
    <x v="3"/>
    <n v="120944"/>
    <x v="2"/>
    <s v="Jalandhar-1"/>
    <n v="117900"/>
    <n v="63800"/>
    <n v="57144"/>
    <n v="35"/>
    <x v="0"/>
    <x v="0"/>
  </r>
  <r>
    <s v="10248"/>
    <x v="0"/>
    <x v="0"/>
    <x v="7"/>
    <x v="4"/>
    <n v="26456"/>
    <x v="0"/>
    <s v="Jalandhar-1"/>
    <n v="28500"/>
    <n v="24400"/>
    <n v="2056"/>
    <n v="12"/>
    <x v="3"/>
    <x v="4"/>
  </r>
  <r>
    <s v="10249"/>
    <x v="48"/>
    <x v="3"/>
    <x v="13"/>
    <x v="4"/>
    <n v="41367"/>
    <x v="2"/>
    <s v="Amritsar-1"/>
    <n v="36900"/>
    <n v="33800"/>
    <n v="7567"/>
    <n v="120"/>
    <x v="2"/>
    <x v="2"/>
  </r>
  <r>
    <s v="10250"/>
    <x v="5"/>
    <x v="3"/>
    <x v="11"/>
    <x v="4"/>
    <n v="64624"/>
    <x v="3"/>
    <s v="Amritsar-1"/>
    <n v="75000"/>
    <n v="57600"/>
    <n v="7024"/>
    <n v="5"/>
    <x v="3"/>
    <x v="4"/>
  </r>
  <r>
    <s v="10251"/>
    <x v="27"/>
    <x v="2"/>
    <x v="5"/>
    <x v="0"/>
    <n v="78008"/>
    <x v="3"/>
    <s v="Chandigarh-1"/>
    <n v="80000"/>
    <n v="43000"/>
    <n v="35008"/>
    <n v="95"/>
    <x v="2"/>
    <x v="3"/>
  </r>
  <r>
    <s v="10252"/>
    <x v="39"/>
    <x v="0"/>
    <x v="11"/>
    <x v="4"/>
    <n v="135926"/>
    <x v="2"/>
    <s v="Jalandhar-1"/>
    <n v="136900"/>
    <n v="101100"/>
    <n v="34826"/>
    <n v="105"/>
    <x v="2"/>
    <x v="2"/>
  </r>
  <r>
    <s v="10253"/>
    <x v="32"/>
    <x v="0"/>
    <x v="5"/>
    <x v="1"/>
    <n v="125395"/>
    <x v="0"/>
    <s v="Jalandhar-1"/>
    <n v="132300"/>
    <n v="100400"/>
    <n v="24995"/>
    <n v="105"/>
    <x v="2"/>
    <x v="2"/>
  </r>
  <r>
    <s v="10254"/>
    <x v="37"/>
    <x v="1"/>
    <x v="3"/>
    <x v="5"/>
    <n v="126492"/>
    <x v="2"/>
    <s v="Ludhiana-2"/>
    <n v="135200"/>
    <n v="99900"/>
    <n v="26592"/>
    <n v="12"/>
    <x v="3"/>
    <x v="4"/>
  </r>
  <r>
    <s v="10255"/>
    <x v="23"/>
    <x v="1"/>
    <x v="10"/>
    <x v="4"/>
    <n v="82240"/>
    <x v="2"/>
    <s v="Ludhiana-1"/>
    <n v="72000"/>
    <n v="53800"/>
    <n v="28440"/>
    <n v="25"/>
    <x v="3"/>
    <x v="4"/>
  </r>
  <r>
    <s v="10256"/>
    <x v="34"/>
    <x v="2"/>
    <x v="10"/>
    <x v="3"/>
    <n v="74315"/>
    <x v="2"/>
    <s v="Chandigarh-1"/>
    <n v="80900"/>
    <n v="34000"/>
    <n v="40315"/>
    <n v="12"/>
    <x v="3"/>
    <x v="4"/>
  </r>
  <r>
    <s v="10257"/>
    <x v="29"/>
    <x v="0"/>
    <x v="2"/>
    <x v="5"/>
    <n v="20756"/>
    <x v="4"/>
    <s v="Jalandhar-1"/>
    <n v="19400"/>
    <n v="15400"/>
    <n v="5356"/>
    <n v="5"/>
    <x v="3"/>
    <x v="4"/>
  </r>
  <r>
    <s v="10258"/>
    <x v="19"/>
    <x v="0"/>
    <x v="6"/>
    <x v="0"/>
    <n v="46378"/>
    <x v="3"/>
    <s v="Jalandhar-1"/>
    <n v="51000"/>
    <n v="26700"/>
    <n v="19678"/>
    <n v="45"/>
    <x v="0"/>
    <x v="0"/>
  </r>
  <r>
    <s v="10259"/>
    <x v="12"/>
    <x v="1"/>
    <x v="2"/>
    <x v="3"/>
    <n v="145327"/>
    <x v="1"/>
    <s v="Ludhiana-2"/>
    <n v="165400"/>
    <n v="98100"/>
    <n v="47227"/>
    <n v="75"/>
    <x v="1"/>
    <x v="1"/>
  </r>
  <r>
    <s v="10260"/>
    <x v="3"/>
    <x v="2"/>
    <x v="5"/>
    <x v="5"/>
    <n v="135703"/>
    <x v="1"/>
    <s v="Chandigarh-1"/>
    <n v="153500"/>
    <n v="126000"/>
    <n v="9703"/>
    <n v="75"/>
    <x v="1"/>
    <x v="1"/>
  </r>
  <r>
    <s v="10261"/>
    <x v="28"/>
    <x v="2"/>
    <x v="9"/>
    <x v="3"/>
    <n v="66549"/>
    <x v="4"/>
    <s v="Chandigarh-1"/>
    <n v="69400"/>
    <n v="43200"/>
    <n v="23349"/>
    <n v="120"/>
    <x v="2"/>
    <x v="2"/>
  </r>
  <r>
    <s v="10262"/>
    <x v="49"/>
    <x v="0"/>
    <x v="4"/>
    <x v="0"/>
    <n v="83794"/>
    <x v="2"/>
    <s v="Jalandhar-1"/>
    <n v="86500"/>
    <n v="72900"/>
    <n v="10894"/>
    <n v="85"/>
    <x v="1"/>
    <x v="1"/>
  </r>
  <r>
    <s v="10263"/>
    <x v="59"/>
    <x v="0"/>
    <x v="7"/>
    <x v="1"/>
    <n v="55113"/>
    <x v="4"/>
    <s v="Jalandhar-1"/>
    <n v="49600"/>
    <n v="30000"/>
    <n v="25113"/>
    <n v="52"/>
    <x v="0"/>
    <x v="0"/>
  </r>
  <r>
    <s v="10264"/>
    <x v="59"/>
    <x v="0"/>
    <x v="4"/>
    <x v="0"/>
    <n v="84069"/>
    <x v="4"/>
    <s v="Jalandhar-1"/>
    <n v="94300"/>
    <n v="66100"/>
    <n v="17969"/>
    <n v="35"/>
    <x v="0"/>
    <x v="0"/>
  </r>
  <r>
    <s v="10265"/>
    <x v="12"/>
    <x v="2"/>
    <x v="8"/>
    <x v="0"/>
    <n v="146321"/>
    <x v="0"/>
    <s v="Chandigarh-1"/>
    <n v="138300"/>
    <n v="137300"/>
    <n v="9021"/>
    <n v="25"/>
    <x v="3"/>
    <x v="4"/>
  </r>
  <r>
    <s v="10266"/>
    <x v="55"/>
    <x v="2"/>
    <x v="4"/>
    <x v="3"/>
    <n v="135541"/>
    <x v="3"/>
    <s v="Chandigarh-1"/>
    <n v="138800"/>
    <n v="67900"/>
    <n v="67641"/>
    <n v="105"/>
    <x v="2"/>
    <x v="2"/>
  </r>
  <r>
    <s v="10267"/>
    <x v="1"/>
    <x v="1"/>
    <x v="0"/>
    <x v="2"/>
    <n v="19686"/>
    <x v="1"/>
    <s v="Ludhiana-2"/>
    <n v="18700"/>
    <n v="8900"/>
    <n v="10786"/>
    <n v="35"/>
    <x v="0"/>
    <x v="0"/>
  </r>
  <r>
    <s v="10268"/>
    <x v="26"/>
    <x v="1"/>
    <x v="4"/>
    <x v="4"/>
    <n v="63363"/>
    <x v="2"/>
    <s v="Ludhiana-1"/>
    <n v="56800"/>
    <n v="42200"/>
    <n v="21163"/>
    <n v="18"/>
    <x v="3"/>
    <x v="4"/>
  </r>
  <r>
    <s v="10269"/>
    <x v="32"/>
    <x v="0"/>
    <x v="2"/>
    <x v="4"/>
    <n v="107543"/>
    <x v="1"/>
    <s v="Jalandhar-1"/>
    <n v="115100"/>
    <n v="53400"/>
    <n v="54143"/>
    <n v="85"/>
    <x v="1"/>
    <x v="1"/>
  </r>
  <r>
    <s v="10270"/>
    <x v="26"/>
    <x v="0"/>
    <x v="13"/>
    <x v="1"/>
    <n v="141733"/>
    <x v="1"/>
    <s v="Jalandhar-1"/>
    <n v="123200"/>
    <n v="116800"/>
    <n v="24933"/>
    <n v="52"/>
    <x v="0"/>
    <x v="0"/>
  </r>
  <r>
    <s v="10271"/>
    <x v="8"/>
    <x v="0"/>
    <x v="1"/>
    <x v="1"/>
    <n v="105673"/>
    <x v="3"/>
    <s v="Jalandhar-1"/>
    <n v="117500"/>
    <n v="95900"/>
    <n v="9773"/>
    <n v="68"/>
    <x v="1"/>
    <x v="1"/>
  </r>
  <r>
    <s v="10272"/>
    <x v="1"/>
    <x v="0"/>
    <x v="13"/>
    <x v="4"/>
    <n v="52828"/>
    <x v="1"/>
    <s v="Jalandhar-1"/>
    <n v="50800"/>
    <n v="35200"/>
    <n v="17628"/>
    <n v="105"/>
    <x v="2"/>
    <x v="2"/>
  </r>
  <r>
    <s v="10273"/>
    <x v="24"/>
    <x v="2"/>
    <x v="10"/>
    <x v="2"/>
    <n v="58604"/>
    <x v="1"/>
    <s v="Chandigarh-1"/>
    <n v="49800"/>
    <n v="34000"/>
    <n v="24604"/>
    <n v="95"/>
    <x v="2"/>
    <x v="3"/>
  </r>
  <r>
    <s v="10274"/>
    <x v="32"/>
    <x v="3"/>
    <x v="1"/>
    <x v="4"/>
    <n v="20526"/>
    <x v="4"/>
    <s v="Amritsar-1"/>
    <n v="21100"/>
    <n v="13700"/>
    <n v="6826"/>
    <n v="95"/>
    <x v="2"/>
    <x v="3"/>
  </r>
  <r>
    <s v="10275"/>
    <x v="0"/>
    <x v="0"/>
    <x v="12"/>
    <x v="2"/>
    <n v="78910"/>
    <x v="3"/>
    <s v="Jalandhar-1"/>
    <n v="68400"/>
    <n v="64100"/>
    <n v="14810"/>
    <n v="12"/>
    <x v="3"/>
    <x v="4"/>
  </r>
  <r>
    <s v="10276"/>
    <x v="18"/>
    <x v="0"/>
    <x v="7"/>
    <x v="1"/>
    <n v="35592"/>
    <x v="0"/>
    <s v="Jalandhar-1"/>
    <n v="33700"/>
    <n v="16200"/>
    <n v="19392"/>
    <n v="30"/>
    <x v="3"/>
    <x v="0"/>
  </r>
  <r>
    <s v="10277"/>
    <x v="16"/>
    <x v="1"/>
    <x v="7"/>
    <x v="5"/>
    <n v="38982"/>
    <x v="2"/>
    <s v="Ludhiana-1"/>
    <n v="42800"/>
    <n v="29000"/>
    <n v="9982"/>
    <n v="5"/>
    <x v="3"/>
    <x v="4"/>
  </r>
  <r>
    <s v="10278"/>
    <x v="26"/>
    <x v="2"/>
    <x v="0"/>
    <x v="3"/>
    <n v="10207"/>
    <x v="1"/>
    <s v="Chandigarh-1"/>
    <n v="8900"/>
    <n v="7700"/>
    <n v="2507"/>
    <n v="35"/>
    <x v="0"/>
    <x v="0"/>
  </r>
  <r>
    <s v="10279"/>
    <x v="37"/>
    <x v="1"/>
    <x v="9"/>
    <x v="1"/>
    <n v="98733"/>
    <x v="2"/>
    <s v="Ludhiana-1"/>
    <n v="112900"/>
    <n v="75900"/>
    <n v="22833"/>
    <n v="12"/>
    <x v="3"/>
    <x v="4"/>
  </r>
  <r>
    <s v="10280"/>
    <x v="26"/>
    <x v="0"/>
    <x v="2"/>
    <x v="1"/>
    <n v="134982"/>
    <x v="0"/>
    <s v="Jalandhar-1"/>
    <n v="114900"/>
    <n v="77100"/>
    <n v="57882"/>
    <n v="25"/>
    <x v="3"/>
    <x v="4"/>
  </r>
  <r>
    <s v="10281"/>
    <x v="60"/>
    <x v="3"/>
    <x v="10"/>
    <x v="0"/>
    <n v="78619"/>
    <x v="2"/>
    <s v="Amritsar-1"/>
    <n v="73600"/>
    <n v="63400"/>
    <n v="15219"/>
    <n v="35"/>
    <x v="0"/>
    <x v="0"/>
  </r>
  <r>
    <s v="10282"/>
    <x v="47"/>
    <x v="1"/>
    <x v="3"/>
    <x v="0"/>
    <n v="56479"/>
    <x v="0"/>
    <s v="Ludhiana-2"/>
    <n v="62700"/>
    <n v="28000"/>
    <n v="28479"/>
    <n v="68"/>
    <x v="1"/>
    <x v="1"/>
  </r>
  <r>
    <s v="10283"/>
    <x v="28"/>
    <x v="3"/>
    <x v="8"/>
    <x v="0"/>
    <n v="91437"/>
    <x v="4"/>
    <s v="Amritsar-1"/>
    <n v="87800"/>
    <n v="50300"/>
    <n v="41137"/>
    <n v="75"/>
    <x v="1"/>
    <x v="1"/>
  </r>
  <r>
    <s v="10284"/>
    <x v="26"/>
    <x v="3"/>
    <x v="9"/>
    <x v="3"/>
    <n v="108540"/>
    <x v="1"/>
    <s v="Amritsar-1"/>
    <n v="96100"/>
    <n v="96500"/>
    <n v="12040"/>
    <n v="52"/>
    <x v="0"/>
    <x v="0"/>
  </r>
  <r>
    <s v="10285"/>
    <x v="18"/>
    <x v="2"/>
    <x v="7"/>
    <x v="0"/>
    <n v="82982"/>
    <x v="0"/>
    <s v="Chandigarh-1"/>
    <n v="81000"/>
    <n v="68000"/>
    <n v="14982"/>
    <n v="85"/>
    <x v="1"/>
    <x v="1"/>
  </r>
  <r>
    <s v="10286"/>
    <x v="18"/>
    <x v="1"/>
    <x v="13"/>
    <x v="2"/>
    <n v="112747"/>
    <x v="2"/>
    <s v="Ludhiana-1"/>
    <n v="106500"/>
    <n v="51500"/>
    <n v="61247"/>
    <n v="52"/>
    <x v="0"/>
    <x v="0"/>
  </r>
  <r>
    <s v="10287"/>
    <x v="30"/>
    <x v="3"/>
    <x v="4"/>
    <x v="4"/>
    <n v="58231"/>
    <x v="1"/>
    <s v="Amritsar-1"/>
    <n v="66700"/>
    <n v="33400"/>
    <n v="24831"/>
    <n v="75"/>
    <x v="1"/>
    <x v="1"/>
  </r>
  <r>
    <s v="10288"/>
    <x v="49"/>
    <x v="2"/>
    <x v="4"/>
    <x v="5"/>
    <n v="39301"/>
    <x v="4"/>
    <s v="Chandigarh-1"/>
    <n v="37700"/>
    <n v="21900"/>
    <n v="17401"/>
    <n v="35"/>
    <x v="0"/>
    <x v="0"/>
  </r>
  <r>
    <s v="10289"/>
    <x v="10"/>
    <x v="3"/>
    <x v="12"/>
    <x v="1"/>
    <n v="28752"/>
    <x v="1"/>
    <s v="Amritsar-1"/>
    <n v="32400"/>
    <n v="16800"/>
    <n v="11952"/>
    <n v="25"/>
    <x v="3"/>
    <x v="4"/>
  </r>
  <r>
    <s v="10290"/>
    <x v="37"/>
    <x v="2"/>
    <x v="10"/>
    <x v="2"/>
    <n v="108452"/>
    <x v="0"/>
    <s v="Chandigarh-1"/>
    <n v="126000"/>
    <n v="62200"/>
    <n v="46252"/>
    <n v="52"/>
    <x v="0"/>
    <x v="0"/>
  </r>
  <r>
    <s v="10291"/>
    <x v="59"/>
    <x v="0"/>
    <x v="2"/>
    <x v="5"/>
    <n v="131237"/>
    <x v="4"/>
    <s v="Jalandhar-1"/>
    <n v="131500"/>
    <n v="63200"/>
    <n v="68037"/>
    <n v="95"/>
    <x v="2"/>
    <x v="3"/>
  </r>
  <r>
    <s v="10292"/>
    <x v="23"/>
    <x v="2"/>
    <x v="2"/>
    <x v="2"/>
    <n v="66273"/>
    <x v="2"/>
    <s v="Chandigarh-1"/>
    <n v="77400"/>
    <n v="45000"/>
    <n v="21273"/>
    <n v="52"/>
    <x v="0"/>
    <x v="0"/>
  </r>
  <r>
    <s v="10293"/>
    <x v="56"/>
    <x v="2"/>
    <x v="6"/>
    <x v="2"/>
    <n v="101878"/>
    <x v="4"/>
    <s v="Chandigarh-1"/>
    <n v="100100"/>
    <n v="83200"/>
    <n v="18678"/>
    <n v="68"/>
    <x v="1"/>
    <x v="1"/>
  </r>
  <r>
    <s v="10294"/>
    <x v="9"/>
    <x v="0"/>
    <x v="5"/>
    <x v="1"/>
    <n v="14895"/>
    <x v="4"/>
    <s v="Jalandhar-1"/>
    <n v="17700"/>
    <n v="11200"/>
    <n v="3695"/>
    <n v="105"/>
    <x v="2"/>
    <x v="2"/>
  </r>
  <r>
    <s v="10295"/>
    <x v="32"/>
    <x v="2"/>
    <x v="14"/>
    <x v="4"/>
    <n v="129968"/>
    <x v="3"/>
    <s v="Chandigarh-1"/>
    <n v="114500"/>
    <n v="102200"/>
    <n v="27768"/>
    <n v="5"/>
    <x v="3"/>
    <x v="4"/>
  </r>
  <r>
    <s v="10296"/>
    <x v="18"/>
    <x v="1"/>
    <x v="7"/>
    <x v="0"/>
    <n v="125700"/>
    <x v="4"/>
    <s v="Ludhiana-2"/>
    <n v="137100"/>
    <n v="61700"/>
    <n v="64000"/>
    <n v="25"/>
    <x v="3"/>
    <x v="4"/>
  </r>
  <r>
    <s v="10297"/>
    <x v="13"/>
    <x v="1"/>
    <x v="2"/>
    <x v="3"/>
    <n v="86559"/>
    <x v="4"/>
    <s v="Ludhiana-1"/>
    <n v="88500"/>
    <n v="80100"/>
    <n v="6459"/>
    <n v="25"/>
    <x v="3"/>
    <x v="4"/>
  </r>
  <r>
    <s v="10298"/>
    <x v="19"/>
    <x v="3"/>
    <x v="12"/>
    <x v="4"/>
    <n v="20699"/>
    <x v="1"/>
    <s v="Amritsar-1"/>
    <n v="20400"/>
    <n v="18000"/>
    <n v="2699"/>
    <n v="45"/>
    <x v="0"/>
    <x v="0"/>
  </r>
  <r>
    <s v="10299"/>
    <x v="44"/>
    <x v="3"/>
    <x v="13"/>
    <x v="3"/>
    <n v="19715"/>
    <x v="2"/>
    <s v="Amritsar-1"/>
    <n v="21100"/>
    <n v="16800"/>
    <n v="2915"/>
    <n v="105"/>
    <x v="2"/>
    <x v="2"/>
  </r>
  <r>
    <s v="10300"/>
    <x v="59"/>
    <x v="3"/>
    <x v="10"/>
    <x v="1"/>
    <n v="29169"/>
    <x v="1"/>
    <s v="Amritsar-1"/>
    <n v="32000"/>
    <n v="25100"/>
    <n v="4069"/>
    <n v="105"/>
    <x v="2"/>
    <x v="2"/>
  </r>
  <r>
    <s v="10301"/>
    <x v="48"/>
    <x v="1"/>
    <x v="8"/>
    <x v="1"/>
    <n v="128413"/>
    <x v="1"/>
    <s v="Ludhiana-2"/>
    <n v="109300"/>
    <n v="117700"/>
    <n v="10713"/>
    <n v="75"/>
    <x v="1"/>
    <x v="1"/>
  </r>
  <r>
    <s v="10302"/>
    <x v="59"/>
    <x v="1"/>
    <x v="6"/>
    <x v="1"/>
    <n v="129264"/>
    <x v="0"/>
    <s v="Ludhiana-2"/>
    <n v="117400"/>
    <n v="93300"/>
    <n v="35964"/>
    <n v="45"/>
    <x v="0"/>
    <x v="0"/>
  </r>
  <r>
    <s v="10303"/>
    <x v="35"/>
    <x v="1"/>
    <x v="12"/>
    <x v="5"/>
    <n v="15782"/>
    <x v="1"/>
    <s v="Ludhiana-1"/>
    <n v="17400"/>
    <n v="8700"/>
    <n v="7082"/>
    <n v="95"/>
    <x v="2"/>
    <x v="3"/>
  </r>
  <r>
    <s v="10304"/>
    <x v="41"/>
    <x v="2"/>
    <x v="11"/>
    <x v="3"/>
    <n v="134481"/>
    <x v="3"/>
    <s v="Chandigarh-1"/>
    <n v="145700"/>
    <n v="102000"/>
    <n v="32481"/>
    <n v="75"/>
    <x v="1"/>
    <x v="1"/>
  </r>
  <r>
    <s v="10305"/>
    <x v="35"/>
    <x v="2"/>
    <x v="0"/>
    <x v="4"/>
    <n v="45585"/>
    <x v="3"/>
    <s v="Chandigarh-1"/>
    <n v="54200"/>
    <n v="37400"/>
    <n v="8185"/>
    <n v="120"/>
    <x v="2"/>
    <x v="2"/>
  </r>
  <r>
    <s v="10306"/>
    <x v="11"/>
    <x v="2"/>
    <x v="8"/>
    <x v="4"/>
    <n v="40682"/>
    <x v="0"/>
    <s v="Chandigarh-1"/>
    <n v="45400"/>
    <n v="33300"/>
    <n v="7382"/>
    <n v="52"/>
    <x v="0"/>
    <x v="0"/>
  </r>
  <r>
    <s v="10307"/>
    <x v="60"/>
    <x v="2"/>
    <x v="5"/>
    <x v="2"/>
    <n v="139992"/>
    <x v="2"/>
    <s v="Chandigarh-1"/>
    <n v="165600"/>
    <n v="99500"/>
    <n v="40492"/>
    <n v="75"/>
    <x v="1"/>
    <x v="1"/>
  </r>
  <r>
    <s v="10308"/>
    <x v="28"/>
    <x v="0"/>
    <x v="11"/>
    <x v="2"/>
    <n v="94416"/>
    <x v="2"/>
    <s v="Jalandhar-1"/>
    <n v="103500"/>
    <n v="45700"/>
    <n v="48716"/>
    <n v="30"/>
    <x v="3"/>
    <x v="0"/>
  </r>
  <r>
    <s v="10309"/>
    <x v="47"/>
    <x v="2"/>
    <x v="3"/>
    <x v="2"/>
    <n v="137810"/>
    <x v="1"/>
    <s v="Chandigarh-1"/>
    <n v="131500"/>
    <n v="87600"/>
    <n v="50210"/>
    <n v="45"/>
    <x v="0"/>
    <x v="0"/>
  </r>
  <r>
    <s v="10310"/>
    <x v="21"/>
    <x v="2"/>
    <x v="5"/>
    <x v="1"/>
    <n v="48067"/>
    <x v="1"/>
    <s v="Chandigarh-1"/>
    <n v="42600"/>
    <n v="43800"/>
    <n v="4267"/>
    <n v="52"/>
    <x v="0"/>
    <x v="0"/>
  </r>
  <r>
    <s v="10311"/>
    <x v="12"/>
    <x v="3"/>
    <x v="4"/>
    <x v="4"/>
    <n v="28073"/>
    <x v="1"/>
    <s v="Amritsar-1"/>
    <n v="31500"/>
    <n v="20800"/>
    <n v="7273"/>
    <n v="120"/>
    <x v="2"/>
    <x v="2"/>
  </r>
  <r>
    <s v="10312"/>
    <x v="57"/>
    <x v="2"/>
    <x v="0"/>
    <x v="3"/>
    <n v="46035"/>
    <x v="2"/>
    <s v="Chandigarh-1"/>
    <n v="49500"/>
    <n v="33100"/>
    <n v="12935"/>
    <n v="60"/>
    <x v="0"/>
    <x v="0"/>
  </r>
  <r>
    <s v="10313"/>
    <x v="1"/>
    <x v="3"/>
    <x v="7"/>
    <x v="1"/>
    <n v="100373"/>
    <x v="4"/>
    <s v="Amritsar-1"/>
    <n v="87000"/>
    <n v="58700"/>
    <n v="41673"/>
    <n v="18"/>
    <x v="3"/>
    <x v="4"/>
  </r>
  <r>
    <s v="10314"/>
    <x v="50"/>
    <x v="0"/>
    <x v="13"/>
    <x v="5"/>
    <n v="93362"/>
    <x v="3"/>
    <s v="Jalandhar-1"/>
    <n v="91100"/>
    <n v="59200"/>
    <n v="34162"/>
    <n v="18"/>
    <x v="3"/>
    <x v="4"/>
  </r>
  <r>
    <s v="10315"/>
    <x v="48"/>
    <x v="0"/>
    <x v="0"/>
    <x v="2"/>
    <n v="100517"/>
    <x v="4"/>
    <s v="Jalandhar-1"/>
    <n v="119100"/>
    <n v="90200"/>
    <n v="10317"/>
    <n v="25"/>
    <x v="3"/>
    <x v="4"/>
  </r>
  <r>
    <s v="10316"/>
    <x v="17"/>
    <x v="1"/>
    <x v="5"/>
    <x v="1"/>
    <n v="75450"/>
    <x v="4"/>
    <s v="Ludhiana-2"/>
    <n v="77300"/>
    <n v="59100"/>
    <n v="16350"/>
    <n v="30"/>
    <x v="3"/>
    <x v="0"/>
  </r>
  <r>
    <s v="10317"/>
    <x v="11"/>
    <x v="0"/>
    <x v="14"/>
    <x v="1"/>
    <n v="20382"/>
    <x v="2"/>
    <s v="Jalandhar-1"/>
    <n v="20400"/>
    <n v="17200"/>
    <n v="3182"/>
    <n v="68"/>
    <x v="1"/>
    <x v="1"/>
  </r>
  <r>
    <s v="10318"/>
    <x v="53"/>
    <x v="2"/>
    <x v="11"/>
    <x v="5"/>
    <n v="145509"/>
    <x v="4"/>
    <s v="Chandigarh-1"/>
    <n v="147000"/>
    <n v="98500"/>
    <n v="47009"/>
    <n v="5"/>
    <x v="3"/>
    <x v="4"/>
  </r>
  <r>
    <s v="10319"/>
    <x v="31"/>
    <x v="1"/>
    <x v="7"/>
    <x v="0"/>
    <n v="71929"/>
    <x v="0"/>
    <s v="Ludhiana-2"/>
    <n v="66400"/>
    <n v="55000"/>
    <n v="16929"/>
    <n v="120"/>
    <x v="2"/>
    <x v="2"/>
  </r>
  <r>
    <s v="10320"/>
    <x v="23"/>
    <x v="2"/>
    <x v="1"/>
    <x v="4"/>
    <n v="108864"/>
    <x v="1"/>
    <s v="Chandigarh-1"/>
    <n v="106600"/>
    <n v="62500"/>
    <n v="46364"/>
    <n v="120"/>
    <x v="2"/>
    <x v="2"/>
  </r>
  <r>
    <s v="10321"/>
    <x v="39"/>
    <x v="0"/>
    <x v="14"/>
    <x v="3"/>
    <n v="35169"/>
    <x v="0"/>
    <s v="Jalandhar-1"/>
    <n v="34400"/>
    <n v="28200"/>
    <n v="6969"/>
    <n v="45"/>
    <x v="0"/>
    <x v="0"/>
  </r>
  <r>
    <s v="10322"/>
    <x v="22"/>
    <x v="2"/>
    <x v="4"/>
    <x v="0"/>
    <n v="97468"/>
    <x v="3"/>
    <s v="Chandigarh-1"/>
    <n v="84600"/>
    <n v="64700"/>
    <n v="32768"/>
    <n v="60"/>
    <x v="0"/>
    <x v="0"/>
  </r>
  <r>
    <s v="10323"/>
    <x v="28"/>
    <x v="2"/>
    <x v="14"/>
    <x v="2"/>
    <n v="44594"/>
    <x v="1"/>
    <s v="Chandigarh-1"/>
    <n v="49900"/>
    <n v="29900"/>
    <n v="14694"/>
    <n v="52"/>
    <x v="0"/>
    <x v="0"/>
  </r>
  <r>
    <s v="10324"/>
    <x v="48"/>
    <x v="3"/>
    <x v="6"/>
    <x v="1"/>
    <n v="55033"/>
    <x v="4"/>
    <s v="Amritsar-1"/>
    <n v="54800"/>
    <n v="42600"/>
    <n v="12433"/>
    <n v="120"/>
    <x v="2"/>
    <x v="2"/>
  </r>
  <r>
    <s v="10325"/>
    <x v="31"/>
    <x v="1"/>
    <x v="6"/>
    <x v="5"/>
    <n v="73133"/>
    <x v="3"/>
    <s v="Ludhiana-1"/>
    <n v="83200"/>
    <n v="67100"/>
    <n v="6033"/>
    <n v="120"/>
    <x v="2"/>
    <x v="2"/>
  </r>
  <r>
    <s v="10326"/>
    <x v="2"/>
    <x v="1"/>
    <x v="3"/>
    <x v="5"/>
    <n v="83861"/>
    <x v="1"/>
    <s v="Ludhiana-2"/>
    <n v="96200"/>
    <n v="40400"/>
    <n v="43461"/>
    <n v="30"/>
    <x v="3"/>
    <x v="0"/>
  </r>
  <r>
    <s v="10327"/>
    <x v="16"/>
    <x v="1"/>
    <x v="5"/>
    <x v="4"/>
    <n v="41750"/>
    <x v="4"/>
    <s v="Ludhiana-1"/>
    <n v="38600"/>
    <n v="36000"/>
    <n v="5750"/>
    <n v="105"/>
    <x v="2"/>
    <x v="2"/>
  </r>
  <r>
    <s v="10328"/>
    <x v="45"/>
    <x v="1"/>
    <x v="10"/>
    <x v="0"/>
    <n v="50461"/>
    <x v="0"/>
    <s v="Ludhiana-1"/>
    <n v="54500"/>
    <n v="30100"/>
    <n v="20361"/>
    <n v="105"/>
    <x v="2"/>
    <x v="2"/>
  </r>
  <r>
    <s v="10329"/>
    <x v="22"/>
    <x v="1"/>
    <x v="8"/>
    <x v="4"/>
    <n v="88222"/>
    <x v="1"/>
    <s v="Ludhiana-1"/>
    <n v="89600"/>
    <n v="59300"/>
    <n v="28922"/>
    <n v="25"/>
    <x v="3"/>
    <x v="4"/>
  </r>
  <r>
    <s v="10330"/>
    <x v="28"/>
    <x v="1"/>
    <x v="8"/>
    <x v="1"/>
    <n v="122020"/>
    <x v="4"/>
    <s v="Ludhiana-1"/>
    <n v="141300"/>
    <n v="56200"/>
    <n v="65820"/>
    <n v="85"/>
    <x v="1"/>
    <x v="1"/>
  </r>
  <r>
    <s v="10331"/>
    <x v="14"/>
    <x v="3"/>
    <x v="1"/>
    <x v="4"/>
    <n v="34226"/>
    <x v="0"/>
    <s v="Amritsar-1"/>
    <n v="31700"/>
    <n v="20600"/>
    <n v="13626"/>
    <n v="45"/>
    <x v="0"/>
    <x v="0"/>
  </r>
  <r>
    <s v="10332"/>
    <x v="9"/>
    <x v="1"/>
    <x v="1"/>
    <x v="3"/>
    <n v="16721"/>
    <x v="3"/>
    <s v="Ludhiana-2"/>
    <n v="18200"/>
    <n v="11700"/>
    <n v="5021"/>
    <n v="30"/>
    <x v="3"/>
    <x v="0"/>
  </r>
  <r>
    <s v="10333"/>
    <x v="44"/>
    <x v="2"/>
    <x v="7"/>
    <x v="5"/>
    <n v="30609"/>
    <x v="3"/>
    <s v="Chandigarh-1"/>
    <n v="32500"/>
    <n v="14600"/>
    <n v="16009"/>
    <n v="45"/>
    <x v="0"/>
    <x v="0"/>
  </r>
  <r>
    <s v="10334"/>
    <x v="16"/>
    <x v="0"/>
    <x v="4"/>
    <x v="5"/>
    <n v="140513"/>
    <x v="3"/>
    <s v="Jalandhar-1"/>
    <n v="134000"/>
    <n v="97700"/>
    <n v="42813"/>
    <n v="85"/>
    <x v="1"/>
    <x v="1"/>
  </r>
  <r>
    <s v="10335"/>
    <x v="9"/>
    <x v="2"/>
    <x v="2"/>
    <x v="2"/>
    <n v="114211"/>
    <x v="3"/>
    <s v="Chandigarh-1"/>
    <n v="102500"/>
    <n v="104300"/>
    <n v="9911"/>
    <n v="5"/>
    <x v="3"/>
    <x v="4"/>
  </r>
  <r>
    <s v="10336"/>
    <x v="45"/>
    <x v="3"/>
    <x v="3"/>
    <x v="2"/>
    <n v="146728"/>
    <x v="2"/>
    <s v="Amritsar-1"/>
    <n v="158200"/>
    <n v="73800"/>
    <n v="72928"/>
    <n v="5"/>
    <x v="3"/>
    <x v="4"/>
  </r>
  <r>
    <s v="10337"/>
    <x v="59"/>
    <x v="1"/>
    <x v="6"/>
    <x v="1"/>
    <n v="134865"/>
    <x v="1"/>
    <s v="Ludhiana-2"/>
    <n v="149500"/>
    <n v="112200"/>
    <n v="22665"/>
    <n v="68"/>
    <x v="1"/>
    <x v="1"/>
  </r>
  <r>
    <s v="10338"/>
    <x v="38"/>
    <x v="1"/>
    <x v="7"/>
    <x v="3"/>
    <n v="84520"/>
    <x v="1"/>
    <s v="Ludhiana-2"/>
    <n v="81200"/>
    <n v="55300"/>
    <n v="29220"/>
    <n v="105"/>
    <x v="2"/>
    <x v="2"/>
  </r>
  <r>
    <s v="10339"/>
    <x v="1"/>
    <x v="1"/>
    <x v="2"/>
    <x v="0"/>
    <n v="74309"/>
    <x v="2"/>
    <s v="Ludhiana-1"/>
    <n v="79900"/>
    <n v="57800"/>
    <n v="16509"/>
    <n v="95"/>
    <x v="2"/>
    <x v="3"/>
  </r>
  <r>
    <s v="10340"/>
    <x v="55"/>
    <x v="1"/>
    <x v="8"/>
    <x v="4"/>
    <n v="39984"/>
    <x v="4"/>
    <s v="Ludhiana-2"/>
    <n v="39500"/>
    <n v="23200"/>
    <n v="16784"/>
    <n v="18"/>
    <x v="3"/>
    <x v="4"/>
  </r>
  <r>
    <s v="10341"/>
    <x v="23"/>
    <x v="1"/>
    <x v="10"/>
    <x v="1"/>
    <n v="128947"/>
    <x v="4"/>
    <s v="Ludhiana-2"/>
    <n v="141800"/>
    <n v="68300"/>
    <n v="60647"/>
    <n v="105"/>
    <x v="2"/>
    <x v="2"/>
  </r>
  <r>
    <s v="10342"/>
    <x v="15"/>
    <x v="1"/>
    <x v="13"/>
    <x v="2"/>
    <n v="15901"/>
    <x v="3"/>
    <s v="Ludhiana-1"/>
    <n v="14600"/>
    <n v="8400"/>
    <n v="7501"/>
    <n v="75"/>
    <x v="1"/>
    <x v="1"/>
  </r>
  <r>
    <s v="10343"/>
    <x v="0"/>
    <x v="1"/>
    <x v="6"/>
    <x v="4"/>
    <n v="41055"/>
    <x v="0"/>
    <s v="Ludhiana-1"/>
    <n v="47700"/>
    <n v="19900"/>
    <n v="21155"/>
    <n v="12"/>
    <x v="3"/>
    <x v="4"/>
  </r>
  <r>
    <s v="10344"/>
    <x v="40"/>
    <x v="1"/>
    <x v="7"/>
    <x v="2"/>
    <n v="124099"/>
    <x v="4"/>
    <s v="Ludhiana-2"/>
    <n v="118000"/>
    <n v="67400"/>
    <n v="56699"/>
    <n v="12"/>
    <x v="3"/>
    <x v="4"/>
  </r>
  <r>
    <s v="10345"/>
    <x v="15"/>
    <x v="2"/>
    <x v="0"/>
    <x v="4"/>
    <n v="21138"/>
    <x v="0"/>
    <s v="Chandigarh-1"/>
    <n v="20700"/>
    <n v="16500"/>
    <n v="4638"/>
    <n v="45"/>
    <x v="0"/>
    <x v="0"/>
  </r>
  <r>
    <s v="10346"/>
    <x v="56"/>
    <x v="1"/>
    <x v="2"/>
    <x v="0"/>
    <n v="33429"/>
    <x v="1"/>
    <s v="Ludhiana-1"/>
    <n v="29100"/>
    <n v="29800"/>
    <n v="3629"/>
    <n v="85"/>
    <x v="1"/>
    <x v="1"/>
  </r>
  <r>
    <s v="10347"/>
    <x v="11"/>
    <x v="2"/>
    <x v="14"/>
    <x v="1"/>
    <n v="60200"/>
    <x v="0"/>
    <s v="Chandigarh-1"/>
    <n v="53500"/>
    <n v="51600"/>
    <n v="8600"/>
    <n v="68"/>
    <x v="1"/>
    <x v="1"/>
  </r>
  <r>
    <s v="10348"/>
    <x v="30"/>
    <x v="2"/>
    <x v="6"/>
    <x v="4"/>
    <n v="111268"/>
    <x v="1"/>
    <s v="Chandigarh-1"/>
    <n v="114700"/>
    <n v="88200"/>
    <n v="23068"/>
    <n v="12"/>
    <x v="3"/>
    <x v="4"/>
  </r>
  <r>
    <s v="10349"/>
    <x v="36"/>
    <x v="3"/>
    <x v="8"/>
    <x v="3"/>
    <n v="27347"/>
    <x v="2"/>
    <s v="Amritsar-1"/>
    <n v="25800"/>
    <n v="13800"/>
    <n v="13547"/>
    <n v="75"/>
    <x v="1"/>
    <x v="1"/>
  </r>
  <r>
    <s v="10350"/>
    <x v="25"/>
    <x v="1"/>
    <x v="12"/>
    <x v="5"/>
    <n v="41822"/>
    <x v="2"/>
    <s v="Ludhiana-1"/>
    <n v="47800"/>
    <n v="24900"/>
    <n v="16922"/>
    <n v="25"/>
    <x v="3"/>
    <x v="4"/>
  </r>
  <r>
    <s v="10351"/>
    <x v="43"/>
    <x v="3"/>
    <x v="4"/>
    <x v="3"/>
    <n v="50108"/>
    <x v="3"/>
    <s v="Amritsar-1"/>
    <n v="42800"/>
    <n v="30300"/>
    <n v="19808"/>
    <n v="12"/>
    <x v="3"/>
    <x v="4"/>
  </r>
  <r>
    <s v="10352"/>
    <x v="10"/>
    <x v="3"/>
    <x v="2"/>
    <x v="3"/>
    <n v="138955"/>
    <x v="4"/>
    <s v="Amritsar-1"/>
    <n v="136500"/>
    <n v="79900"/>
    <n v="59055"/>
    <n v="35"/>
    <x v="0"/>
    <x v="0"/>
  </r>
  <r>
    <s v="10353"/>
    <x v="52"/>
    <x v="1"/>
    <x v="8"/>
    <x v="5"/>
    <n v="17967"/>
    <x v="3"/>
    <s v="Ludhiana-1"/>
    <n v="17400"/>
    <n v="12700"/>
    <n v="5267"/>
    <n v="52"/>
    <x v="0"/>
    <x v="0"/>
  </r>
  <r>
    <s v="10354"/>
    <x v="20"/>
    <x v="0"/>
    <x v="6"/>
    <x v="3"/>
    <n v="120719"/>
    <x v="1"/>
    <s v="Jalandhar-1"/>
    <n v="103400"/>
    <n v="86600"/>
    <n v="34119"/>
    <n v="68"/>
    <x v="1"/>
    <x v="1"/>
  </r>
  <r>
    <s v="10355"/>
    <x v="29"/>
    <x v="0"/>
    <x v="2"/>
    <x v="4"/>
    <n v="21871"/>
    <x v="3"/>
    <s v="Jalandhar-1"/>
    <n v="19500"/>
    <n v="13700"/>
    <n v="8171"/>
    <n v="25"/>
    <x v="3"/>
    <x v="4"/>
  </r>
  <r>
    <s v="10356"/>
    <x v="46"/>
    <x v="1"/>
    <x v="3"/>
    <x v="4"/>
    <n v="38179"/>
    <x v="0"/>
    <s v="Ludhiana-1"/>
    <n v="38000"/>
    <n v="23900"/>
    <n v="14279"/>
    <n v="120"/>
    <x v="2"/>
    <x v="2"/>
  </r>
  <r>
    <s v="10357"/>
    <x v="38"/>
    <x v="1"/>
    <x v="14"/>
    <x v="4"/>
    <n v="65099"/>
    <x v="1"/>
    <s v="Ludhiana-2"/>
    <n v="66600"/>
    <n v="56300"/>
    <n v="8799"/>
    <n v="30"/>
    <x v="3"/>
    <x v="0"/>
  </r>
  <r>
    <s v="10358"/>
    <x v="22"/>
    <x v="0"/>
    <x v="9"/>
    <x v="5"/>
    <n v="45262"/>
    <x v="2"/>
    <s v="Jalandhar-1"/>
    <n v="44900"/>
    <n v="38200"/>
    <n v="7062"/>
    <n v="25"/>
    <x v="3"/>
    <x v="4"/>
  </r>
  <r>
    <s v="10359"/>
    <x v="31"/>
    <x v="3"/>
    <x v="6"/>
    <x v="3"/>
    <n v="88213"/>
    <x v="4"/>
    <s v="Amritsar-1"/>
    <n v="91400"/>
    <n v="53300"/>
    <n v="34913"/>
    <n v="18"/>
    <x v="3"/>
    <x v="4"/>
  </r>
  <r>
    <s v="10360"/>
    <x v="44"/>
    <x v="1"/>
    <x v="3"/>
    <x v="5"/>
    <n v="127407"/>
    <x v="1"/>
    <s v="Ludhiana-1"/>
    <n v="134800"/>
    <n v="115500"/>
    <n v="11907"/>
    <n v="30"/>
    <x v="3"/>
    <x v="0"/>
  </r>
  <r>
    <s v="10361"/>
    <x v="53"/>
    <x v="1"/>
    <x v="11"/>
    <x v="4"/>
    <n v="96269"/>
    <x v="1"/>
    <s v="Ludhiana-1"/>
    <n v="82200"/>
    <n v="89200"/>
    <n v="7069"/>
    <n v="105"/>
    <x v="2"/>
    <x v="2"/>
  </r>
  <r>
    <s v="10362"/>
    <x v="36"/>
    <x v="2"/>
    <x v="7"/>
    <x v="3"/>
    <n v="70545"/>
    <x v="0"/>
    <s v="Chandigarh-1"/>
    <n v="71400"/>
    <n v="43300"/>
    <n v="27245"/>
    <n v="60"/>
    <x v="0"/>
    <x v="0"/>
  </r>
  <r>
    <s v="10363"/>
    <x v="1"/>
    <x v="2"/>
    <x v="12"/>
    <x v="3"/>
    <n v="49922"/>
    <x v="4"/>
    <s v="Chandigarh-1"/>
    <n v="59300"/>
    <n v="31300"/>
    <n v="18622"/>
    <n v="52"/>
    <x v="0"/>
    <x v="0"/>
  </r>
  <r>
    <s v="10364"/>
    <x v="22"/>
    <x v="3"/>
    <x v="1"/>
    <x v="2"/>
    <n v="52913"/>
    <x v="2"/>
    <s v="Amritsar-1"/>
    <n v="54600"/>
    <n v="37200"/>
    <n v="15713"/>
    <n v="52"/>
    <x v="0"/>
    <x v="0"/>
  </r>
  <r>
    <s v="10365"/>
    <x v="26"/>
    <x v="2"/>
    <x v="14"/>
    <x v="2"/>
    <n v="107033"/>
    <x v="1"/>
    <s v="Chandigarh-1"/>
    <n v="116400"/>
    <n v="98500"/>
    <n v="8533"/>
    <n v="52"/>
    <x v="0"/>
    <x v="0"/>
  </r>
  <r>
    <s v="10366"/>
    <x v="18"/>
    <x v="2"/>
    <x v="2"/>
    <x v="0"/>
    <n v="114792"/>
    <x v="1"/>
    <s v="Chandigarh-1"/>
    <n v="110100"/>
    <n v="102000"/>
    <n v="12792"/>
    <n v="85"/>
    <x v="1"/>
    <x v="1"/>
  </r>
  <r>
    <s v="10367"/>
    <x v="56"/>
    <x v="3"/>
    <x v="4"/>
    <x v="1"/>
    <n v="129863"/>
    <x v="0"/>
    <s v="Amritsar-1"/>
    <n v="145600"/>
    <n v="65100"/>
    <n v="64763"/>
    <n v="52"/>
    <x v="0"/>
    <x v="0"/>
  </r>
  <r>
    <s v="10368"/>
    <x v="53"/>
    <x v="1"/>
    <x v="8"/>
    <x v="2"/>
    <n v="54936"/>
    <x v="3"/>
    <s v="Ludhiana-1"/>
    <n v="61600"/>
    <n v="35500"/>
    <n v="19436"/>
    <n v="45"/>
    <x v="0"/>
    <x v="0"/>
  </r>
  <r>
    <s v="10369"/>
    <x v="32"/>
    <x v="1"/>
    <x v="1"/>
    <x v="5"/>
    <n v="38141"/>
    <x v="2"/>
    <s v="Ludhiana-1"/>
    <n v="39400"/>
    <n v="27700"/>
    <n v="10441"/>
    <n v="52"/>
    <x v="0"/>
    <x v="0"/>
  </r>
  <r>
    <s v="10370"/>
    <x v="24"/>
    <x v="3"/>
    <x v="0"/>
    <x v="2"/>
    <n v="147478"/>
    <x v="4"/>
    <s v="Amritsar-1"/>
    <n v="175700"/>
    <n v="103500"/>
    <n v="43978"/>
    <n v="75"/>
    <x v="1"/>
    <x v="1"/>
  </r>
  <r>
    <s v="10371"/>
    <x v="57"/>
    <x v="0"/>
    <x v="8"/>
    <x v="0"/>
    <n v="107359"/>
    <x v="1"/>
    <s v="Jalandhar-1"/>
    <n v="96000"/>
    <n v="58700"/>
    <n v="48659"/>
    <n v="105"/>
    <x v="2"/>
    <x v="2"/>
  </r>
  <r>
    <s v="10372"/>
    <x v="37"/>
    <x v="2"/>
    <x v="2"/>
    <x v="3"/>
    <n v="133279"/>
    <x v="1"/>
    <s v="Chandigarh-1"/>
    <n v="114100"/>
    <n v="117200"/>
    <n v="16079"/>
    <n v="52"/>
    <x v="0"/>
    <x v="0"/>
  </r>
  <r>
    <s v="10373"/>
    <x v="59"/>
    <x v="2"/>
    <x v="12"/>
    <x v="0"/>
    <n v="51568"/>
    <x v="2"/>
    <s v="Chandigarh-1"/>
    <n v="57700"/>
    <n v="40700"/>
    <n v="10868"/>
    <n v="95"/>
    <x v="2"/>
    <x v="3"/>
  </r>
  <r>
    <s v="10374"/>
    <x v="28"/>
    <x v="1"/>
    <x v="5"/>
    <x v="3"/>
    <n v="107539"/>
    <x v="3"/>
    <s v="Ludhiana-1"/>
    <n v="121800"/>
    <n v="93400"/>
    <n v="14139"/>
    <n v="105"/>
    <x v="2"/>
    <x v="2"/>
  </r>
  <r>
    <s v="10375"/>
    <x v="35"/>
    <x v="2"/>
    <x v="8"/>
    <x v="3"/>
    <n v="56851"/>
    <x v="1"/>
    <s v="Chandigarh-1"/>
    <n v="50700"/>
    <n v="50000"/>
    <n v="6851"/>
    <n v="52"/>
    <x v="0"/>
    <x v="0"/>
  </r>
  <r>
    <s v="10376"/>
    <x v="39"/>
    <x v="2"/>
    <x v="5"/>
    <x v="1"/>
    <n v="64823"/>
    <x v="2"/>
    <s v="Chandigarh-1"/>
    <n v="61100"/>
    <n v="53400"/>
    <n v="11423"/>
    <n v="85"/>
    <x v="1"/>
    <x v="1"/>
  </r>
  <r>
    <s v="10377"/>
    <x v="55"/>
    <x v="1"/>
    <x v="7"/>
    <x v="2"/>
    <n v="33312"/>
    <x v="0"/>
    <s v="Ludhiana-1"/>
    <n v="28500"/>
    <n v="22300"/>
    <n v="11012"/>
    <n v="68"/>
    <x v="1"/>
    <x v="1"/>
  </r>
  <r>
    <s v="10378"/>
    <x v="46"/>
    <x v="1"/>
    <x v="12"/>
    <x v="5"/>
    <n v="108723"/>
    <x v="3"/>
    <s v="Ludhiana-1"/>
    <n v="103600"/>
    <n v="82100"/>
    <n v="26623"/>
    <n v="45"/>
    <x v="0"/>
    <x v="0"/>
  </r>
  <r>
    <s v="10379"/>
    <x v="9"/>
    <x v="2"/>
    <x v="6"/>
    <x v="5"/>
    <n v="22411"/>
    <x v="4"/>
    <s v="Chandigarh-1"/>
    <n v="25100"/>
    <n v="11900"/>
    <n v="10511"/>
    <n v="85"/>
    <x v="1"/>
    <x v="1"/>
  </r>
  <r>
    <s v="10380"/>
    <x v="53"/>
    <x v="1"/>
    <x v="3"/>
    <x v="4"/>
    <n v="67009"/>
    <x v="1"/>
    <s v="Ludhiana-1"/>
    <n v="69100"/>
    <n v="52700"/>
    <n v="14309"/>
    <n v="5"/>
    <x v="3"/>
    <x v="4"/>
  </r>
  <r>
    <s v="10381"/>
    <x v="31"/>
    <x v="2"/>
    <x v="0"/>
    <x v="3"/>
    <n v="42371"/>
    <x v="2"/>
    <s v="Chandigarh-1"/>
    <n v="41200"/>
    <n v="22900"/>
    <n v="19471"/>
    <n v="25"/>
    <x v="3"/>
    <x v="4"/>
  </r>
  <r>
    <s v="10382"/>
    <x v="16"/>
    <x v="1"/>
    <x v="13"/>
    <x v="5"/>
    <n v="67022"/>
    <x v="0"/>
    <s v="Ludhiana-2"/>
    <n v="65700"/>
    <n v="53400"/>
    <n v="13622"/>
    <n v="95"/>
    <x v="2"/>
    <x v="3"/>
  </r>
  <r>
    <s v="10383"/>
    <x v="45"/>
    <x v="2"/>
    <x v="2"/>
    <x v="1"/>
    <n v="81229"/>
    <x v="4"/>
    <s v="Chandigarh-1"/>
    <n v="69100"/>
    <n v="45900"/>
    <n v="35329"/>
    <n v="95"/>
    <x v="2"/>
    <x v="3"/>
  </r>
  <r>
    <s v="10384"/>
    <x v="12"/>
    <x v="1"/>
    <x v="10"/>
    <x v="3"/>
    <n v="109071"/>
    <x v="2"/>
    <s v="Ludhiana-1"/>
    <n v="104200"/>
    <n v="55500"/>
    <n v="53571"/>
    <n v="25"/>
    <x v="3"/>
    <x v="4"/>
  </r>
  <r>
    <s v="10385"/>
    <x v="49"/>
    <x v="0"/>
    <x v="13"/>
    <x v="1"/>
    <n v="106774"/>
    <x v="2"/>
    <s v="Jalandhar-1"/>
    <n v="114900"/>
    <n v="56900"/>
    <n v="49874"/>
    <n v="30"/>
    <x v="3"/>
    <x v="0"/>
  </r>
  <r>
    <s v="10386"/>
    <x v="60"/>
    <x v="2"/>
    <x v="8"/>
    <x v="5"/>
    <n v="36715"/>
    <x v="4"/>
    <s v="Chandigarh-1"/>
    <n v="43700"/>
    <n v="16600"/>
    <n v="20115"/>
    <n v="68"/>
    <x v="1"/>
    <x v="1"/>
  </r>
  <r>
    <s v="10387"/>
    <x v="23"/>
    <x v="3"/>
    <x v="1"/>
    <x v="5"/>
    <n v="37605"/>
    <x v="0"/>
    <s v="Amritsar-1"/>
    <n v="43100"/>
    <n v="30400"/>
    <n v="7205"/>
    <n v="35"/>
    <x v="0"/>
    <x v="0"/>
  </r>
  <r>
    <s v="10388"/>
    <x v="12"/>
    <x v="3"/>
    <x v="2"/>
    <x v="4"/>
    <n v="109853"/>
    <x v="0"/>
    <s v="Amritsar-1"/>
    <n v="94300"/>
    <n v="89700"/>
    <n v="20153"/>
    <n v="25"/>
    <x v="3"/>
    <x v="4"/>
  </r>
  <r>
    <s v="10389"/>
    <x v="1"/>
    <x v="2"/>
    <x v="3"/>
    <x v="5"/>
    <n v="41174"/>
    <x v="3"/>
    <s v="Chandigarh-1"/>
    <n v="47900"/>
    <n v="29100"/>
    <n v="12074"/>
    <n v="120"/>
    <x v="2"/>
    <x v="2"/>
  </r>
  <r>
    <s v="10390"/>
    <x v="11"/>
    <x v="1"/>
    <x v="11"/>
    <x v="3"/>
    <n v="86373"/>
    <x v="1"/>
    <s v="Ludhiana-2"/>
    <n v="97100"/>
    <n v="45800"/>
    <n v="40573"/>
    <n v="12"/>
    <x v="3"/>
    <x v="4"/>
  </r>
  <r>
    <s v="10391"/>
    <x v="26"/>
    <x v="2"/>
    <x v="3"/>
    <x v="3"/>
    <n v="79252"/>
    <x v="4"/>
    <s v="Chandigarh-1"/>
    <n v="89000"/>
    <n v="39000"/>
    <n v="40252"/>
    <n v="35"/>
    <x v="0"/>
    <x v="0"/>
  </r>
  <r>
    <s v="10392"/>
    <x v="5"/>
    <x v="2"/>
    <x v="10"/>
    <x v="3"/>
    <n v="80017"/>
    <x v="4"/>
    <s v="Chandigarh-1"/>
    <n v="80800"/>
    <n v="36800"/>
    <n v="43217"/>
    <n v="120"/>
    <x v="2"/>
    <x v="2"/>
  </r>
  <r>
    <s v="10393"/>
    <x v="14"/>
    <x v="3"/>
    <x v="0"/>
    <x v="4"/>
    <n v="73037"/>
    <x v="4"/>
    <s v="Amritsar-1"/>
    <n v="72300"/>
    <n v="38900"/>
    <n v="34137"/>
    <n v="52"/>
    <x v="0"/>
    <x v="0"/>
  </r>
  <r>
    <s v="10394"/>
    <x v="21"/>
    <x v="2"/>
    <x v="3"/>
    <x v="4"/>
    <n v="99818"/>
    <x v="0"/>
    <s v="Chandigarh-1"/>
    <n v="95400"/>
    <n v="89400"/>
    <n v="10418"/>
    <n v="120"/>
    <x v="2"/>
    <x v="2"/>
  </r>
  <r>
    <s v="10395"/>
    <x v="15"/>
    <x v="1"/>
    <x v="4"/>
    <x v="5"/>
    <n v="16548"/>
    <x v="1"/>
    <s v="Ludhiana-1"/>
    <n v="14400"/>
    <n v="9400"/>
    <n v="7148"/>
    <n v="52"/>
    <x v="0"/>
    <x v="0"/>
  </r>
  <r>
    <s v="10396"/>
    <x v="45"/>
    <x v="1"/>
    <x v="11"/>
    <x v="0"/>
    <n v="126981"/>
    <x v="3"/>
    <s v="Ludhiana-1"/>
    <n v="118100"/>
    <n v="79600"/>
    <n v="47381"/>
    <n v="45"/>
    <x v="0"/>
    <x v="0"/>
  </r>
  <r>
    <s v="10397"/>
    <x v="32"/>
    <x v="2"/>
    <x v="13"/>
    <x v="0"/>
    <n v="34022"/>
    <x v="2"/>
    <s v="Chandigarh-1"/>
    <n v="31900"/>
    <n v="17100"/>
    <n v="16922"/>
    <n v="35"/>
    <x v="0"/>
    <x v="0"/>
  </r>
  <r>
    <s v="10398"/>
    <x v="46"/>
    <x v="3"/>
    <x v="6"/>
    <x v="4"/>
    <n v="116297"/>
    <x v="2"/>
    <s v="Amritsar-1"/>
    <n v="118600"/>
    <n v="65300"/>
    <n v="50997"/>
    <n v="12"/>
    <x v="3"/>
    <x v="4"/>
  </r>
  <r>
    <s v="10399"/>
    <x v="53"/>
    <x v="2"/>
    <x v="7"/>
    <x v="5"/>
    <n v="146614"/>
    <x v="4"/>
    <s v="Chandigarh-1"/>
    <n v="163000"/>
    <n v="104000"/>
    <n v="42614"/>
    <n v="120"/>
    <x v="2"/>
    <x v="2"/>
  </r>
  <r>
    <s v="10400"/>
    <x v="32"/>
    <x v="2"/>
    <x v="4"/>
    <x v="0"/>
    <n v="70428"/>
    <x v="1"/>
    <s v="Chandigarh-1"/>
    <n v="71500"/>
    <n v="53100"/>
    <n v="17328"/>
    <n v="45"/>
    <x v="0"/>
    <x v="0"/>
  </r>
  <r>
    <s v="10401"/>
    <x v="25"/>
    <x v="0"/>
    <x v="9"/>
    <x v="5"/>
    <n v="69353"/>
    <x v="0"/>
    <s v="Jalandhar-1"/>
    <n v="60400"/>
    <n v="39700"/>
    <n v="29653"/>
    <n v="75"/>
    <x v="1"/>
    <x v="1"/>
  </r>
  <r>
    <s v="10402"/>
    <x v="46"/>
    <x v="3"/>
    <x v="11"/>
    <x v="5"/>
    <n v="123132"/>
    <x v="1"/>
    <s v="Amritsar-1"/>
    <n v="145900"/>
    <n v="59000"/>
    <n v="64132"/>
    <n v="85"/>
    <x v="1"/>
    <x v="1"/>
  </r>
  <r>
    <s v="10403"/>
    <x v="25"/>
    <x v="1"/>
    <x v="6"/>
    <x v="5"/>
    <n v="26052"/>
    <x v="1"/>
    <s v="Ludhiana-1"/>
    <n v="30700"/>
    <n v="16800"/>
    <n v="9252"/>
    <n v="105"/>
    <x v="2"/>
    <x v="2"/>
  </r>
  <r>
    <s v="10404"/>
    <x v="2"/>
    <x v="1"/>
    <x v="6"/>
    <x v="2"/>
    <n v="110689"/>
    <x v="0"/>
    <s v="Ludhiana-1"/>
    <n v="124500"/>
    <n v="62800"/>
    <n v="47889"/>
    <n v="105"/>
    <x v="2"/>
    <x v="2"/>
  </r>
  <r>
    <s v="10405"/>
    <x v="40"/>
    <x v="1"/>
    <x v="2"/>
    <x v="3"/>
    <n v="141743"/>
    <x v="4"/>
    <s v="Ludhiana-2"/>
    <n v="169700"/>
    <n v="79300"/>
    <n v="62443"/>
    <n v="30"/>
    <x v="3"/>
    <x v="0"/>
  </r>
  <r>
    <s v="10406"/>
    <x v="61"/>
    <x v="1"/>
    <x v="11"/>
    <x v="5"/>
    <n v="10163"/>
    <x v="1"/>
    <s v="Ludhiana-1"/>
    <n v="10600"/>
    <n v="9500"/>
    <n v="663"/>
    <n v="35"/>
    <x v="0"/>
    <x v="0"/>
  </r>
  <r>
    <s v="10407"/>
    <x v="40"/>
    <x v="1"/>
    <x v="0"/>
    <x v="2"/>
    <n v="51424"/>
    <x v="2"/>
    <s v="Ludhiana-1"/>
    <n v="61000"/>
    <n v="39000"/>
    <n v="12424"/>
    <n v="68"/>
    <x v="1"/>
    <x v="1"/>
  </r>
  <r>
    <s v="10408"/>
    <x v="18"/>
    <x v="1"/>
    <x v="8"/>
    <x v="4"/>
    <n v="145870"/>
    <x v="0"/>
    <s v="Ludhiana-2"/>
    <n v="127800"/>
    <n v="106300"/>
    <n v="39570"/>
    <n v="52"/>
    <x v="0"/>
    <x v="0"/>
  </r>
  <r>
    <s v="10409"/>
    <x v="49"/>
    <x v="1"/>
    <x v="10"/>
    <x v="0"/>
    <n v="32420"/>
    <x v="3"/>
    <s v="Ludhiana-2"/>
    <n v="31700"/>
    <n v="21300"/>
    <n v="11120"/>
    <n v="105"/>
    <x v="2"/>
    <x v="2"/>
  </r>
  <r>
    <s v="10410"/>
    <x v="46"/>
    <x v="1"/>
    <x v="9"/>
    <x v="3"/>
    <n v="130575"/>
    <x v="4"/>
    <s v="Ludhiana-1"/>
    <n v="121300"/>
    <n v="86800"/>
    <n v="43775"/>
    <n v="52"/>
    <x v="0"/>
    <x v="0"/>
  </r>
  <r>
    <s v="10411"/>
    <x v="31"/>
    <x v="0"/>
    <x v="10"/>
    <x v="0"/>
    <n v="39300"/>
    <x v="0"/>
    <s v="Jalandhar-1"/>
    <n v="36100"/>
    <n v="28300"/>
    <n v="11000"/>
    <n v="18"/>
    <x v="3"/>
    <x v="4"/>
  </r>
  <r>
    <s v="10412"/>
    <x v="6"/>
    <x v="3"/>
    <x v="13"/>
    <x v="3"/>
    <n v="99881"/>
    <x v="3"/>
    <s v="Ludhiana-2"/>
    <n v="89800"/>
    <n v="79700"/>
    <n v="20181"/>
    <n v="85"/>
    <x v="1"/>
    <x v="1"/>
  </r>
  <r>
    <s v="10413"/>
    <x v="55"/>
    <x v="2"/>
    <x v="13"/>
    <x v="0"/>
    <n v="20749"/>
    <x v="3"/>
    <s v="Chandigarh-1"/>
    <n v="22200"/>
    <n v="16600"/>
    <n v="4149"/>
    <n v="85"/>
    <x v="1"/>
    <x v="1"/>
  </r>
  <r>
    <s v="10414"/>
    <x v="14"/>
    <x v="2"/>
    <x v="10"/>
    <x v="3"/>
    <n v="114131"/>
    <x v="1"/>
    <s v="Chandigarh-1"/>
    <n v="128200"/>
    <n v="61200"/>
    <n v="52931"/>
    <n v="105"/>
    <x v="2"/>
    <x v="2"/>
  </r>
  <r>
    <s v="10415"/>
    <x v="23"/>
    <x v="0"/>
    <x v="3"/>
    <x v="0"/>
    <n v="138563"/>
    <x v="1"/>
    <s v="Jalandhar-1"/>
    <n v="145800"/>
    <n v="97000"/>
    <n v="41563"/>
    <n v="45"/>
    <x v="0"/>
    <x v="0"/>
  </r>
  <r>
    <s v="10416"/>
    <x v="41"/>
    <x v="1"/>
    <x v="0"/>
    <x v="0"/>
    <n v="47487"/>
    <x v="1"/>
    <s v="Ludhiana-2"/>
    <n v="42800"/>
    <n v="31200"/>
    <n v="16287"/>
    <n v="5"/>
    <x v="3"/>
    <x v="4"/>
  </r>
  <r>
    <s v="10417"/>
    <x v="23"/>
    <x v="2"/>
    <x v="5"/>
    <x v="0"/>
    <n v="31223"/>
    <x v="0"/>
    <s v="Chandigarh-1"/>
    <n v="35400"/>
    <n v="27600"/>
    <n v="3623"/>
    <n v="5"/>
    <x v="3"/>
    <x v="4"/>
  </r>
  <r>
    <s v="10418"/>
    <x v="42"/>
    <x v="0"/>
    <x v="3"/>
    <x v="0"/>
    <n v="82930"/>
    <x v="0"/>
    <s v="Jalandhar-1"/>
    <n v="88900"/>
    <n v="63500"/>
    <n v="19430"/>
    <n v="45"/>
    <x v="0"/>
    <x v="0"/>
  </r>
  <r>
    <s v="10419"/>
    <x v="7"/>
    <x v="0"/>
    <x v="1"/>
    <x v="4"/>
    <n v="38380"/>
    <x v="4"/>
    <s v="Jalandhar-1"/>
    <n v="37800"/>
    <n v="27500"/>
    <n v="10880"/>
    <n v="120"/>
    <x v="2"/>
    <x v="2"/>
  </r>
  <r>
    <s v="10420"/>
    <x v="53"/>
    <x v="0"/>
    <x v="3"/>
    <x v="5"/>
    <n v="36035"/>
    <x v="1"/>
    <s v="Jalandhar-1"/>
    <n v="39100"/>
    <n v="18300"/>
    <n v="17735"/>
    <n v="120"/>
    <x v="2"/>
    <x v="2"/>
  </r>
  <r>
    <s v="10421"/>
    <x v="45"/>
    <x v="1"/>
    <x v="7"/>
    <x v="1"/>
    <n v="40620"/>
    <x v="3"/>
    <s v="Ludhiana-2"/>
    <n v="38200"/>
    <n v="30600"/>
    <n v="10020"/>
    <n v="68"/>
    <x v="1"/>
    <x v="1"/>
  </r>
  <r>
    <s v="10422"/>
    <x v="60"/>
    <x v="1"/>
    <x v="14"/>
    <x v="2"/>
    <n v="127360"/>
    <x v="2"/>
    <s v="Ludhiana-1"/>
    <n v="123600"/>
    <n v="64800"/>
    <n v="62560"/>
    <n v="60"/>
    <x v="0"/>
    <x v="0"/>
  </r>
  <r>
    <s v="10423"/>
    <x v="5"/>
    <x v="3"/>
    <x v="8"/>
    <x v="1"/>
    <n v="63352"/>
    <x v="4"/>
    <s v="Amritsar-1"/>
    <n v="74200"/>
    <n v="39200"/>
    <n v="24152"/>
    <n v="45"/>
    <x v="0"/>
    <x v="0"/>
  </r>
  <r>
    <s v="10424"/>
    <x v="38"/>
    <x v="0"/>
    <x v="7"/>
    <x v="1"/>
    <n v="13191"/>
    <x v="0"/>
    <s v="Jalandhar-1"/>
    <n v="12600"/>
    <n v="6900"/>
    <n v="6291"/>
    <n v="68"/>
    <x v="1"/>
    <x v="1"/>
  </r>
  <r>
    <s v="10425"/>
    <x v="16"/>
    <x v="2"/>
    <x v="2"/>
    <x v="3"/>
    <n v="100536"/>
    <x v="4"/>
    <s v="Chandigarh-1"/>
    <n v="102000"/>
    <n v="80000"/>
    <n v="20536"/>
    <n v="30"/>
    <x v="3"/>
    <x v="0"/>
  </r>
  <r>
    <s v="10426"/>
    <x v="47"/>
    <x v="2"/>
    <x v="14"/>
    <x v="5"/>
    <n v="114576"/>
    <x v="4"/>
    <s v="Chandigarh-1"/>
    <n v="133100"/>
    <n v="63400"/>
    <n v="51176"/>
    <n v="52"/>
    <x v="0"/>
    <x v="0"/>
  </r>
  <r>
    <s v="10427"/>
    <x v="23"/>
    <x v="1"/>
    <x v="14"/>
    <x v="3"/>
    <n v="13631"/>
    <x v="4"/>
    <s v="Ludhiana-1"/>
    <n v="15000"/>
    <n v="8800"/>
    <n v="4831"/>
    <n v="12"/>
    <x v="3"/>
    <x v="4"/>
  </r>
  <r>
    <s v="10428"/>
    <x v="53"/>
    <x v="3"/>
    <x v="11"/>
    <x v="5"/>
    <n v="147244"/>
    <x v="4"/>
    <s v="Amritsar-1"/>
    <n v="128400"/>
    <n v="132200"/>
    <n v="15044"/>
    <n v="60"/>
    <x v="0"/>
    <x v="0"/>
  </r>
  <r>
    <s v="10429"/>
    <x v="24"/>
    <x v="1"/>
    <x v="0"/>
    <x v="5"/>
    <n v="52080"/>
    <x v="2"/>
    <s v="Ludhiana-1"/>
    <n v="47000"/>
    <n v="28800"/>
    <n v="23280"/>
    <n v="35"/>
    <x v="0"/>
    <x v="0"/>
  </r>
  <r>
    <s v="10430"/>
    <x v="28"/>
    <x v="2"/>
    <x v="0"/>
    <x v="0"/>
    <n v="100353"/>
    <x v="1"/>
    <s v="Chandigarh-1"/>
    <n v="85600"/>
    <n v="70600"/>
    <n v="29753"/>
    <n v="95"/>
    <x v="2"/>
    <x v="3"/>
  </r>
  <r>
    <s v="10431"/>
    <x v="34"/>
    <x v="2"/>
    <x v="14"/>
    <x v="4"/>
    <n v="38671"/>
    <x v="3"/>
    <s v="Chandigarh-1"/>
    <n v="41400"/>
    <n v="25500"/>
    <n v="13171"/>
    <n v="60"/>
    <x v="0"/>
    <x v="0"/>
  </r>
  <r>
    <s v="10432"/>
    <x v="17"/>
    <x v="2"/>
    <x v="1"/>
    <x v="0"/>
    <n v="132811"/>
    <x v="4"/>
    <s v="Chandigarh-1"/>
    <n v="133700"/>
    <n v="61000"/>
    <n v="71811"/>
    <n v="12"/>
    <x v="3"/>
    <x v="4"/>
  </r>
  <r>
    <s v="10433"/>
    <x v="35"/>
    <x v="1"/>
    <x v="3"/>
    <x v="4"/>
    <n v="137734"/>
    <x v="4"/>
    <s v="Ludhiana-2"/>
    <n v="123500"/>
    <n v="116600"/>
    <n v="21134"/>
    <n v="18"/>
    <x v="3"/>
    <x v="4"/>
  </r>
  <r>
    <s v="10434"/>
    <x v="17"/>
    <x v="1"/>
    <x v="11"/>
    <x v="3"/>
    <n v="61399"/>
    <x v="4"/>
    <s v="Ludhiana-1"/>
    <n v="72800"/>
    <n v="29700"/>
    <n v="31699"/>
    <n v="85"/>
    <x v="1"/>
    <x v="1"/>
  </r>
  <r>
    <s v="10435"/>
    <x v="61"/>
    <x v="3"/>
    <x v="8"/>
    <x v="4"/>
    <n v="17099"/>
    <x v="1"/>
    <s v="Amritsar-1"/>
    <n v="17700"/>
    <n v="11700"/>
    <n v="5399"/>
    <n v="52"/>
    <x v="0"/>
    <x v="0"/>
  </r>
  <r>
    <s v="10436"/>
    <x v="20"/>
    <x v="1"/>
    <x v="14"/>
    <x v="3"/>
    <n v="66492"/>
    <x v="0"/>
    <s v="Ludhiana-2"/>
    <n v="62100"/>
    <n v="48600"/>
    <n v="17892"/>
    <n v="5"/>
    <x v="3"/>
    <x v="4"/>
  </r>
  <r>
    <s v="10437"/>
    <x v="21"/>
    <x v="2"/>
    <x v="4"/>
    <x v="1"/>
    <n v="106722"/>
    <x v="0"/>
    <s v="Chandigarh-1"/>
    <n v="109400"/>
    <n v="81600"/>
    <n v="25122"/>
    <n v="120"/>
    <x v="2"/>
    <x v="2"/>
  </r>
  <r>
    <s v="10438"/>
    <x v="21"/>
    <x v="1"/>
    <x v="13"/>
    <x v="1"/>
    <n v="40111"/>
    <x v="2"/>
    <s v="Ludhiana-1"/>
    <n v="43600"/>
    <n v="31900"/>
    <n v="8211"/>
    <n v="68"/>
    <x v="1"/>
    <x v="1"/>
  </r>
  <r>
    <s v="10439"/>
    <x v="54"/>
    <x v="2"/>
    <x v="13"/>
    <x v="4"/>
    <n v="73936"/>
    <x v="0"/>
    <s v="Chandigarh-1"/>
    <n v="64800"/>
    <n v="42600"/>
    <n v="31336"/>
    <n v="120"/>
    <x v="2"/>
    <x v="2"/>
  </r>
  <r>
    <s v="10440"/>
    <x v="34"/>
    <x v="2"/>
    <x v="7"/>
    <x v="4"/>
    <n v="70920"/>
    <x v="4"/>
    <s v="Chandigarh-1"/>
    <n v="67100"/>
    <n v="32300"/>
    <n v="38620"/>
    <n v="120"/>
    <x v="2"/>
    <x v="2"/>
  </r>
  <r>
    <s v="10441"/>
    <x v="49"/>
    <x v="1"/>
    <x v="2"/>
    <x v="3"/>
    <n v="73530"/>
    <x v="4"/>
    <s v="Ludhiana-1"/>
    <n v="83300"/>
    <n v="59700"/>
    <n v="13830"/>
    <n v="120"/>
    <x v="2"/>
    <x v="2"/>
  </r>
  <r>
    <s v="10442"/>
    <x v="5"/>
    <x v="2"/>
    <x v="12"/>
    <x v="0"/>
    <n v="17788"/>
    <x v="4"/>
    <s v="Chandigarh-1"/>
    <n v="18000"/>
    <n v="12800"/>
    <n v="4988"/>
    <n v="45"/>
    <x v="0"/>
    <x v="0"/>
  </r>
  <r>
    <s v="10443"/>
    <x v="27"/>
    <x v="1"/>
    <x v="12"/>
    <x v="3"/>
    <n v="38082"/>
    <x v="2"/>
    <s v="Ludhiana-2"/>
    <n v="39700"/>
    <n v="33100"/>
    <n v="4982"/>
    <n v="45"/>
    <x v="0"/>
    <x v="0"/>
  </r>
  <r>
    <s v="10444"/>
    <x v="27"/>
    <x v="1"/>
    <x v="13"/>
    <x v="0"/>
    <n v="133287"/>
    <x v="4"/>
    <s v="Ludhiana-1"/>
    <n v="133500"/>
    <n v="114700"/>
    <n v="18587"/>
    <n v="95"/>
    <x v="2"/>
    <x v="3"/>
  </r>
  <r>
    <s v="10445"/>
    <x v="50"/>
    <x v="0"/>
    <x v="5"/>
    <x v="1"/>
    <n v="99570"/>
    <x v="0"/>
    <s v="Jalandhar-1"/>
    <n v="86200"/>
    <n v="86800"/>
    <n v="12770"/>
    <n v="5"/>
    <x v="3"/>
    <x v="4"/>
  </r>
  <r>
    <s v="10446"/>
    <x v="7"/>
    <x v="2"/>
    <x v="6"/>
    <x v="5"/>
    <n v="111015"/>
    <x v="1"/>
    <s v="Chandigarh-1"/>
    <n v="100800"/>
    <n v="76900"/>
    <n v="34115"/>
    <n v="60"/>
    <x v="0"/>
    <x v="0"/>
  </r>
  <r>
    <s v="10447"/>
    <x v="20"/>
    <x v="0"/>
    <x v="7"/>
    <x v="4"/>
    <n v="93588"/>
    <x v="1"/>
    <s v="Jalandhar-1"/>
    <n v="94100"/>
    <n v="57700"/>
    <n v="35888"/>
    <n v="52"/>
    <x v="0"/>
    <x v="0"/>
  </r>
  <r>
    <s v="10448"/>
    <x v="23"/>
    <x v="1"/>
    <x v="12"/>
    <x v="0"/>
    <n v="98340"/>
    <x v="3"/>
    <s v="Ludhiana-2"/>
    <n v="90800"/>
    <n v="83200"/>
    <n v="15140"/>
    <n v="25"/>
    <x v="3"/>
    <x v="4"/>
  </r>
  <r>
    <s v="10449"/>
    <x v="30"/>
    <x v="3"/>
    <x v="13"/>
    <x v="3"/>
    <n v="104439"/>
    <x v="0"/>
    <s v="Amritsar-1"/>
    <n v="90600"/>
    <n v="70600"/>
    <n v="33839"/>
    <n v="68"/>
    <x v="1"/>
    <x v="1"/>
  </r>
  <r>
    <s v="10450"/>
    <x v="33"/>
    <x v="3"/>
    <x v="2"/>
    <x v="1"/>
    <n v="125053"/>
    <x v="4"/>
    <s v="Amritsar-1"/>
    <n v="143200"/>
    <n v="67700"/>
    <n v="57353"/>
    <n v="75"/>
    <x v="1"/>
    <x v="1"/>
  </r>
  <r>
    <s v="10451"/>
    <x v="23"/>
    <x v="2"/>
    <x v="12"/>
    <x v="0"/>
    <n v="58355"/>
    <x v="1"/>
    <s v="Chandigarh-1"/>
    <n v="69600"/>
    <n v="51200"/>
    <n v="7155"/>
    <n v="30"/>
    <x v="3"/>
    <x v="0"/>
  </r>
  <r>
    <s v="10452"/>
    <x v="57"/>
    <x v="2"/>
    <x v="3"/>
    <x v="3"/>
    <n v="135426"/>
    <x v="0"/>
    <s v="Chandigarh-1"/>
    <n v="152700"/>
    <n v="120700"/>
    <n v="14726"/>
    <n v="12"/>
    <x v="3"/>
    <x v="4"/>
  </r>
  <r>
    <s v="10453"/>
    <x v="22"/>
    <x v="2"/>
    <x v="3"/>
    <x v="4"/>
    <n v="74027"/>
    <x v="1"/>
    <s v="Chandigarh-1"/>
    <n v="85000"/>
    <n v="50600"/>
    <n v="23427"/>
    <n v="95"/>
    <x v="2"/>
    <x v="3"/>
  </r>
  <r>
    <s v="10454"/>
    <x v="6"/>
    <x v="2"/>
    <x v="0"/>
    <x v="4"/>
    <n v="102601"/>
    <x v="4"/>
    <s v="Chandigarh-1"/>
    <n v="95900"/>
    <n v="50100"/>
    <n v="52501"/>
    <n v="60"/>
    <x v="0"/>
    <x v="0"/>
  </r>
  <r>
    <s v="10455"/>
    <x v="53"/>
    <x v="0"/>
    <x v="1"/>
    <x v="2"/>
    <n v="39956"/>
    <x v="1"/>
    <s v="Jalandhar-1"/>
    <n v="47400"/>
    <n v="25700"/>
    <n v="14256"/>
    <n v="120"/>
    <x v="2"/>
    <x v="2"/>
  </r>
  <r>
    <s v="10456"/>
    <x v="9"/>
    <x v="0"/>
    <x v="0"/>
    <x v="5"/>
    <n v="114797"/>
    <x v="3"/>
    <s v="Jalandhar-1"/>
    <n v="105500"/>
    <n v="97800"/>
    <n v="16997"/>
    <n v="85"/>
    <x v="1"/>
    <x v="1"/>
  </r>
  <r>
    <s v="10457"/>
    <x v="41"/>
    <x v="0"/>
    <x v="8"/>
    <x v="2"/>
    <n v="134917"/>
    <x v="3"/>
    <s v="Jalandhar-1"/>
    <n v="159600"/>
    <n v="121500"/>
    <n v="13417"/>
    <n v="85"/>
    <x v="1"/>
    <x v="1"/>
  </r>
  <r>
    <s v="10458"/>
    <x v="46"/>
    <x v="1"/>
    <x v="14"/>
    <x v="1"/>
    <n v="136303"/>
    <x v="1"/>
    <s v="Ludhiana-2"/>
    <n v="163300"/>
    <n v="75200"/>
    <n v="61103"/>
    <n v="35"/>
    <x v="0"/>
    <x v="0"/>
  </r>
  <r>
    <s v="10459"/>
    <x v="26"/>
    <x v="3"/>
    <x v="4"/>
    <x v="0"/>
    <n v="146511"/>
    <x v="0"/>
    <s v="Amritsar-1"/>
    <n v="161000"/>
    <n v="70800"/>
    <n v="75711"/>
    <n v="18"/>
    <x v="3"/>
    <x v="4"/>
  </r>
  <r>
    <s v="10460"/>
    <x v="47"/>
    <x v="0"/>
    <x v="0"/>
    <x v="1"/>
    <n v="52533"/>
    <x v="0"/>
    <s v="Jalandhar-1"/>
    <n v="62700"/>
    <n v="46700"/>
    <n v="5833"/>
    <n v="85"/>
    <x v="1"/>
    <x v="1"/>
  </r>
  <r>
    <s v="10461"/>
    <x v="19"/>
    <x v="1"/>
    <x v="9"/>
    <x v="3"/>
    <n v="88815"/>
    <x v="0"/>
    <s v="Ludhiana-1"/>
    <n v="93200"/>
    <n v="57300"/>
    <n v="31515"/>
    <n v="45"/>
    <x v="0"/>
    <x v="0"/>
  </r>
  <r>
    <s v="10462"/>
    <x v="30"/>
    <x v="1"/>
    <x v="12"/>
    <x v="4"/>
    <n v="49279"/>
    <x v="1"/>
    <s v="Ludhiana-2"/>
    <n v="46400"/>
    <n v="35500"/>
    <n v="13779"/>
    <n v="60"/>
    <x v="0"/>
    <x v="0"/>
  </r>
  <r>
    <s v="10463"/>
    <x v="20"/>
    <x v="3"/>
    <x v="5"/>
    <x v="2"/>
    <n v="119787"/>
    <x v="0"/>
    <s v="Amritsar-1"/>
    <n v="120100"/>
    <n v="111900"/>
    <n v="7887"/>
    <n v="18"/>
    <x v="3"/>
    <x v="4"/>
  </r>
  <r>
    <s v="10464"/>
    <x v="2"/>
    <x v="2"/>
    <x v="11"/>
    <x v="2"/>
    <n v="71063"/>
    <x v="4"/>
    <s v="Chandigarh-1"/>
    <n v="75200"/>
    <n v="34300"/>
    <n v="36763"/>
    <n v="12"/>
    <x v="3"/>
    <x v="4"/>
  </r>
  <r>
    <s v="10465"/>
    <x v="61"/>
    <x v="0"/>
    <x v="13"/>
    <x v="2"/>
    <n v="137896"/>
    <x v="3"/>
    <s v="Jalandhar-1"/>
    <n v="120700"/>
    <n v="106800"/>
    <n v="31096"/>
    <n v="45"/>
    <x v="0"/>
    <x v="0"/>
  </r>
  <r>
    <s v="10466"/>
    <x v="13"/>
    <x v="1"/>
    <x v="11"/>
    <x v="1"/>
    <n v="107661"/>
    <x v="4"/>
    <s v="Ludhiana-1"/>
    <n v="115000"/>
    <n v="52400"/>
    <n v="55261"/>
    <n v="45"/>
    <x v="0"/>
    <x v="0"/>
  </r>
  <r>
    <s v="10467"/>
    <x v="48"/>
    <x v="3"/>
    <x v="9"/>
    <x v="4"/>
    <n v="148051"/>
    <x v="0"/>
    <s v="Amritsar-1"/>
    <n v="176700"/>
    <n v="94400"/>
    <n v="53651"/>
    <n v="25"/>
    <x v="3"/>
    <x v="4"/>
  </r>
  <r>
    <s v="10468"/>
    <x v="46"/>
    <x v="1"/>
    <x v="2"/>
    <x v="0"/>
    <n v="133257"/>
    <x v="4"/>
    <s v="Ludhiana-1"/>
    <n v="122100"/>
    <n v="113500"/>
    <n v="19757"/>
    <n v="75"/>
    <x v="1"/>
    <x v="1"/>
  </r>
  <r>
    <s v="10469"/>
    <x v="22"/>
    <x v="1"/>
    <x v="0"/>
    <x v="3"/>
    <n v="96205"/>
    <x v="0"/>
    <s v="Ludhiana-2"/>
    <n v="108500"/>
    <n v="64100"/>
    <n v="32105"/>
    <n v="60"/>
    <x v="0"/>
    <x v="0"/>
  </r>
  <r>
    <s v="10470"/>
    <x v="55"/>
    <x v="1"/>
    <x v="4"/>
    <x v="0"/>
    <n v="16910"/>
    <x v="1"/>
    <s v="Ludhiana-1"/>
    <n v="19700"/>
    <n v="16000"/>
    <n v="910"/>
    <n v="105"/>
    <x v="2"/>
    <x v="2"/>
  </r>
  <r>
    <s v="10471"/>
    <x v="37"/>
    <x v="0"/>
    <x v="2"/>
    <x v="1"/>
    <n v="56857"/>
    <x v="4"/>
    <s v="Jalandhar-1"/>
    <n v="67100"/>
    <n v="41500"/>
    <n v="15357"/>
    <n v="52"/>
    <x v="0"/>
    <x v="0"/>
  </r>
  <r>
    <s v="10472"/>
    <x v="12"/>
    <x v="3"/>
    <x v="6"/>
    <x v="3"/>
    <n v="44964"/>
    <x v="1"/>
    <s v="Amritsar-1"/>
    <n v="53300"/>
    <n v="27500"/>
    <n v="17464"/>
    <n v="95"/>
    <x v="2"/>
    <x v="3"/>
  </r>
  <r>
    <s v="10473"/>
    <x v="2"/>
    <x v="2"/>
    <x v="6"/>
    <x v="2"/>
    <n v="147050"/>
    <x v="1"/>
    <s v="Chandigarh-1"/>
    <n v="151800"/>
    <n v="82400"/>
    <n v="64650"/>
    <n v="95"/>
    <x v="2"/>
    <x v="3"/>
  </r>
  <r>
    <s v="10474"/>
    <x v="26"/>
    <x v="2"/>
    <x v="11"/>
    <x v="5"/>
    <n v="27153"/>
    <x v="2"/>
    <s v="Chandigarh-1"/>
    <n v="32400"/>
    <n v="17000"/>
    <n v="10153"/>
    <n v="5"/>
    <x v="3"/>
    <x v="4"/>
  </r>
  <r>
    <s v="10475"/>
    <x v="61"/>
    <x v="0"/>
    <x v="14"/>
    <x v="1"/>
    <n v="69765"/>
    <x v="0"/>
    <s v="Jalandhar-1"/>
    <n v="77800"/>
    <n v="44400"/>
    <n v="25365"/>
    <n v="5"/>
    <x v="3"/>
    <x v="4"/>
  </r>
  <r>
    <s v="10476"/>
    <x v="13"/>
    <x v="2"/>
    <x v="7"/>
    <x v="1"/>
    <n v="118212"/>
    <x v="3"/>
    <s v="Chandigarh-1"/>
    <n v="107200"/>
    <n v="57300"/>
    <n v="60912"/>
    <n v="30"/>
    <x v="3"/>
    <x v="0"/>
  </r>
  <r>
    <s v="10477"/>
    <x v="52"/>
    <x v="0"/>
    <x v="14"/>
    <x v="4"/>
    <n v="49071"/>
    <x v="0"/>
    <s v="Jalandhar-1"/>
    <n v="49900"/>
    <n v="31100"/>
    <n v="17971"/>
    <n v="35"/>
    <x v="0"/>
    <x v="0"/>
  </r>
  <r>
    <s v="10478"/>
    <x v="46"/>
    <x v="2"/>
    <x v="12"/>
    <x v="0"/>
    <n v="122990"/>
    <x v="3"/>
    <s v="Chandigarh-1"/>
    <n v="135500"/>
    <n v="83900"/>
    <n v="39090"/>
    <n v="18"/>
    <x v="3"/>
    <x v="4"/>
  </r>
  <r>
    <s v="10479"/>
    <x v="22"/>
    <x v="2"/>
    <x v="9"/>
    <x v="1"/>
    <n v="79519"/>
    <x v="0"/>
    <s v="Chandigarh-1"/>
    <n v="74500"/>
    <n v="64500"/>
    <n v="15019"/>
    <n v="95"/>
    <x v="2"/>
    <x v="3"/>
  </r>
  <r>
    <s v="10480"/>
    <x v="23"/>
    <x v="2"/>
    <x v="3"/>
    <x v="1"/>
    <n v="19503"/>
    <x v="1"/>
    <s v="Chandigarh-1"/>
    <n v="21000"/>
    <n v="15200"/>
    <n v="4303"/>
    <n v="60"/>
    <x v="0"/>
    <x v="0"/>
  </r>
  <r>
    <s v="10481"/>
    <x v="1"/>
    <x v="1"/>
    <x v="8"/>
    <x v="2"/>
    <n v="105457"/>
    <x v="4"/>
    <s v="Ludhiana-2"/>
    <n v="114200"/>
    <n v="84800"/>
    <n v="20657"/>
    <n v="85"/>
    <x v="1"/>
    <x v="1"/>
  </r>
  <r>
    <s v="10482"/>
    <x v="6"/>
    <x v="3"/>
    <x v="14"/>
    <x v="2"/>
    <n v="55838"/>
    <x v="4"/>
    <s v="Amritsar-1"/>
    <n v="50600"/>
    <n v="25400"/>
    <n v="30438"/>
    <n v="68"/>
    <x v="1"/>
    <x v="1"/>
  </r>
  <r>
    <s v="10483"/>
    <x v="7"/>
    <x v="2"/>
    <x v="1"/>
    <x v="3"/>
    <n v="135200"/>
    <x v="2"/>
    <s v="Chandigarh-1"/>
    <n v="141700"/>
    <n v="75600"/>
    <n v="59600"/>
    <n v="105"/>
    <x v="2"/>
    <x v="2"/>
  </r>
  <r>
    <s v="10484"/>
    <x v="59"/>
    <x v="1"/>
    <x v="8"/>
    <x v="5"/>
    <n v="99489"/>
    <x v="3"/>
    <s v="Ludhiana-1"/>
    <n v="111400"/>
    <n v="77700"/>
    <n v="21789"/>
    <n v="120"/>
    <x v="2"/>
    <x v="2"/>
  </r>
  <r>
    <s v="10485"/>
    <x v="10"/>
    <x v="0"/>
    <x v="9"/>
    <x v="4"/>
    <n v="36806"/>
    <x v="3"/>
    <s v="Jalandhar-1"/>
    <n v="37700"/>
    <n v="25500"/>
    <n v="11306"/>
    <n v="35"/>
    <x v="0"/>
    <x v="0"/>
  </r>
  <r>
    <s v="10486"/>
    <x v="23"/>
    <x v="2"/>
    <x v="8"/>
    <x v="5"/>
    <n v="80119"/>
    <x v="3"/>
    <s v="Chandigarh-1"/>
    <n v="68400"/>
    <n v="36300"/>
    <n v="43819"/>
    <n v="25"/>
    <x v="3"/>
    <x v="4"/>
  </r>
  <r>
    <s v="10487"/>
    <x v="16"/>
    <x v="2"/>
    <x v="4"/>
    <x v="3"/>
    <n v="48714"/>
    <x v="1"/>
    <s v="Chandigarh-1"/>
    <n v="41600"/>
    <n v="41500"/>
    <n v="7214"/>
    <n v="85"/>
    <x v="1"/>
    <x v="1"/>
  </r>
  <r>
    <s v="10488"/>
    <x v="40"/>
    <x v="0"/>
    <x v="0"/>
    <x v="2"/>
    <n v="65419"/>
    <x v="3"/>
    <s v="Jalandhar-1"/>
    <n v="63800"/>
    <n v="54700"/>
    <n v="10719"/>
    <n v="45"/>
    <x v="0"/>
    <x v="0"/>
  </r>
  <r>
    <s v="10489"/>
    <x v="25"/>
    <x v="3"/>
    <x v="4"/>
    <x v="0"/>
    <n v="115432"/>
    <x v="4"/>
    <s v="Amritsar-1"/>
    <n v="135500"/>
    <n v="83600"/>
    <n v="31832"/>
    <n v="52"/>
    <x v="0"/>
    <x v="0"/>
  </r>
  <r>
    <s v="10490"/>
    <x v="29"/>
    <x v="1"/>
    <x v="8"/>
    <x v="2"/>
    <n v="102949"/>
    <x v="1"/>
    <s v="Ludhiana-1"/>
    <n v="95700"/>
    <n v="49700"/>
    <n v="53249"/>
    <n v="60"/>
    <x v="0"/>
    <x v="0"/>
  </r>
  <r>
    <s v="10491"/>
    <x v="52"/>
    <x v="0"/>
    <x v="2"/>
    <x v="4"/>
    <n v="143533"/>
    <x v="0"/>
    <s v="Jalandhar-1"/>
    <n v="153900"/>
    <n v="119600"/>
    <n v="23933"/>
    <n v="95"/>
    <x v="2"/>
    <x v="3"/>
  </r>
  <r>
    <s v="10492"/>
    <x v="49"/>
    <x v="3"/>
    <x v="6"/>
    <x v="2"/>
    <n v="86971"/>
    <x v="3"/>
    <s v="Amritsar-1"/>
    <n v="80700"/>
    <n v="64500"/>
    <n v="22471"/>
    <n v="75"/>
    <x v="1"/>
    <x v="1"/>
  </r>
  <r>
    <s v="10493"/>
    <x v="8"/>
    <x v="2"/>
    <x v="8"/>
    <x v="4"/>
    <n v="103471"/>
    <x v="3"/>
    <s v="Chandigarh-1"/>
    <n v="99600"/>
    <n v="87000"/>
    <n v="16471"/>
    <n v="35"/>
    <x v="0"/>
    <x v="0"/>
  </r>
  <r>
    <s v="10494"/>
    <x v="16"/>
    <x v="1"/>
    <x v="4"/>
    <x v="4"/>
    <n v="74946"/>
    <x v="0"/>
    <s v="Ludhiana-1"/>
    <n v="85900"/>
    <n v="61900"/>
    <n v="13046"/>
    <n v="120"/>
    <x v="2"/>
    <x v="2"/>
  </r>
  <r>
    <s v="10495"/>
    <x v="15"/>
    <x v="3"/>
    <x v="5"/>
    <x v="4"/>
    <n v="108989"/>
    <x v="3"/>
    <s v="Amritsar-1"/>
    <n v="120400"/>
    <n v="92800"/>
    <n v="16189"/>
    <n v="35"/>
    <x v="0"/>
    <x v="0"/>
  </r>
  <r>
    <s v="10496"/>
    <x v="61"/>
    <x v="3"/>
    <x v="9"/>
    <x v="3"/>
    <n v="94080"/>
    <x v="0"/>
    <s v="Amritsar-1"/>
    <n v="83100"/>
    <n v="66700"/>
    <n v="27380"/>
    <n v="52"/>
    <x v="0"/>
    <x v="0"/>
  </r>
  <r>
    <s v="10497"/>
    <x v="12"/>
    <x v="2"/>
    <x v="2"/>
    <x v="4"/>
    <n v="87794"/>
    <x v="1"/>
    <s v="Chandigarh-1"/>
    <n v="87800"/>
    <n v="45700"/>
    <n v="42094"/>
    <n v="85"/>
    <x v="1"/>
    <x v="1"/>
  </r>
  <r>
    <s v="10498"/>
    <x v="43"/>
    <x v="0"/>
    <x v="4"/>
    <x v="4"/>
    <n v="40841"/>
    <x v="4"/>
    <s v="Jalandhar-1"/>
    <n v="35100"/>
    <n v="32100"/>
    <n v="8741"/>
    <n v="30"/>
    <x v="3"/>
    <x v="0"/>
  </r>
  <r>
    <s v="10499"/>
    <x v="59"/>
    <x v="3"/>
    <x v="14"/>
    <x v="0"/>
    <n v="134447"/>
    <x v="0"/>
    <s v="Amritsar-1"/>
    <n v="136900"/>
    <n v="102200"/>
    <n v="32247"/>
    <n v="105"/>
    <x v="2"/>
    <x v="2"/>
  </r>
  <r>
    <s v="10500"/>
    <x v="33"/>
    <x v="1"/>
    <x v="13"/>
    <x v="5"/>
    <n v="130029"/>
    <x v="2"/>
    <s v="Ludhiana-1"/>
    <n v="140700"/>
    <n v="106800"/>
    <n v="23229"/>
    <n v="18"/>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1E5B9-60BA-4471-A923-F16267053C7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1:C77" firstHeaderRow="1" firstDataRow="1" firstDataCol="1" rowPageCount="1" colPageCount="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6">
        <item x="0"/>
        <item x="3"/>
        <item x="12"/>
        <item x="13"/>
        <item x="14"/>
        <item x="9"/>
        <item x="6"/>
        <item x="1"/>
        <item x="8"/>
        <item x="4"/>
        <item x="5"/>
        <item x="7"/>
        <item x="2"/>
        <item x="11"/>
        <item x="10"/>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numFmtId="164" showAll="0"/>
    <pivotField numFmtId="164" showAll="0"/>
    <pivotField dataField="1" numFmtId="164" showAll="0"/>
    <pivotField showAll="0"/>
    <pivotField axis="axisPage" multipleItemSelectionAllowed="1" showAll="0">
      <items count="5">
        <item h="1" x="3"/>
        <item h="1" x="0"/>
        <item h="1" x="1"/>
        <item x="2"/>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16">
    <i>
      <x v="14"/>
    </i>
    <i>
      <x v="6"/>
    </i>
    <i>
      <x v="13"/>
    </i>
    <i>
      <x v="12"/>
    </i>
    <i>
      <x v="3"/>
    </i>
    <i>
      <x v="7"/>
    </i>
    <i>
      <x v="4"/>
    </i>
    <i>
      <x v="1"/>
    </i>
    <i>
      <x v="2"/>
    </i>
    <i>
      <x v="8"/>
    </i>
    <i>
      <x v="5"/>
    </i>
    <i>
      <x v="11"/>
    </i>
    <i>
      <x v="9"/>
    </i>
    <i>
      <x v="10"/>
    </i>
    <i>
      <x/>
    </i>
    <i t="grand">
      <x/>
    </i>
  </rowItems>
  <colItems count="1">
    <i/>
  </colItems>
  <pageFields count="1">
    <pageField fld="12" hier="-1"/>
  </pageFields>
  <dataFields count="1">
    <dataField name="Sum of Outstanding" fld="10" baseField="0" baseItem="0"/>
  </dataFields>
  <formats count="7">
    <format dxfId="47">
      <pivotArea outline="0" collapsedLevelsAreSubtotals="1" fieldPosition="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fieldPosition="0">
        <references count="1">
          <reference field="4294967294" count="1">
            <x v="0"/>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00F9F2-7648-4372-AADA-EF4BC786872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3:J54" firstHeaderRow="0"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dataField="1" numFmtId="164" showAll="0"/>
    <pivotField dataField="1" numFmtId="164" showAll="0"/>
    <pivotField dataField="1" numFmtId="164" showAll="0"/>
    <pivotField showAll="0"/>
    <pivotField axis="axisRow" showAll="0">
      <items count="5">
        <item x="3"/>
        <item x="0"/>
        <item x="1"/>
        <item x="2"/>
        <item t="default"/>
      </items>
    </pivotField>
    <pivotField axis="axisRow" dataField="1" showAll="0">
      <items count="7">
        <item x="2"/>
        <item x="1"/>
        <item x="0"/>
        <item x="3"/>
        <item m="1" x="5"/>
        <item x="4"/>
        <item t="default"/>
      </items>
    </pivotField>
    <pivotField showAll="0">
      <items count="15">
        <item x="0"/>
        <item x="1"/>
        <item x="2"/>
        <item x="3"/>
        <item x="4"/>
        <item x="5"/>
        <item x="6"/>
        <item x="7"/>
        <item x="8"/>
        <item x="9"/>
        <item x="10"/>
        <item x="11"/>
        <item x="12"/>
        <item x="13"/>
        <item t="default"/>
      </items>
    </pivotField>
  </pivotFields>
  <rowFields count="2">
    <field x="12"/>
    <field x="13"/>
  </rowFields>
  <rowItems count="11">
    <i>
      <x/>
    </i>
    <i r="1">
      <x v="2"/>
    </i>
    <i r="1">
      <x v="5"/>
    </i>
    <i>
      <x v="1"/>
    </i>
    <i r="1">
      <x v="2"/>
    </i>
    <i>
      <x v="2"/>
    </i>
    <i r="1">
      <x v="1"/>
    </i>
    <i>
      <x v="3"/>
    </i>
    <i r="1">
      <x/>
    </i>
    <i r="1">
      <x v="3"/>
    </i>
    <i t="grand">
      <x/>
    </i>
  </rowItems>
  <colFields count="1">
    <field x="-2"/>
  </colFields>
  <colItems count="5">
    <i>
      <x/>
    </i>
    <i i="1">
      <x v="1"/>
    </i>
    <i i="2">
      <x v="2"/>
    </i>
    <i i="3">
      <x v="3"/>
    </i>
    <i i="4">
      <x v="4"/>
    </i>
  </colItems>
  <dataFields count="5">
    <dataField name="Sum of Sales" fld="5" baseField="0" baseItem="0" numFmtId="167"/>
    <dataField name="Sum of Target_Sales" fld="8" baseField="0" baseItem="0"/>
    <dataField name="Sum of Collection" fld="9" baseField="0" baseItem="0"/>
    <dataField name="Sum of Outstanding" fld="10" baseField="0" baseItem="0"/>
    <dataField name="Count of Condition" fld="13" subtotal="count" baseField="0" baseItem="0"/>
  </dataFields>
  <formats count="8">
    <format dxfId="55">
      <pivotArea outline="0" collapsedLevelsAreSubtotals="1" fieldPosition="0"/>
    </format>
    <format dxfId="54">
      <pivotArea outline="0" collapsedLevelsAreSubtotals="1" fieldPosition="0">
        <references count="1">
          <reference field="4294967294" count="1" selected="0">
            <x v="4"/>
          </reference>
        </references>
      </pivotArea>
    </format>
    <format dxfId="53">
      <pivotArea type="all" dataOnly="0" outline="0" fieldPosition="0"/>
    </format>
    <format dxfId="52">
      <pivotArea outline="0" collapsedLevelsAreSubtotals="1" fieldPosition="0"/>
    </format>
    <format dxfId="51">
      <pivotArea field="12" type="button" dataOnly="0" labelOnly="1" outline="0" axis="axisRow" fieldPosition="0"/>
    </format>
    <format dxfId="50">
      <pivotArea dataOnly="0" labelOnly="1" fieldPosition="0">
        <references count="1">
          <reference field="12" count="0"/>
        </references>
      </pivotArea>
    </format>
    <format dxfId="49">
      <pivotArea dataOnly="0" labelOnly="1" grandRow="1" outline="0" fieldPosition="0"/>
    </format>
    <format dxfId="48">
      <pivotArea dataOnly="0" labelOnly="1" outline="0" fieldPosition="0">
        <references count="1">
          <reference field="4294967294" count="5">
            <x v="0"/>
            <x v="1"/>
            <x v="2"/>
            <x v="3"/>
            <x v="4"/>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39A1B-4B72-4F46-ADD2-DC0E186B02E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25:O32" firstHeaderRow="0"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7">
        <item x="2"/>
        <item x="5"/>
        <item x="4"/>
        <item x="3"/>
        <item x="0"/>
        <item x="1"/>
        <item t="default"/>
      </items>
      <autoSortScope>
        <pivotArea dataOnly="0" outline="0" fieldPosition="0">
          <references count="1">
            <reference field="4294967294" count="1" selected="0">
              <x v="2"/>
            </reference>
          </references>
        </pivotArea>
      </autoSortScope>
    </pivotField>
    <pivotField dataField="1" numFmtId="164" showAll="0"/>
    <pivotField showAll="0"/>
    <pivotField showAll="0"/>
    <pivotField numFmtId="164" showAll="0"/>
    <pivotField dataField="1" numFmtId="164"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7">
    <i>
      <x/>
    </i>
    <i>
      <x v="4"/>
    </i>
    <i>
      <x v="3"/>
    </i>
    <i>
      <x v="5"/>
    </i>
    <i>
      <x v="1"/>
    </i>
    <i>
      <x v="2"/>
    </i>
    <i t="grand">
      <x/>
    </i>
  </rowItems>
  <colFields count="1">
    <field x="-2"/>
  </colFields>
  <colItems count="3">
    <i>
      <x/>
    </i>
    <i i="1">
      <x v="1"/>
    </i>
    <i i="2">
      <x v="2"/>
    </i>
  </colItems>
  <dataFields count="3">
    <dataField name="Sum of Sales" fld="5" baseField="0" baseItem="0"/>
    <dataField name="Sum of Outstanding" fld="10" baseField="0" baseItem="0"/>
    <dataField name="Sum of Collection" fld="9" baseField="0" baseItem="0"/>
  </dataFields>
  <formats count="7">
    <format dxfId="62">
      <pivotArea outline="0" collapsedLevelsAreSubtotals="1" fieldPosition="0"/>
    </format>
    <format dxfId="61">
      <pivotArea type="all" dataOnly="0" outline="0" fieldPosition="0"/>
    </format>
    <format dxfId="60">
      <pivotArea outline="0" collapsedLevelsAreSubtotals="1" fieldPosition="0"/>
    </format>
    <format dxfId="59">
      <pivotArea field="4" type="button" dataOnly="0" labelOnly="1" outline="0" axis="axisRow" fieldPosition="0"/>
    </format>
    <format dxfId="58">
      <pivotArea dataOnly="0" labelOnly="1" fieldPosition="0">
        <references count="1">
          <reference field="4" count="0"/>
        </references>
      </pivotArea>
    </format>
    <format dxfId="57">
      <pivotArea dataOnly="0" labelOnly="1" grandRow="1" outline="0" fieldPosition="0"/>
    </format>
    <format dxfId="56">
      <pivotArea dataOnly="0" labelOnly="1" outline="0" fieldPosition="0">
        <references count="1">
          <reference field="4294967294" count="3">
            <x v="0"/>
            <x v="1"/>
            <x v="2"/>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C09460-01B9-4309-92F5-BA4402D85F8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F7" firstHeaderRow="0"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m="1" x="4"/>
        <item x="3"/>
        <item m="1" x="5"/>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dataField="1" numFmtId="164" showAll="0"/>
    <pivotField dataField="1" numFmtId="164"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v="5"/>
    </i>
    <i>
      <x v="3"/>
    </i>
    <i>
      <x v="4"/>
    </i>
    <i>
      <x v="1"/>
    </i>
    <i t="grand">
      <x/>
    </i>
  </rowItems>
  <colFields count="1">
    <field x="-2"/>
  </colFields>
  <colItems count="4">
    <i>
      <x/>
    </i>
    <i i="1">
      <x v="1"/>
    </i>
    <i i="2">
      <x v="2"/>
    </i>
    <i i="3">
      <x v="3"/>
    </i>
  </colItems>
  <dataFields count="4">
    <dataField name="Sum of Sales" fld="5" baseField="0" baseItem="0" numFmtId="167"/>
    <dataField name="Sum of Target_Sales" fld="8" baseField="0" baseItem="0"/>
    <dataField name="Sum of Collection" fld="9" baseField="0" baseItem="0"/>
    <dataField name="Sum of Outstanding" fld="10" baseField="0" baseItem="0"/>
  </dataFields>
  <formats count="7">
    <format dxfId="69">
      <pivotArea outline="0" collapsedLevelsAreSubtotals="1" fieldPosition="0"/>
    </format>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dataOnly="0" labelOnly="1" fieldPosition="0">
        <references count="1">
          <reference field="2" count="0"/>
        </references>
      </pivotArea>
    </format>
    <format dxfId="64">
      <pivotArea dataOnly="0" labelOnly="1" grandRow="1" outline="0" fieldPosition="0"/>
    </format>
    <format dxfId="63">
      <pivotArea dataOnly="0" labelOnly="1" outline="0" fieldPosition="0">
        <references count="1">
          <reference field="4294967294" count="4">
            <x v="0"/>
            <x v="1"/>
            <x v="2"/>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7C431D-C2EA-416C-9F49-1728ECD2C22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2:G17" firstHeaderRow="0"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dataField="1" numFmtId="164" showAll="0"/>
    <pivotField dataField="1" numFmtId="164" showAll="0"/>
    <pivotField dataField="1" numFmtId="164" showAll="0"/>
    <pivotField showAll="0"/>
    <pivotField axis="axisRow" dataField="1"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Fields count="1">
    <field x="-2"/>
  </colFields>
  <colItems count="5">
    <i>
      <x/>
    </i>
    <i i="1">
      <x v="1"/>
    </i>
    <i i="2">
      <x v="2"/>
    </i>
    <i i="3">
      <x v="3"/>
    </i>
    <i i="4">
      <x v="4"/>
    </i>
  </colItems>
  <dataFields count="5">
    <dataField name="Sum of Sales" fld="5" baseField="0" baseItem="0" numFmtId="167"/>
    <dataField name="Sum of Target_Sales" fld="8" baseField="0" baseItem="0"/>
    <dataField name="Sum of Collection" fld="9" baseField="0" baseItem="0"/>
    <dataField name="Sum of Outstanding" fld="10" baseField="0" baseItem="0"/>
    <dataField name="Count of Aging_Bucket" fld="12" subtotal="count" baseField="0" baseItem="0"/>
  </dataFields>
  <formats count="8">
    <format dxfId="77">
      <pivotArea outline="0" collapsedLevelsAreSubtotals="1" fieldPosition="0"/>
    </format>
    <format dxfId="76">
      <pivotArea type="all" dataOnly="0" outline="0" fieldPosition="0"/>
    </format>
    <format dxfId="75">
      <pivotArea outline="0" collapsedLevelsAreSubtotals="1" fieldPosition="0"/>
    </format>
    <format dxfId="74">
      <pivotArea field="12" type="button" dataOnly="0" labelOnly="1" outline="0" axis="axisRow" fieldPosition="0"/>
    </format>
    <format dxfId="73">
      <pivotArea dataOnly="0" labelOnly="1" fieldPosition="0">
        <references count="1">
          <reference field="12" count="0"/>
        </references>
      </pivotArea>
    </format>
    <format dxfId="72">
      <pivotArea dataOnly="0" labelOnly="1" grandRow="1" outline="0" fieldPosition="0"/>
    </format>
    <format dxfId="71">
      <pivotArea dataOnly="0" labelOnly="1" outline="0" fieldPosition="0">
        <references count="1">
          <reference field="4294967294" count="4">
            <x v="0"/>
            <x v="1"/>
            <x v="2"/>
            <x v="3"/>
          </reference>
        </references>
      </pivotArea>
    </format>
    <format dxfId="70">
      <pivotArea outline="0" collapsedLevelsAreSubtotals="1" fieldPosition="0">
        <references count="1">
          <reference field="4294967294" count="1" selected="0">
            <x v="4"/>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BA926E-6818-4D0E-85CB-9844B872A2F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19"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6">
        <item x="0"/>
        <item x="3"/>
        <item x="12"/>
        <item x="13"/>
        <item x="14"/>
        <item x="9"/>
        <item x="6"/>
        <item x="1"/>
        <item x="8"/>
        <item x="4"/>
        <item x="5"/>
        <item x="7"/>
        <item x="2"/>
        <item x="11"/>
        <item x="10"/>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numFmtId="164" showAll="0"/>
    <pivotField numFmtId="164"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16">
    <i>
      <x v="13"/>
    </i>
    <i>
      <x v="12"/>
    </i>
    <i>
      <x v="9"/>
    </i>
    <i>
      <x v="6"/>
    </i>
    <i>
      <x v="8"/>
    </i>
    <i>
      <x v="1"/>
    </i>
    <i>
      <x/>
    </i>
    <i>
      <x v="14"/>
    </i>
    <i>
      <x v="11"/>
    </i>
    <i>
      <x v="3"/>
    </i>
    <i>
      <x v="5"/>
    </i>
    <i>
      <x v="4"/>
    </i>
    <i>
      <x v="7"/>
    </i>
    <i>
      <x v="2"/>
    </i>
    <i>
      <x v="10"/>
    </i>
    <i t="grand">
      <x/>
    </i>
  </rowItems>
  <colItems count="1">
    <i/>
  </colItems>
  <dataFields count="1">
    <dataField name="Sum of Outstanding" fld="10" baseField="0" baseItem="0"/>
  </dataFields>
  <formats count="7">
    <format dxfId="84">
      <pivotArea outline="0" collapsedLevelsAreSubtotals="1" fieldPosition="0"/>
    </format>
    <format dxfId="83">
      <pivotArea type="all" dataOnly="0" outline="0" fieldPosition="0"/>
    </format>
    <format dxfId="82">
      <pivotArea outline="0" collapsedLevelsAreSubtotals="1" fieldPosition="0"/>
    </format>
    <format dxfId="81">
      <pivotArea field="3" type="button" dataOnly="0" labelOnly="1" outline="0" axis="axisRow" fieldPosition="0"/>
    </format>
    <format dxfId="80">
      <pivotArea dataOnly="0" labelOnly="1" fieldPosition="0">
        <references count="1">
          <reference field="3" count="0"/>
        </references>
      </pivotArea>
    </format>
    <format dxfId="79">
      <pivotArea dataOnly="0" labelOnly="1" grandRow="1" outline="0" fieldPosition="0"/>
    </format>
    <format dxfId="78">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BB79DA-4919-4685-879F-93B412B39B6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9:C55"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6">
        <item x="0"/>
        <item x="3"/>
        <item x="12"/>
        <item x="13"/>
        <item x="14"/>
        <item x="9"/>
        <item x="6"/>
        <item x="1"/>
        <item x="8"/>
        <item x="4"/>
        <item x="5"/>
        <item x="7"/>
        <item x="2"/>
        <item x="11"/>
        <item x="10"/>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numFmtId="164" showAll="0"/>
    <pivotField numFmtId="164"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16">
    <i>
      <x v="12"/>
    </i>
    <i>
      <x v="1"/>
    </i>
    <i>
      <x v="13"/>
    </i>
    <i>
      <x v="8"/>
    </i>
    <i>
      <x v="6"/>
    </i>
    <i>
      <x/>
    </i>
    <i>
      <x v="9"/>
    </i>
    <i>
      <x v="3"/>
    </i>
    <i>
      <x v="5"/>
    </i>
    <i>
      <x v="10"/>
    </i>
    <i>
      <x v="4"/>
    </i>
    <i>
      <x v="14"/>
    </i>
    <i>
      <x v="11"/>
    </i>
    <i>
      <x v="7"/>
    </i>
    <i>
      <x v="2"/>
    </i>
    <i t="grand">
      <x/>
    </i>
  </rowItems>
  <colItems count="1">
    <i/>
  </colItems>
  <dataFields count="1">
    <dataField name="Sum of Sales" fld="5" baseField="0" baseItem="0"/>
  </dataFields>
  <formats count="7">
    <format dxfId="91">
      <pivotArea outline="0" collapsedLevelsAreSubtotals="1" fieldPosition="0"/>
    </format>
    <format dxfId="90">
      <pivotArea type="all" dataOnly="0" outline="0" fieldPosition="0"/>
    </format>
    <format dxfId="89">
      <pivotArea outline="0" collapsedLevelsAreSubtotals="1" fieldPosition="0"/>
    </format>
    <format dxfId="88">
      <pivotArea field="3" type="button" dataOnly="0" labelOnly="1" outline="0" axis="axisRow" fieldPosition="0"/>
    </format>
    <format dxfId="87">
      <pivotArea dataOnly="0" labelOnly="1" fieldPosition="0">
        <references count="1">
          <reference field="3" count="0"/>
        </references>
      </pivotArea>
    </format>
    <format dxfId="86">
      <pivotArea dataOnly="0" labelOnly="1" grandRow="1" outline="0" fieldPosition="0"/>
    </format>
    <format dxfId="85">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8B3E4A-D129-4139-8246-5C7BE44DAF8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0:F36" firstHeaderRow="0"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6">
        <item x="0"/>
        <item x="3"/>
        <item x="12"/>
        <item x="13"/>
        <item x="14"/>
        <item x="9"/>
        <item x="6"/>
        <item x="1"/>
        <item x="8"/>
        <item x="4"/>
        <item x="5"/>
        <item x="7"/>
        <item x="2"/>
        <item x="11"/>
        <item x="10"/>
        <item t="default"/>
      </items>
      <autoSortScope>
        <pivotArea dataOnly="0" outline="0" fieldPosition="0">
          <references count="1">
            <reference field="4294967294" count="1" selected="0">
              <x v="3"/>
            </reference>
          </references>
        </pivotArea>
      </autoSortScope>
    </pivotField>
    <pivotField showAll="0"/>
    <pivotField dataField="1" numFmtId="164" showAll="0"/>
    <pivotField showAll="0"/>
    <pivotField showAll="0"/>
    <pivotField dataField="1" numFmtId="164" showAll="0"/>
    <pivotField dataField="1" numFmtId="164"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16">
    <i>
      <x v="13"/>
    </i>
    <i>
      <x v="12"/>
    </i>
    <i>
      <x v="9"/>
    </i>
    <i>
      <x v="6"/>
    </i>
    <i>
      <x v="8"/>
    </i>
    <i>
      <x v="1"/>
    </i>
    <i>
      <x/>
    </i>
    <i>
      <x v="14"/>
    </i>
    <i>
      <x v="11"/>
    </i>
    <i>
      <x v="3"/>
    </i>
    <i>
      <x v="5"/>
    </i>
    <i>
      <x v="4"/>
    </i>
    <i>
      <x v="7"/>
    </i>
    <i>
      <x v="2"/>
    </i>
    <i>
      <x v="10"/>
    </i>
    <i t="grand">
      <x/>
    </i>
  </rowItems>
  <colFields count="1">
    <field x="-2"/>
  </colFields>
  <colItems count="4">
    <i>
      <x/>
    </i>
    <i i="1">
      <x v="1"/>
    </i>
    <i i="2">
      <x v="2"/>
    </i>
    <i i="3">
      <x v="3"/>
    </i>
  </colItems>
  <dataFields count="4">
    <dataField name="Sum of Sales" fld="5" baseField="0" baseItem="0" numFmtId="167"/>
    <dataField name="Sum of Target_Sales" fld="8" baseField="0" baseItem="0"/>
    <dataField name="Sum of Collection" fld="9" baseField="0" baseItem="0"/>
    <dataField name="Sum of Outstanding" fld="10" baseField="0" baseItem="0"/>
  </dataFields>
  <formats count="7">
    <format dxfId="98">
      <pivotArea outline="0" collapsedLevelsAreSubtotals="1" fieldPosition="0"/>
    </format>
    <format dxfId="97">
      <pivotArea type="all" dataOnly="0" outline="0" fieldPosition="0"/>
    </format>
    <format dxfId="96">
      <pivotArea outline="0" collapsedLevelsAreSubtotals="1" fieldPosition="0"/>
    </format>
    <format dxfId="95">
      <pivotArea field="3" type="button" dataOnly="0" labelOnly="1" outline="0" axis="axisRow" fieldPosition="0"/>
    </format>
    <format dxfId="94">
      <pivotArea dataOnly="0" labelOnly="1" fieldPosition="0">
        <references count="1">
          <reference field="3" count="0"/>
        </references>
      </pivotArea>
    </format>
    <format dxfId="93">
      <pivotArea dataOnly="0" labelOnly="1" grandRow="1" outline="0" fieldPosition="0"/>
    </format>
    <format dxfId="92">
      <pivotArea dataOnly="0" labelOnly="1" outline="0" fieldPosition="0">
        <references count="1">
          <reference field="4294967294" count="4">
            <x v="0"/>
            <x v="1"/>
            <x v="2"/>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8721BE-DAAA-45AD-9EDB-A7D6026BD48C}"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R3:X32" firstHeaderRow="0" firstDataRow="1" firstDataCol="2"/>
  <pivotFields count="15">
    <pivotField compact="0" outline="0" showAll="0" insertBlankRow="1"/>
    <pivotField compact="0" numFmtId="165" outline="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nsertBlankRow="1" sortType="descending">
      <items count="7">
        <item m="1" x="4"/>
        <item x="3"/>
        <item m="1" x="5"/>
        <item x="2"/>
        <item x="0"/>
        <item x="1"/>
        <item t="default"/>
      </items>
      <autoSortScope>
        <pivotArea dataOnly="0" outline="0" fieldPosition="0">
          <references count="1">
            <reference field="4294967294" count="1" selected="0">
              <x v="0"/>
            </reference>
          </references>
        </pivotArea>
      </autoSortScope>
    </pivotField>
    <pivotField dataField="1" compact="0" outline="0" showAll="0" insertBlankRow="1"/>
    <pivotField compact="0" outline="0" showAll="0" insertBlankRow="1"/>
    <pivotField dataField="1" compact="0" numFmtId="164" outline="0" showAll="0" insertBlankRow="1"/>
    <pivotField compact="0" outline="0" showAll="0" insertBlankRow="1"/>
    <pivotField compact="0" outline="0" showAll="0" insertBlankRow="1"/>
    <pivotField dataField="1" compact="0" numFmtId="164" outline="0" showAll="0" insertBlankRow="1"/>
    <pivotField dataField="1" compact="0" numFmtId="164" outline="0" showAll="0" insertBlankRow="1"/>
    <pivotField dataField="1" compact="0" numFmtId="164" outline="0" showAll="0" insertBlankRow="1"/>
    <pivotField compact="0" outline="0" showAll="0" insertBlankRow="1"/>
    <pivotField compact="0" outline="0" showAll="0" insertBlankRow="1"/>
    <pivotField axis="axisRow" compact="0" outline="0" showAll="0" insertBlankRow="1">
      <items count="7">
        <item x="2"/>
        <item x="1"/>
        <item x="0"/>
        <item m="1" x="5"/>
        <item x="4"/>
        <item x="3"/>
        <item t="default"/>
      </items>
    </pivotField>
    <pivotField compact="0" outline="0" showAll="0" insertBlankRow="1">
      <items count="15">
        <item x="0"/>
        <item x="1"/>
        <item x="2"/>
        <item x="3"/>
        <item x="4"/>
        <item x="5"/>
        <item x="6"/>
        <item x="7"/>
        <item x="8"/>
        <item x="9"/>
        <item x="10"/>
        <item x="11"/>
        <item x="12"/>
        <item x="13"/>
        <item t="default"/>
      </items>
    </pivotField>
  </pivotFields>
  <rowFields count="2">
    <field x="2"/>
    <field x="13"/>
  </rowFields>
  <rowItems count="29">
    <i>
      <x v="5"/>
      <x/>
    </i>
    <i r="1">
      <x v="1"/>
    </i>
    <i r="1">
      <x v="2"/>
    </i>
    <i r="1">
      <x v="4"/>
    </i>
    <i r="1">
      <x v="5"/>
    </i>
    <i t="default">
      <x v="5"/>
    </i>
    <i t="blank">
      <x v="5"/>
    </i>
    <i>
      <x v="3"/>
      <x/>
    </i>
    <i r="1">
      <x v="1"/>
    </i>
    <i r="1">
      <x v="2"/>
    </i>
    <i r="1">
      <x v="4"/>
    </i>
    <i r="1">
      <x v="5"/>
    </i>
    <i t="default">
      <x v="3"/>
    </i>
    <i t="blank">
      <x v="3"/>
    </i>
    <i>
      <x v="4"/>
      <x/>
    </i>
    <i r="1">
      <x v="1"/>
    </i>
    <i r="1">
      <x v="2"/>
    </i>
    <i r="1">
      <x v="4"/>
    </i>
    <i r="1">
      <x v="5"/>
    </i>
    <i t="default">
      <x v="4"/>
    </i>
    <i t="blank">
      <x v="4"/>
    </i>
    <i>
      <x v="1"/>
      <x/>
    </i>
    <i r="1">
      <x v="1"/>
    </i>
    <i r="1">
      <x v="2"/>
    </i>
    <i r="1">
      <x v="4"/>
    </i>
    <i r="1">
      <x v="5"/>
    </i>
    <i t="default">
      <x v="1"/>
    </i>
    <i t="blank">
      <x v="1"/>
    </i>
    <i t="grand">
      <x/>
    </i>
  </rowItems>
  <colFields count="1">
    <field x="-2"/>
  </colFields>
  <colItems count="5">
    <i>
      <x/>
    </i>
    <i i="1">
      <x v="1"/>
    </i>
    <i i="2">
      <x v="2"/>
    </i>
    <i i="3">
      <x v="3"/>
    </i>
    <i i="4">
      <x v="4"/>
    </i>
  </colItems>
  <dataFields count="5">
    <dataField name="Sum of Sales" fld="5" baseField="0" baseItem="0" numFmtId="167"/>
    <dataField name="Sum of Target_Sales" fld="8" baseField="0" baseItem="0"/>
    <dataField name="Sum of Collection" fld="9" baseField="0" baseItem="0"/>
    <dataField name="Sum of Outstanding" fld="10" baseField="0" baseItem="0"/>
    <dataField name="Count of Customer" fld="3" subtotal="count" baseField="0" baseItem="0"/>
  </dataFields>
  <formats count="8">
    <format dxfId="106">
      <pivotArea outline="0" collapsedLevelsAreSubtotals="1" fieldPosition="0"/>
    </format>
    <format dxfId="105">
      <pivotArea type="all" dataOnly="0" outline="0" fieldPosition="0"/>
    </format>
    <format dxfId="104">
      <pivotArea outline="0" collapsedLevelsAreSubtotals="1"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outline="0" fieldPosition="0">
        <references count="1">
          <reference field="4294967294" count="4">
            <x v="0"/>
            <x v="1"/>
            <x v="2"/>
            <x v="3"/>
          </reference>
        </references>
      </pivotArea>
    </format>
    <format dxfId="99">
      <pivotArea outline="0" collapsedLevelsAreSubtotals="1" fieldPosition="0">
        <references count="1">
          <reference field="4294967294" count="1" selected="0">
            <x v="4"/>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046F66-7573-4262-BF49-AA5621E85899}" name="pvt 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C30:D33" firstHeaderRow="1" firstDataRow="1" firstDataCol="1"/>
  <pivotFields count="15">
    <pivotField showAll="0"/>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m="1" x="4"/>
        <item x="3"/>
        <item m="1" x="5"/>
        <item x="2"/>
        <item x="0"/>
        <item x="1"/>
        <item t="default"/>
      </items>
    </pivotField>
    <pivotField showAll="0"/>
    <pivotField showAll="0">
      <items count="7">
        <item x="2"/>
        <item x="5"/>
        <item x="4"/>
        <item x="3"/>
        <item x="0"/>
        <item x="1"/>
        <item t="default"/>
      </items>
    </pivotField>
    <pivotField dataField="1" numFmtId="164" showAll="0"/>
    <pivotField showAll="0">
      <items count="6">
        <item x="0"/>
        <item x="3"/>
        <item x="4"/>
        <item x="2"/>
        <item x="1"/>
        <item t="default"/>
      </items>
    </pivotField>
    <pivotField showAll="0"/>
    <pivotField numFmtId="164" showAll="0"/>
    <pivotField numFmtId="164" showAll="0"/>
    <pivotField numFmtId="164" showAll="0"/>
    <pivotField showAll="0"/>
    <pivotField showAll="0">
      <items count="5">
        <item x="3"/>
        <item x="0"/>
        <item x="1"/>
        <item x="2"/>
        <item t="default"/>
      </items>
    </pivotField>
    <pivotField showAll="0">
      <items count="7">
        <item x="2"/>
        <item x="1"/>
        <item x="0"/>
        <item x="3"/>
        <item m="1" x="5"/>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1"/>
  </rowFields>
  <rowItems count="3">
    <i>
      <x v="7"/>
    </i>
    <i>
      <x v="8"/>
    </i>
    <i t="grand">
      <x/>
    </i>
  </rowItems>
  <colItems count="1">
    <i/>
  </colItems>
  <dataFields count="1">
    <dataField name="Sum of Sales" fld="5" baseField="0" baseItem="0"/>
  </dataFields>
  <formats count="6">
    <format dxfId="5">
      <pivotArea outline="0" collapsedLevelsAreSubtotals="1" fieldPosition="0"/>
    </format>
    <format dxfId="4">
      <pivotArea type="all" dataOnly="0" outline="0" fieldPosition="0"/>
    </format>
    <format dxfId="3">
      <pivotArea outline="0" collapsedLevelsAreSubtotals="1" fieldPosition="0"/>
    </format>
    <format dxfId="2">
      <pivotArea field="13" type="button" dataOnly="0" labelOnly="1" outline="0"/>
    </format>
    <format dxfId="1">
      <pivotArea dataOnly="0" labelOnly="1" grandRow="1" outline="0" fieldPosition="0"/>
    </format>
    <format dxfId="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A42C4F-4148-499D-8788-291BF7F25678}" name="pvy dash 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H15:I22"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m="1" x="4"/>
        <item x="3"/>
        <item m="1" x="5"/>
        <item x="2"/>
        <item x="0"/>
        <item x="1"/>
        <item t="default"/>
      </items>
    </pivotField>
    <pivotField showAll="0"/>
    <pivotField axis="axisRow" showAll="0">
      <items count="7">
        <item x="2"/>
        <item x="5"/>
        <item x="4"/>
        <item x="3"/>
        <item x="0"/>
        <item x="1"/>
        <item t="default"/>
      </items>
    </pivotField>
    <pivotField dataField="1" numFmtId="164" showAll="0"/>
    <pivotField showAll="0">
      <items count="6">
        <item x="0"/>
        <item x="3"/>
        <item x="4"/>
        <item x="2"/>
        <item x="1"/>
        <item t="default"/>
      </items>
    </pivotField>
    <pivotField showAll="0"/>
    <pivotField numFmtId="164" showAll="0"/>
    <pivotField numFmtId="164" showAll="0"/>
    <pivotField numFmtId="164" showAll="0"/>
    <pivotField showAll="0"/>
    <pivotField showAll="0">
      <items count="5">
        <item x="3"/>
        <item x="0"/>
        <item x="1"/>
        <item x="2"/>
        <item t="default"/>
      </items>
    </pivotField>
    <pivotField showAll="0">
      <items count="7">
        <item x="2"/>
        <item x="1"/>
        <item x="0"/>
        <item x="3"/>
        <item m="1" x="5"/>
        <item x="4"/>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Sales" fld="5" baseField="0" baseItem="0"/>
  </dataFields>
  <formats count="6">
    <format dxfId="11">
      <pivotArea outline="0" collapsedLevelsAreSubtotals="1" fieldPosition="0"/>
    </format>
    <format dxfId="10">
      <pivotArea type="all" dataOnly="0" outline="0" fieldPosition="0"/>
    </format>
    <format dxfId="9">
      <pivotArea outline="0" collapsedLevelsAreSubtotals="1" fieldPosition="0"/>
    </format>
    <format dxfId="8">
      <pivotArea field="13" type="button" dataOnly="0" labelOnly="1" outline="0"/>
    </format>
    <format dxfId="7">
      <pivotArea dataOnly="0" labelOnly="1" grandRow="1" outline="0" fieldPosition="0"/>
    </format>
    <format dxfId="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CE5553-6593-47B8-BE81-264A543161DB}" name="pvt da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B9:C14"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m="1" x="4"/>
        <item x="3"/>
        <item m="1" x="5"/>
        <item x="2"/>
        <item x="0"/>
        <item x="1"/>
        <item t="default"/>
      </items>
    </pivotField>
    <pivotField showAll="0"/>
    <pivotField showAll="0">
      <items count="7">
        <item x="2"/>
        <item x="5"/>
        <item x="4"/>
        <item x="3"/>
        <item x="0"/>
        <item x="1"/>
        <item t="default"/>
      </items>
    </pivotField>
    <pivotField dataField="1" numFmtId="164" showAll="0"/>
    <pivotField showAll="0">
      <items count="6">
        <item x="0"/>
        <item x="3"/>
        <item x="4"/>
        <item x="2"/>
        <item x="1"/>
        <item t="default"/>
      </items>
    </pivotField>
    <pivotField showAll="0"/>
    <pivotField numFmtId="164" showAll="0"/>
    <pivotField numFmtId="164" showAll="0"/>
    <pivotField numFmtId="164" showAll="0"/>
    <pivotField showAll="0"/>
    <pivotField showAll="0"/>
    <pivotField showAll="0">
      <items count="7">
        <item x="2"/>
        <item x="1"/>
        <item x="0"/>
        <item x="3"/>
        <item m="1" x="5"/>
        <item x="4"/>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1"/>
    </i>
    <i>
      <x v="3"/>
    </i>
    <i>
      <x v="4"/>
    </i>
    <i>
      <x v="5"/>
    </i>
    <i t="grand">
      <x/>
    </i>
  </rowItems>
  <colItems count="1">
    <i/>
  </colItems>
  <dataFields count="1">
    <dataField name="Sum of Sales" fld="5" baseField="0" baseItem="0"/>
  </dataFields>
  <formats count="6">
    <format dxfId="17">
      <pivotArea outline="0" collapsedLevelsAreSubtotals="1" fieldPosition="0"/>
    </format>
    <format dxfId="16">
      <pivotArea type="all" dataOnly="0" outline="0" fieldPosition="0"/>
    </format>
    <format dxfId="15">
      <pivotArea outline="0" collapsedLevelsAreSubtotals="1" fieldPosition="0"/>
    </format>
    <format dxfId="14">
      <pivotArea field="13" type="button" dataOnly="0" labelOnly="1" outline="0"/>
    </format>
    <format dxfId="13">
      <pivotArea dataOnly="0" labelOnly="1" grandRow="1" outline="0" fieldPosition="0"/>
    </format>
    <format dxfId="12">
      <pivotArea dataOnly="0" labelOnly="1" outline="0" axis="axisValues" fieldPosition="0"/>
    </format>
  </formats>
  <chartFormats count="1">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8D836C-AF86-4B9B-9A49-FE8283DB9F5A}" name="pvt dash 2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rowHeaderCaption="Customers">
  <location ref="E12:F18"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m="1" x="4"/>
        <item x="3"/>
        <item m="1" x="5"/>
        <item x="2"/>
        <item x="0"/>
        <item x="1"/>
        <item t="default"/>
      </items>
    </pivotField>
    <pivotField axis="axisRow" showAll="0" measureFilter="1" sortType="descending">
      <items count="16">
        <item x="0"/>
        <item x="3"/>
        <item x="12"/>
        <item x="13"/>
        <item x="14"/>
        <item x="9"/>
        <item x="6"/>
        <item x="1"/>
        <item x="8"/>
        <item x="4"/>
        <item x="5"/>
        <item x="7"/>
        <item x="2"/>
        <item x="11"/>
        <item x="10"/>
        <item t="default"/>
      </items>
      <autoSortScope>
        <pivotArea dataOnly="0" outline="0" fieldPosition="0">
          <references count="1">
            <reference field="4294967294" count="1" selected="0">
              <x v="0"/>
            </reference>
          </references>
        </pivotArea>
      </autoSortScope>
    </pivotField>
    <pivotField showAll="0">
      <items count="7">
        <item x="2"/>
        <item x="5"/>
        <item x="4"/>
        <item x="3"/>
        <item x="0"/>
        <item x="1"/>
        <item t="default"/>
      </items>
    </pivotField>
    <pivotField numFmtId="164" showAll="0"/>
    <pivotField showAll="0">
      <items count="6">
        <item x="0"/>
        <item x="3"/>
        <item x="4"/>
        <item x="2"/>
        <item x="1"/>
        <item t="default"/>
      </items>
    </pivotField>
    <pivotField showAll="0"/>
    <pivotField numFmtId="164" showAll="0"/>
    <pivotField numFmtId="164" showAll="0"/>
    <pivotField dataField="1" numFmtId="164" showAll="0"/>
    <pivotField showAll="0"/>
    <pivotField showAll="0"/>
    <pivotField showAll="0">
      <items count="7">
        <item x="2"/>
        <item x="1"/>
        <item x="0"/>
        <item x="3"/>
        <item m="1" x="5"/>
        <item x="4"/>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3"/>
    </i>
    <i>
      <x v="12"/>
    </i>
    <i>
      <x v="9"/>
    </i>
    <i>
      <x v="6"/>
    </i>
    <i>
      <x v="8"/>
    </i>
    <i t="grand">
      <x/>
    </i>
  </rowItems>
  <colItems count="1">
    <i/>
  </colItems>
  <dataFields count="1">
    <dataField name="Total Outstanding" fld="10" baseField="0" baseItem="0"/>
  </dataFields>
  <formats count="6">
    <format dxfId="23">
      <pivotArea outline="0" collapsedLevelsAreSubtotals="1" fieldPosition="0"/>
    </format>
    <format dxfId="22">
      <pivotArea type="all" dataOnly="0" outline="0" fieldPosition="0"/>
    </format>
    <format dxfId="21">
      <pivotArea outline="0" collapsedLevelsAreSubtotals="1" fieldPosition="0"/>
    </format>
    <format dxfId="20">
      <pivotArea field="13" type="button" dataOnly="0" labelOnly="1" outline="0"/>
    </format>
    <format dxfId="19">
      <pivotArea dataOnly="0" labelOnly="1" grandRow="1" outline="0" fieldPosition="0"/>
    </format>
    <format dxfId="18">
      <pivotArea dataOnly="0" labelOnly="1" outline="0" axis="axisValues" fieldPosition="0"/>
    </format>
  </formats>
  <pivotTableStyleInfo name="PivotStyleLight1"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0AF692-FCDD-487E-B1F3-1698797F5F47}" name="pvt das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B18:C23"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m="1" x="4"/>
        <item x="3"/>
        <item m="1" x="5"/>
        <item x="2"/>
        <item x="0"/>
        <item x="1"/>
        <item t="default"/>
      </items>
    </pivotField>
    <pivotField showAll="0"/>
    <pivotField showAll="0">
      <items count="7">
        <item x="2"/>
        <item x="5"/>
        <item x="4"/>
        <item x="3"/>
        <item x="0"/>
        <item x="1"/>
        <item t="default"/>
      </items>
    </pivotField>
    <pivotField dataField="1" numFmtId="164" showAll="0"/>
    <pivotField showAll="0">
      <items count="6">
        <item x="0"/>
        <item x="3"/>
        <item x="4"/>
        <item x="2"/>
        <item x="1"/>
        <item t="default"/>
      </items>
    </pivotField>
    <pivotField showAll="0"/>
    <pivotField numFmtId="164" showAll="0"/>
    <pivotField numFmtId="164" showAll="0"/>
    <pivotField numFmtId="164" showAll="0"/>
    <pivotField showAll="0"/>
    <pivotField axis="axisRow" showAll="0">
      <items count="5">
        <item x="3"/>
        <item x="0"/>
        <item x="1"/>
        <item x="2"/>
        <item t="default"/>
      </items>
    </pivotField>
    <pivotField showAll="0">
      <items count="7">
        <item x="2"/>
        <item x="1"/>
        <item x="0"/>
        <item x="3"/>
        <item m="1" x="5"/>
        <item x="4"/>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 fld="5" baseField="0" baseItem="0"/>
  </dataFields>
  <formats count="6">
    <format dxfId="29">
      <pivotArea outline="0" collapsedLevelsAreSubtotals="1" fieldPosition="0"/>
    </format>
    <format dxfId="28">
      <pivotArea type="all" dataOnly="0" outline="0" fieldPosition="0"/>
    </format>
    <format dxfId="27">
      <pivotArea outline="0" collapsedLevelsAreSubtotals="1" fieldPosition="0"/>
    </format>
    <format dxfId="26">
      <pivotArea field="13" type="button" dataOnly="0" labelOnly="1" outline="0"/>
    </format>
    <format dxfId="25">
      <pivotArea dataOnly="0" labelOnly="1" grandRow="1" outline="0" fieldPosition="0"/>
    </format>
    <format dxfId="2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1" series="1">
      <pivotArea type="data" outline="0" fieldPosition="0">
        <references count="1">
          <reference field="4294967294" count="1" selected="0">
            <x v="0"/>
          </reference>
        </references>
      </pivotArea>
    </chartFormat>
    <chartFormat chart="21" format="22">
      <pivotArea type="data" outline="0" fieldPosition="0">
        <references count="2">
          <reference field="4294967294" count="1" selected="0">
            <x v="0"/>
          </reference>
          <reference field="12" count="1" selected="0">
            <x v="0"/>
          </reference>
        </references>
      </pivotArea>
    </chartFormat>
    <chartFormat chart="21" format="23">
      <pivotArea type="data" outline="0" fieldPosition="0">
        <references count="2">
          <reference field="4294967294" count="1" selected="0">
            <x v="0"/>
          </reference>
          <reference field="12" count="1" selected="0">
            <x v="1"/>
          </reference>
        </references>
      </pivotArea>
    </chartFormat>
    <chartFormat chart="21" format="24">
      <pivotArea type="data" outline="0" fieldPosition="0">
        <references count="2">
          <reference field="4294967294" count="1" selected="0">
            <x v="0"/>
          </reference>
          <reference field="12" count="1" selected="0">
            <x v="2"/>
          </reference>
        </references>
      </pivotArea>
    </chartFormat>
    <chartFormat chart="21" format="2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F446DB-0D4C-4930-A732-9F4D1EB30FF1}" name="pvt dash 3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9" firstHeaderRow="1" firstDataRow="1" firstDataCol="1"/>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m="1" x="4"/>
        <item x="3"/>
        <item m="1" x="5"/>
        <item x="2"/>
        <item x="0"/>
        <item x="1"/>
        <item t="default"/>
      </items>
    </pivotField>
    <pivotField showAll="0"/>
    <pivotField showAll="0">
      <items count="7">
        <item x="2"/>
        <item x="5"/>
        <item x="4"/>
        <item x="3"/>
        <item x="0"/>
        <item x="1"/>
        <item t="default"/>
      </items>
    </pivotField>
    <pivotField numFmtId="164" showAll="0"/>
    <pivotField showAll="0">
      <items count="6">
        <item x="0"/>
        <item x="3"/>
        <item x="4"/>
        <item x="2"/>
        <item x="1"/>
        <item t="default"/>
      </items>
    </pivotField>
    <pivotField showAll="0"/>
    <pivotField numFmtId="164" showAll="0"/>
    <pivotField numFmtId="164" showAll="0"/>
    <pivotField dataField="1" numFmtId="164" showAll="0"/>
    <pivotField showAll="0"/>
    <pivotField showAll="0"/>
    <pivotField axis="axisRow" showAll="0">
      <items count="7">
        <item x="2"/>
        <item x="1"/>
        <item x="0"/>
        <item x="3"/>
        <item m="1" x="5"/>
        <item x="4"/>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5"/>
    </i>
    <i t="grand">
      <x/>
    </i>
  </rowItems>
  <colItems count="1">
    <i/>
  </colItems>
  <dataFields count="1">
    <dataField name="Sum of Outstanding" fld="10" baseField="0" baseItem="0" numFmtId="167"/>
  </dataFields>
  <formats count="7">
    <format dxfId="36">
      <pivotArea outline="0" collapsedLevelsAreSubtotals="1" fieldPosition="0"/>
    </format>
    <format dxfId="35">
      <pivotArea type="all" dataOnly="0" outline="0" fieldPosition="0"/>
    </format>
    <format dxfId="34">
      <pivotArea outline="0" collapsedLevelsAreSubtotals="1" fieldPosition="0"/>
    </format>
    <format dxfId="33">
      <pivotArea field="13" type="button" dataOnly="0" labelOnly="1" outline="0" axis="axisRow" fieldPosition="0"/>
    </format>
    <format dxfId="32">
      <pivotArea dataOnly="0" labelOnly="1" fieldPosition="0">
        <references count="1">
          <reference field="13"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374CB43-BA7A-4250-A888-B1F26DB05433}" name="PV Ds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E3" firstHeaderRow="0" firstDataRow="1" firstDataCol="0"/>
  <pivotFields count="15">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m="1" x="4"/>
        <item x="3"/>
        <item m="1" x="5"/>
        <item x="2"/>
        <item x="0"/>
        <item x="1"/>
        <item t="default"/>
      </items>
    </pivotField>
    <pivotField showAll="0"/>
    <pivotField showAll="0">
      <items count="7">
        <item x="2"/>
        <item x="5"/>
        <item x="4"/>
        <item x="3"/>
        <item x="0"/>
        <item x="1"/>
        <item t="default"/>
      </items>
    </pivotField>
    <pivotField dataField="1" numFmtId="164" showAll="0"/>
    <pivotField showAll="0">
      <items count="6">
        <item x="0"/>
        <item x="3"/>
        <item x="4"/>
        <item x="2"/>
        <item x="1"/>
        <item t="default"/>
      </items>
    </pivotField>
    <pivotField showAll="0"/>
    <pivotField dataField="1" numFmtId="164" showAll="0"/>
    <pivotField dataField="1" numFmtId="164"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Sales" fld="5" baseField="0" baseItem="0"/>
    <dataField name="Sum of Target_Sales" fld="8" baseField="0" baseItem="0"/>
    <dataField name="Sum of Collection" fld="9" baseField="0" baseItem="0"/>
    <dataField name="Sum of Outstanding" fld="10" baseField="0" baseItem="0"/>
  </dataFields>
  <formats count="4">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5AD1BF7-B8F1-4E08-9A65-273A5B84DE26}" sourceName="Product">
  <pivotTables>
    <pivotTable tabId="6" name="pvt dash 2 "/>
    <pivotTable tabId="6" name="PV Dsh"/>
    <pivotTable tabId="6" name="pvt das"/>
    <pivotTable tabId="6" name="pvt dash"/>
    <pivotTable tabId="6" name="pvt dash 3 "/>
    <pivotTable tabId="6" name="pvy dash 4"/>
    <pivotTable tabId="6" name="pvt 5"/>
  </pivotTables>
  <data>
    <tabular pivotCacheId="108781753">
      <items count="6">
        <i x="2" s="1"/>
        <i x="5"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38AADE20-428C-4457-AC04-113ECCC0A2BE}" sourceName="Manager">
  <pivotTables>
    <pivotTable tabId="6" name="PV Dsh"/>
    <pivotTable tabId="6" name="pvt das"/>
    <pivotTable tabId="6" name="pvt dash"/>
    <pivotTable tabId="6" name="pvt dash 2 "/>
    <pivotTable tabId="6" name="pvt dash 3 "/>
    <pivotTable tabId="6" name="pvy dash 4"/>
    <pivotTable tabId="6" name="pvt 5"/>
  </pivotTables>
  <data>
    <tabular pivotCacheId="108781753">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2620AC-3AA9-46F7-A767-0069DB4FD765}" sourceName="Region">
  <pivotTables>
    <pivotTable tabId="6" name="pvt das"/>
    <pivotTable tabId="6" name="PV Dsh"/>
    <pivotTable tabId="6" name="pvt dash"/>
    <pivotTable tabId="6" name="pvt dash 2 "/>
    <pivotTable tabId="6" name="pvt dash 3 "/>
    <pivotTable tabId="6" name="pvy dash 4"/>
    <pivotTable tabId="6" name="pvt 5"/>
  </pivotTables>
  <data>
    <tabular pivotCacheId="108781753">
      <items count="6">
        <i x="3" s="1"/>
        <i x="2" s="1"/>
        <i x="0" s="1"/>
        <i x="1" s="1"/>
        <i x="4"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0A73470-5416-45E1-A6DA-A52C083F6809}" cache="Slicer_Product" caption="Product" columnCount="6" style="SlicerStyleDark3" rowHeight="234950"/>
  <slicer name="Manager" xr10:uid="{30A9D675-2F7C-4344-8B04-D8E9AB63920A}" cache="Slicer_Manager" caption="Manager" columnCount="5" style="SlicerStyleDark3" rowHeight="234950"/>
  <slicer name="Region" xr10:uid="{51CE8C39-5687-435E-903C-A2AC0B53B9C1}" cache="Slicer_Region" caption="Region" columnCount="6"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6ED53-C737-429B-9D2A-0F09A1295A0F}" name="Table1" displayName="Table1" ref="A1:N501" totalsRowShown="0" headerRowDxfId="125" dataDxfId="123" headerRowBorderDxfId="124" tableBorderDxfId="122" totalsRowBorderDxfId="121">
  <autoFilter ref="A1:N501" xr:uid="{00000000-0009-0000-0000-000000000000}">
    <filterColumn colId="2">
      <filters>
        <filter val="Ludhiana"/>
      </filters>
    </filterColumn>
  </autoFilter>
  <tableColumns count="14">
    <tableColumn id="1" xr3:uid="{FC84CBC7-FB59-48F8-A552-1C29207FAA73}" name="Transaction_ID" dataDxfId="120"/>
    <tableColumn id="2" xr3:uid="{1B74F172-63C7-4A72-9A0E-A6F45A020801}" name="Date" dataDxfId="119"/>
    <tableColumn id="3" xr3:uid="{94A9D43C-DD0E-46A1-9ACD-6219464E72EF}" name="Region" dataDxfId="118"/>
    <tableColumn id="4" xr3:uid="{33DFECD9-117A-4F44-8F29-8FA963C5583B}" name="Customer" dataDxfId="117"/>
    <tableColumn id="5" xr3:uid="{99A810DD-4443-4148-B29D-9FC3A3F39FDE}" name="Product" dataDxfId="116"/>
    <tableColumn id="6" xr3:uid="{761DAF89-F7D1-48F0-AE41-58BDF61244E2}" name="Sales" dataDxfId="115"/>
    <tableColumn id="7" xr3:uid="{25933600-64DC-4776-BC74-EE2CFB1D074A}" name="Manager" dataDxfId="114"/>
    <tableColumn id="8" xr3:uid="{40750365-C2C8-4D1D-B10F-C4B68D209EDF}" name="Branch" dataDxfId="113"/>
    <tableColumn id="9" xr3:uid="{D18571BC-1CD2-4EC0-92FA-6D0A2A833F3B}" name="Target_Sales" dataDxfId="112"/>
    <tableColumn id="10" xr3:uid="{7C2A2C6B-FBC6-4FE1-AC5F-C7384344AAB7}" name="Collection" dataDxfId="111"/>
    <tableColumn id="11" xr3:uid="{14DDEB08-3E78-460F-B7FC-0994DA053791}" name="Outstanding" dataDxfId="110"/>
    <tableColumn id="12" xr3:uid="{7E7AE636-C99B-430E-AC27-CB8EC7B9F228}" name="Days_Overdue" dataDxfId="109"/>
    <tableColumn id="13" xr3:uid="{08E5D459-7657-4DB7-BB2A-6EDE6F5FD76B}" name="Aging_Bucket" dataDxfId="108"/>
    <tableColumn id="14" xr3:uid="{2D3FFF97-CDE3-473A-9114-6616983D9F43}" name="Condition" dataDxfId="107"/>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N501"/>
  <sheetViews>
    <sheetView workbookViewId="0">
      <pane ySplit="1" topLeftCell="A2" activePane="bottomLeft" state="frozen"/>
      <selection pane="bottomLeft" activeCell="B31" sqref="B31"/>
    </sheetView>
  </sheetViews>
  <sheetFormatPr defaultRowHeight="14.4" x14ac:dyDescent="0.3"/>
  <cols>
    <col min="1" max="1" width="19.33203125" bestFit="1" customWidth="1"/>
    <col min="2" max="2" width="13.5546875" bestFit="1" customWidth="1"/>
    <col min="3" max="3" width="14.77734375" bestFit="1" customWidth="1"/>
    <col min="4" max="4" width="19" bestFit="1" customWidth="1"/>
    <col min="5" max="5" width="17.88671875" bestFit="1" customWidth="1"/>
    <col min="6" max="6" width="10.5546875" bestFit="1" customWidth="1"/>
    <col min="7" max="7" width="13.77734375" bestFit="1" customWidth="1"/>
    <col min="8" max="8" width="14" bestFit="1" customWidth="1"/>
    <col min="9" max="9" width="17.21875" bestFit="1" customWidth="1"/>
    <col min="10" max="10" width="14.88671875" bestFit="1" customWidth="1"/>
    <col min="11" max="11" width="16.77734375" bestFit="1" customWidth="1"/>
    <col min="12" max="12" width="19.109375" bestFit="1" customWidth="1"/>
    <col min="13" max="13" width="18.44140625" bestFit="1" customWidth="1"/>
    <col min="14" max="14" width="18.5546875" bestFit="1" customWidth="1"/>
    <col min="15" max="23" width="13" bestFit="1" customWidth="1"/>
    <col min="24" max="27" width="14" bestFit="1" customWidth="1"/>
    <col min="28" max="28" width="16.109375" bestFit="1" customWidth="1"/>
  </cols>
  <sheetData>
    <row r="1" spans="1:14" x14ac:dyDescent="0.3">
      <c r="A1" s="47" t="s">
        <v>0</v>
      </c>
      <c r="B1" s="48" t="s">
        <v>1</v>
      </c>
      <c r="C1" s="49" t="s">
        <v>2</v>
      </c>
      <c r="D1" s="49" t="s">
        <v>3</v>
      </c>
      <c r="E1" s="49" t="s">
        <v>4</v>
      </c>
      <c r="F1" s="49" t="s">
        <v>5</v>
      </c>
      <c r="G1" s="49" t="s">
        <v>6</v>
      </c>
      <c r="H1" s="49" t="s">
        <v>7</v>
      </c>
      <c r="I1" s="49" t="s">
        <v>8</v>
      </c>
      <c r="J1" s="49" t="s">
        <v>9</v>
      </c>
      <c r="K1" s="49" t="s">
        <v>10</v>
      </c>
      <c r="L1" s="49" t="s">
        <v>11</v>
      </c>
      <c r="M1" s="50" t="s">
        <v>12</v>
      </c>
      <c r="N1" s="49" t="s">
        <v>95</v>
      </c>
    </row>
    <row r="2" spans="1:14" hidden="1" x14ac:dyDescent="0.3">
      <c r="A2" s="51" t="s">
        <v>102</v>
      </c>
      <c r="B2" s="52">
        <v>46242</v>
      </c>
      <c r="C2" s="53" t="s">
        <v>13</v>
      </c>
      <c r="D2" s="53" t="s">
        <v>14</v>
      </c>
      <c r="E2" s="53" t="s">
        <v>15</v>
      </c>
      <c r="F2" s="54">
        <v>90818</v>
      </c>
      <c r="G2" s="53" t="s">
        <v>16</v>
      </c>
      <c r="H2" s="54" t="s">
        <v>17</v>
      </c>
      <c r="I2" s="54">
        <v>96400</v>
      </c>
      <c r="J2" s="54">
        <v>46200</v>
      </c>
      <c r="K2" s="54">
        <v>44618</v>
      </c>
      <c r="L2" s="53">
        <v>45</v>
      </c>
      <c r="M2" s="55" t="s">
        <v>18</v>
      </c>
      <c r="N2" s="56" t="s">
        <v>103</v>
      </c>
    </row>
    <row r="3" spans="1:14" x14ac:dyDescent="0.3">
      <c r="A3" s="51" t="s">
        <v>104</v>
      </c>
      <c r="B3" s="52">
        <v>46255</v>
      </c>
      <c r="C3" s="53" t="s">
        <v>19</v>
      </c>
      <c r="D3" s="53" t="s">
        <v>20</v>
      </c>
      <c r="E3" s="53" t="s">
        <v>21</v>
      </c>
      <c r="F3" s="54">
        <v>14703</v>
      </c>
      <c r="G3" s="53" t="s">
        <v>22</v>
      </c>
      <c r="H3" s="54" t="s">
        <v>23</v>
      </c>
      <c r="I3" s="54">
        <v>16000</v>
      </c>
      <c r="J3" s="54">
        <v>8700</v>
      </c>
      <c r="K3" s="54">
        <v>6003</v>
      </c>
      <c r="L3" s="53">
        <v>85</v>
      </c>
      <c r="M3" s="55" t="s">
        <v>24</v>
      </c>
      <c r="N3" s="56" t="s">
        <v>105</v>
      </c>
    </row>
    <row r="4" spans="1:14" hidden="1" x14ac:dyDescent="0.3">
      <c r="A4" s="51" t="s">
        <v>106</v>
      </c>
      <c r="B4" s="52">
        <v>46232</v>
      </c>
      <c r="C4" s="53" t="s">
        <v>25</v>
      </c>
      <c r="D4" s="53" t="s">
        <v>26</v>
      </c>
      <c r="E4" s="53" t="s">
        <v>27</v>
      </c>
      <c r="F4" s="54">
        <v>82099</v>
      </c>
      <c r="G4" s="53" t="s">
        <v>16</v>
      </c>
      <c r="H4" s="54" t="s">
        <v>28</v>
      </c>
      <c r="I4" s="54">
        <v>73100</v>
      </c>
      <c r="J4" s="54">
        <v>53300</v>
      </c>
      <c r="K4" s="54">
        <v>28799</v>
      </c>
      <c r="L4" s="53">
        <v>60</v>
      </c>
      <c r="M4" s="55" t="s">
        <v>18</v>
      </c>
      <c r="N4" s="56" t="s">
        <v>103</v>
      </c>
    </row>
    <row r="5" spans="1:14" hidden="1" x14ac:dyDescent="0.3">
      <c r="A5" s="51" t="s">
        <v>107</v>
      </c>
      <c r="B5" s="52">
        <v>46218</v>
      </c>
      <c r="C5" s="53" t="s">
        <v>13</v>
      </c>
      <c r="D5" s="53" t="s">
        <v>29</v>
      </c>
      <c r="E5" s="53" t="s">
        <v>15</v>
      </c>
      <c r="F5" s="54">
        <v>41585</v>
      </c>
      <c r="G5" s="53" t="s">
        <v>30</v>
      </c>
      <c r="H5" s="54" t="s">
        <v>17</v>
      </c>
      <c r="I5" s="54">
        <v>40900</v>
      </c>
      <c r="J5" s="54">
        <v>37800</v>
      </c>
      <c r="K5" s="54">
        <v>3785</v>
      </c>
      <c r="L5" s="53">
        <v>120</v>
      </c>
      <c r="M5" s="55" t="s">
        <v>31</v>
      </c>
      <c r="N5" s="56" t="s">
        <v>108</v>
      </c>
    </row>
    <row r="6" spans="1:14" hidden="1" x14ac:dyDescent="0.3">
      <c r="A6" s="51" t="s">
        <v>109</v>
      </c>
      <c r="B6" s="52">
        <v>46246</v>
      </c>
      <c r="C6" s="53" t="s">
        <v>32</v>
      </c>
      <c r="D6" s="53" t="s">
        <v>33</v>
      </c>
      <c r="E6" s="53" t="s">
        <v>34</v>
      </c>
      <c r="F6" s="54">
        <v>53585</v>
      </c>
      <c r="G6" s="53" t="s">
        <v>35</v>
      </c>
      <c r="H6" s="54" t="s">
        <v>36</v>
      </c>
      <c r="I6" s="54">
        <v>54100</v>
      </c>
      <c r="J6" s="54">
        <v>50700</v>
      </c>
      <c r="K6" s="54">
        <v>2885</v>
      </c>
      <c r="L6" s="53">
        <v>85</v>
      </c>
      <c r="M6" s="55" t="s">
        <v>24</v>
      </c>
      <c r="N6" s="56" t="s">
        <v>105</v>
      </c>
    </row>
    <row r="7" spans="1:14" hidden="1" x14ac:dyDescent="0.3">
      <c r="A7" s="51" t="s">
        <v>110</v>
      </c>
      <c r="B7" s="52">
        <v>46211</v>
      </c>
      <c r="C7" s="53" t="s">
        <v>32</v>
      </c>
      <c r="D7" s="53" t="s">
        <v>14</v>
      </c>
      <c r="E7" s="53" t="s">
        <v>37</v>
      </c>
      <c r="F7" s="54">
        <v>36958</v>
      </c>
      <c r="G7" s="53" t="s">
        <v>35</v>
      </c>
      <c r="H7" s="54" t="s">
        <v>36</v>
      </c>
      <c r="I7" s="54">
        <v>36200</v>
      </c>
      <c r="J7" s="54">
        <v>17500</v>
      </c>
      <c r="K7" s="54">
        <v>19458</v>
      </c>
      <c r="L7" s="53">
        <v>35</v>
      </c>
      <c r="M7" s="55" t="s">
        <v>18</v>
      </c>
      <c r="N7" s="56" t="s">
        <v>103</v>
      </c>
    </row>
    <row r="8" spans="1:14" hidden="1" x14ac:dyDescent="0.3">
      <c r="A8" s="51" t="s">
        <v>111</v>
      </c>
      <c r="B8" s="52">
        <v>46264</v>
      </c>
      <c r="C8" s="53" t="s">
        <v>32</v>
      </c>
      <c r="D8" s="53" t="s">
        <v>38</v>
      </c>
      <c r="E8" s="53" t="s">
        <v>21</v>
      </c>
      <c r="F8" s="54">
        <v>36017</v>
      </c>
      <c r="G8" s="53" t="s">
        <v>35</v>
      </c>
      <c r="H8" s="54" t="s">
        <v>36</v>
      </c>
      <c r="I8" s="54">
        <v>32100</v>
      </c>
      <c r="J8" s="54">
        <v>29900</v>
      </c>
      <c r="K8" s="54">
        <v>6117</v>
      </c>
      <c r="L8" s="53">
        <v>95</v>
      </c>
      <c r="M8" s="55" t="s">
        <v>31</v>
      </c>
      <c r="N8" s="56" t="s">
        <v>624</v>
      </c>
    </row>
    <row r="9" spans="1:14" hidden="1" x14ac:dyDescent="0.3">
      <c r="A9" s="51" t="s">
        <v>112</v>
      </c>
      <c r="B9" s="52">
        <v>46224</v>
      </c>
      <c r="C9" s="53" t="s">
        <v>25</v>
      </c>
      <c r="D9" s="53" t="s">
        <v>14</v>
      </c>
      <c r="E9" s="53" t="s">
        <v>15</v>
      </c>
      <c r="F9" s="54">
        <v>134677</v>
      </c>
      <c r="G9" s="53" t="s">
        <v>22</v>
      </c>
      <c r="H9" s="54" t="s">
        <v>28</v>
      </c>
      <c r="I9" s="54">
        <v>134200</v>
      </c>
      <c r="J9" s="54">
        <v>85600</v>
      </c>
      <c r="K9" s="54">
        <v>49077</v>
      </c>
      <c r="L9" s="53">
        <v>68</v>
      </c>
      <c r="M9" s="55" t="s">
        <v>24</v>
      </c>
      <c r="N9" s="56" t="s">
        <v>105</v>
      </c>
    </row>
    <row r="10" spans="1:14" x14ac:dyDescent="0.3">
      <c r="A10" s="51" t="s">
        <v>113</v>
      </c>
      <c r="B10" s="52">
        <v>46242</v>
      </c>
      <c r="C10" s="53" t="s">
        <v>19</v>
      </c>
      <c r="D10" s="53" t="s">
        <v>39</v>
      </c>
      <c r="E10" s="53" t="s">
        <v>21</v>
      </c>
      <c r="F10" s="54">
        <v>39426</v>
      </c>
      <c r="G10" s="53" t="s">
        <v>40</v>
      </c>
      <c r="H10" s="54" t="s">
        <v>23</v>
      </c>
      <c r="I10" s="54">
        <v>43900</v>
      </c>
      <c r="J10" s="54">
        <v>25500</v>
      </c>
      <c r="K10" s="54">
        <v>13926</v>
      </c>
      <c r="L10" s="53">
        <v>5</v>
      </c>
      <c r="M10" s="55" t="s">
        <v>41</v>
      </c>
      <c r="N10" s="56" t="s">
        <v>114</v>
      </c>
    </row>
    <row r="11" spans="1:14" hidden="1" x14ac:dyDescent="0.3">
      <c r="A11" s="51" t="s">
        <v>115</v>
      </c>
      <c r="B11" s="52">
        <v>46261</v>
      </c>
      <c r="C11" s="53" t="s">
        <v>13</v>
      </c>
      <c r="D11" s="53" t="s">
        <v>42</v>
      </c>
      <c r="E11" s="53" t="s">
        <v>15</v>
      </c>
      <c r="F11" s="54">
        <v>27778</v>
      </c>
      <c r="G11" s="53" t="s">
        <v>40</v>
      </c>
      <c r="H11" s="54" t="s">
        <v>17</v>
      </c>
      <c r="I11" s="54">
        <v>24300</v>
      </c>
      <c r="J11" s="54">
        <v>23000</v>
      </c>
      <c r="K11" s="54">
        <v>4778</v>
      </c>
      <c r="L11" s="53">
        <v>45</v>
      </c>
      <c r="M11" s="55" t="s">
        <v>18</v>
      </c>
      <c r="N11" s="56" t="s">
        <v>103</v>
      </c>
    </row>
    <row r="12" spans="1:14" hidden="1" x14ac:dyDescent="0.3">
      <c r="A12" s="51" t="s">
        <v>116</v>
      </c>
      <c r="B12" s="52">
        <v>46222</v>
      </c>
      <c r="C12" s="53" t="s">
        <v>13</v>
      </c>
      <c r="D12" s="53" t="s">
        <v>43</v>
      </c>
      <c r="E12" s="53" t="s">
        <v>44</v>
      </c>
      <c r="F12" s="54">
        <v>52229</v>
      </c>
      <c r="G12" s="53" t="s">
        <v>16</v>
      </c>
      <c r="H12" s="54" t="s">
        <v>17</v>
      </c>
      <c r="I12" s="54">
        <v>45900</v>
      </c>
      <c r="J12" s="54">
        <v>47500</v>
      </c>
      <c r="K12" s="54">
        <v>4729</v>
      </c>
      <c r="L12" s="53">
        <v>120</v>
      </c>
      <c r="M12" s="55" t="s">
        <v>31</v>
      </c>
      <c r="N12" s="56" t="s">
        <v>108</v>
      </c>
    </row>
    <row r="13" spans="1:14" hidden="1" x14ac:dyDescent="0.3">
      <c r="A13" s="51" t="s">
        <v>117</v>
      </c>
      <c r="B13" s="52">
        <v>46226</v>
      </c>
      <c r="C13" s="53" t="s">
        <v>13</v>
      </c>
      <c r="D13" s="53" t="s">
        <v>26</v>
      </c>
      <c r="E13" s="53" t="s">
        <v>34</v>
      </c>
      <c r="F13" s="54">
        <v>96652</v>
      </c>
      <c r="G13" s="53" t="s">
        <v>22</v>
      </c>
      <c r="H13" s="54" t="s">
        <v>17</v>
      </c>
      <c r="I13" s="54">
        <v>94200</v>
      </c>
      <c r="J13" s="54">
        <v>89400</v>
      </c>
      <c r="K13" s="54">
        <v>7252</v>
      </c>
      <c r="L13" s="53">
        <v>18</v>
      </c>
      <c r="M13" s="55" t="s">
        <v>41</v>
      </c>
      <c r="N13" s="56" t="s">
        <v>114</v>
      </c>
    </row>
    <row r="14" spans="1:14" hidden="1" x14ac:dyDescent="0.3">
      <c r="A14" s="51" t="s">
        <v>118</v>
      </c>
      <c r="B14" s="52">
        <v>46214</v>
      </c>
      <c r="C14" s="53" t="s">
        <v>13</v>
      </c>
      <c r="D14" s="53" t="s">
        <v>29</v>
      </c>
      <c r="E14" s="53" t="s">
        <v>21</v>
      </c>
      <c r="F14" s="54">
        <v>138267</v>
      </c>
      <c r="G14" s="53" t="s">
        <v>35</v>
      </c>
      <c r="H14" s="54" t="s">
        <v>17</v>
      </c>
      <c r="I14" s="54">
        <v>163100</v>
      </c>
      <c r="J14" s="54">
        <v>102100</v>
      </c>
      <c r="K14" s="54">
        <v>36167</v>
      </c>
      <c r="L14" s="53">
        <v>30</v>
      </c>
      <c r="M14" s="55" t="s">
        <v>41</v>
      </c>
      <c r="N14" s="56" t="s">
        <v>103</v>
      </c>
    </row>
    <row r="15" spans="1:14" hidden="1" x14ac:dyDescent="0.3">
      <c r="A15" s="51" t="s">
        <v>119</v>
      </c>
      <c r="B15" s="52">
        <v>46214</v>
      </c>
      <c r="C15" s="53" t="s">
        <v>25</v>
      </c>
      <c r="D15" s="53" t="s">
        <v>43</v>
      </c>
      <c r="E15" s="53" t="s">
        <v>37</v>
      </c>
      <c r="F15" s="54">
        <v>136503</v>
      </c>
      <c r="G15" s="53" t="s">
        <v>35</v>
      </c>
      <c r="H15" s="54" t="s">
        <v>28</v>
      </c>
      <c r="I15" s="54">
        <v>148000</v>
      </c>
      <c r="J15" s="54">
        <v>85800</v>
      </c>
      <c r="K15" s="54">
        <v>50703</v>
      </c>
      <c r="L15" s="53">
        <v>68</v>
      </c>
      <c r="M15" s="55" t="s">
        <v>24</v>
      </c>
      <c r="N15" s="56" t="s">
        <v>105</v>
      </c>
    </row>
    <row r="16" spans="1:14" hidden="1" x14ac:dyDescent="0.3">
      <c r="A16" s="51" t="s">
        <v>120</v>
      </c>
      <c r="B16" s="52">
        <v>46227</v>
      </c>
      <c r="C16" s="53" t="s">
        <v>25</v>
      </c>
      <c r="D16" s="53" t="s">
        <v>14</v>
      </c>
      <c r="E16" s="53" t="s">
        <v>37</v>
      </c>
      <c r="F16" s="54">
        <v>94878</v>
      </c>
      <c r="G16" s="53" t="s">
        <v>30</v>
      </c>
      <c r="H16" s="54" t="s">
        <v>28</v>
      </c>
      <c r="I16" s="54">
        <v>103200</v>
      </c>
      <c r="J16" s="54">
        <v>80100</v>
      </c>
      <c r="K16" s="54">
        <v>14778</v>
      </c>
      <c r="L16" s="53">
        <v>25</v>
      </c>
      <c r="M16" s="55" t="s">
        <v>41</v>
      </c>
      <c r="N16" s="56" t="s">
        <v>114</v>
      </c>
    </row>
    <row r="17" spans="1:14" hidden="1" x14ac:dyDescent="0.3">
      <c r="A17" s="51" t="s">
        <v>121</v>
      </c>
      <c r="B17" s="52">
        <v>46256</v>
      </c>
      <c r="C17" s="53" t="s">
        <v>32</v>
      </c>
      <c r="D17" s="53" t="s">
        <v>39</v>
      </c>
      <c r="E17" s="53" t="s">
        <v>27</v>
      </c>
      <c r="F17" s="54">
        <v>67056</v>
      </c>
      <c r="G17" s="53" t="s">
        <v>30</v>
      </c>
      <c r="H17" s="54" t="s">
        <v>36</v>
      </c>
      <c r="I17" s="54">
        <v>65500</v>
      </c>
      <c r="J17" s="54">
        <v>38600</v>
      </c>
      <c r="K17" s="54">
        <v>28456</v>
      </c>
      <c r="L17" s="53">
        <v>68</v>
      </c>
      <c r="M17" s="55" t="s">
        <v>24</v>
      </c>
      <c r="N17" s="56" t="s">
        <v>105</v>
      </c>
    </row>
    <row r="18" spans="1:14" hidden="1" x14ac:dyDescent="0.3">
      <c r="A18" s="51" t="s">
        <v>122</v>
      </c>
      <c r="B18" s="52">
        <v>46239</v>
      </c>
      <c r="C18" s="53" t="s">
        <v>32</v>
      </c>
      <c r="D18" s="53" t="s">
        <v>39</v>
      </c>
      <c r="E18" s="53" t="s">
        <v>15</v>
      </c>
      <c r="F18" s="54">
        <v>29975</v>
      </c>
      <c r="G18" s="53" t="s">
        <v>35</v>
      </c>
      <c r="H18" s="54" t="s">
        <v>36</v>
      </c>
      <c r="I18" s="54">
        <v>31700</v>
      </c>
      <c r="J18" s="54">
        <v>21900</v>
      </c>
      <c r="K18" s="54">
        <v>8075</v>
      </c>
      <c r="L18" s="53">
        <v>30</v>
      </c>
      <c r="M18" s="55" t="s">
        <v>41</v>
      </c>
      <c r="N18" s="56" t="s">
        <v>103</v>
      </c>
    </row>
    <row r="19" spans="1:14" hidden="1" x14ac:dyDescent="0.3">
      <c r="A19" s="51" t="s">
        <v>123</v>
      </c>
      <c r="B19" s="52">
        <v>46243</v>
      </c>
      <c r="C19" s="53" t="s">
        <v>32</v>
      </c>
      <c r="D19" s="53" t="s">
        <v>20</v>
      </c>
      <c r="E19" s="53" t="s">
        <v>21</v>
      </c>
      <c r="F19" s="54">
        <v>98397</v>
      </c>
      <c r="G19" s="53" t="s">
        <v>35</v>
      </c>
      <c r="H19" s="54" t="s">
        <v>36</v>
      </c>
      <c r="I19" s="54">
        <v>84000</v>
      </c>
      <c r="J19" s="54">
        <v>61900</v>
      </c>
      <c r="K19" s="54">
        <v>36497</v>
      </c>
      <c r="L19" s="53">
        <v>30</v>
      </c>
      <c r="M19" s="55" t="s">
        <v>41</v>
      </c>
      <c r="N19" s="56" t="s">
        <v>103</v>
      </c>
    </row>
    <row r="20" spans="1:14" hidden="1" x14ac:dyDescent="0.3">
      <c r="A20" s="51" t="s">
        <v>124</v>
      </c>
      <c r="B20" s="52">
        <v>46227</v>
      </c>
      <c r="C20" s="53" t="s">
        <v>32</v>
      </c>
      <c r="D20" s="53" t="s">
        <v>45</v>
      </c>
      <c r="E20" s="53" t="s">
        <v>27</v>
      </c>
      <c r="F20" s="54">
        <v>43142</v>
      </c>
      <c r="G20" s="53" t="s">
        <v>22</v>
      </c>
      <c r="H20" s="54" t="s">
        <v>36</v>
      </c>
      <c r="I20" s="54">
        <v>46300</v>
      </c>
      <c r="J20" s="54">
        <v>33600</v>
      </c>
      <c r="K20" s="54">
        <v>9542</v>
      </c>
      <c r="L20" s="53">
        <v>35</v>
      </c>
      <c r="M20" s="55" t="s">
        <v>18</v>
      </c>
      <c r="N20" s="56" t="s">
        <v>103</v>
      </c>
    </row>
    <row r="21" spans="1:14" hidden="1" x14ac:dyDescent="0.3">
      <c r="A21" s="51" t="s">
        <v>125</v>
      </c>
      <c r="B21" s="52">
        <v>46206</v>
      </c>
      <c r="C21" s="53" t="s">
        <v>13</v>
      </c>
      <c r="D21" s="53" t="s">
        <v>45</v>
      </c>
      <c r="E21" s="53" t="s">
        <v>21</v>
      </c>
      <c r="F21" s="54">
        <v>36916</v>
      </c>
      <c r="G21" s="53" t="s">
        <v>40</v>
      </c>
      <c r="H21" s="54" t="s">
        <v>17</v>
      </c>
      <c r="I21" s="54">
        <v>43200</v>
      </c>
      <c r="J21" s="54">
        <v>21000</v>
      </c>
      <c r="K21" s="54">
        <v>15916</v>
      </c>
      <c r="L21" s="53">
        <v>105</v>
      </c>
      <c r="M21" s="55" t="s">
        <v>31</v>
      </c>
      <c r="N21" s="56" t="s">
        <v>108</v>
      </c>
    </row>
    <row r="22" spans="1:14" hidden="1" x14ac:dyDescent="0.3">
      <c r="A22" s="51" t="s">
        <v>126</v>
      </c>
      <c r="B22" s="52">
        <v>46225</v>
      </c>
      <c r="C22" s="53" t="s">
        <v>25</v>
      </c>
      <c r="D22" s="53" t="s">
        <v>46</v>
      </c>
      <c r="E22" s="53" t="s">
        <v>15</v>
      </c>
      <c r="F22" s="54">
        <v>74324</v>
      </c>
      <c r="G22" s="53" t="s">
        <v>30</v>
      </c>
      <c r="H22" s="54" t="s">
        <v>28</v>
      </c>
      <c r="I22" s="54">
        <v>79100</v>
      </c>
      <c r="J22" s="54">
        <v>40600</v>
      </c>
      <c r="K22" s="54">
        <v>33724</v>
      </c>
      <c r="L22" s="53">
        <v>68</v>
      </c>
      <c r="M22" s="55" t="s">
        <v>24</v>
      </c>
      <c r="N22" s="56" t="s">
        <v>105</v>
      </c>
    </row>
    <row r="23" spans="1:14" hidden="1" x14ac:dyDescent="0.3">
      <c r="A23" s="51" t="s">
        <v>127</v>
      </c>
      <c r="B23" s="52">
        <v>46256</v>
      </c>
      <c r="C23" s="53" t="s">
        <v>25</v>
      </c>
      <c r="D23" s="53" t="s">
        <v>20</v>
      </c>
      <c r="E23" s="53" t="s">
        <v>37</v>
      </c>
      <c r="F23" s="54">
        <v>135932</v>
      </c>
      <c r="G23" s="53" t="s">
        <v>40</v>
      </c>
      <c r="H23" s="54" t="s">
        <v>28</v>
      </c>
      <c r="I23" s="54">
        <v>157100</v>
      </c>
      <c r="J23" s="54">
        <v>123600</v>
      </c>
      <c r="K23" s="54">
        <v>12332</v>
      </c>
      <c r="L23" s="53">
        <v>85</v>
      </c>
      <c r="M23" s="55" t="s">
        <v>24</v>
      </c>
      <c r="N23" s="56" t="s">
        <v>105</v>
      </c>
    </row>
    <row r="24" spans="1:14" x14ac:dyDescent="0.3">
      <c r="A24" s="51" t="s">
        <v>128</v>
      </c>
      <c r="B24" s="52">
        <v>46205</v>
      </c>
      <c r="C24" s="53" t="s">
        <v>19</v>
      </c>
      <c r="D24" s="53" t="s">
        <v>47</v>
      </c>
      <c r="E24" s="53" t="s">
        <v>44</v>
      </c>
      <c r="F24" s="54">
        <v>145720</v>
      </c>
      <c r="G24" s="53" t="s">
        <v>22</v>
      </c>
      <c r="H24" s="54" t="s">
        <v>48</v>
      </c>
      <c r="I24" s="54">
        <v>160800</v>
      </c>
      <c r="J24" s="54">
        <v>73000</v>
      </c>
      <c r="K24" s="54">
        <v>72720</v>
      </c>
      <c r="L24" s="53">
        <v>68</v>
      </c>
      <c r="M24" s="55" t="s">
        <v>24</v>
      </c>
      <c r="N24" s="56" t="s">
        <v>105</v>
      </c>
    </row>
    <row r="25" spans="1:14" hidden="1" x14ac:dyDescent="0.3">
      <c r="A25" s="51" t="s">
        <v>129</v>
      </c>
      <c r="B25" s="52">
        <v>46227</v>
      </c>
      <c r="C25" s="53" t="s">
        <v>25</v>
      </c>
      <c r="D25" s="53" t="s">
        <v>46</v>
      </c>
      <c r="E25" s="53" t="s">
        <v>37</v>
      </c>
      <c r="F25" s="54">
        <v>106059</v>
      </c>
      <c r="G25" s="53" t="s">
        <v>35</v>
      </c>
      <c r="H25" s="54" t="s">
        <v>28</v>
      </c>
      <c r="I25" s="54">
        <v>94600</v>
      </c>
      <c r="J25" s="54">
        <v>74600</v>
      </c>
      <c r="K25" s="54">
        <v>31459</v>
      </c>
      <c r="L25" s="53">
        <v>95</v>
      </c>
      <c r="M25" s="55" t="s">
        <v>31</v>
      </c>
      <c r="N25" s="56" t="s">
        <v>624</v>
      </c>
    </row>
    <row r="26" spans="1:14" x14ac:dyDescent="0.3">
      <c r="A26" s="51" t="s">
        <v>130</v>
      </c>
      <c r="B26" s="52">
        <v>46247</v>
      </c>
      <c r="C26" s="53" t="s">
        <v>19</v>
      </c>
      <c r="D26" s="53" t="s">
        <v>47</v>
      </c>
      <c r="E26" s="53" t="s">
        <v>27</v>
      </c>
      <c r="F26" s="54">
        <v>108317</v>
      </c>
      <c r="G26" s="53" t="s">
        <v>40</v>
      </c>
      <c r="H26" s="54" t="s">
        <v>23</v>
      </c>
      <c r="I26" s="54">
        <v>126300</v>
      </c>
      <c r="J26" s="54">
        <v>60700</v>
      </c>
      <c r="K26" s="54">
        <v>47617</v>
      </c>
      <c r="L26" s="53">
        <v>95</v>
      </c>
      <c r="M26" s="55" t="s">
        <v>31</v>
      </c>
      <c r="N26" s="56" t="s">
        <v>624</v>
      </c>
    </row>
    <row r="27" spans="1:14" hidden="1" x14ac:dyDescent="0.3">
      <c r="A27" s="51" t="s">
        <v>131</v>
      </c>
      <c r="B27" s="52">
        <v>46233</v>
      </c>
      <c r="C27" s="53" t="s">
        <v>25</v>
      </c>
      <c r="D27" s="53" t="s">
        <v>45</v>
      </c>
      <c r="E27" s="53" t="s">
        <v>34</v>
      </c>
      <c r="F27" s="54">
        <v>45046</v>
      </c>
      <c r="G27" s="53" t="s">
        <v>35</v>
      </c>
      <c r="H27" s="54" t="s">
        <v>28</v>
      </c>
      <c r="I27" s="54">
        <v>39300</v>
      </c>
      <c r="J27" s="54">
        <v>21100</v>
      </c>
      <c r="K27" s="54">
        <v>23946</v>
      </c>
      <c r="L27" s="53">
        <v>75</v>
      </c>
      <c r="M27" s="55" t="s">
        <v>24</v>
      </c>
      <c r="N27" s="56" t="s">
        <v>105</v>
      </c>
    </row>
    <row r="28" spans="1:14" hidden="1" x14ac:dyDescent="0.3">
      <c r="A28" s="51" t="s">
        <v>132</v>
      </c>
      <c r="B28" s="52">
        <v>46241</v>
      </c>
      <c r="C28" s="53" t="s">
        <v>25</v>
      </c>
      <c r="D28" s="53" t="s">
        <v>20</v>
      </c>
      <c r="E28" s="53" t="s">
        <v>44</v>
      </c>
      <c r="F28" s="54">
        <v>111459</v>
      </c>
      <c r="G28" s="53" t="s">
        <v>35</v>
      </c>
      <c r="H28" s="54" t="s">
        <v>28</v>
      </c>
      <c r="I28" s="54">
        <v>115600</v>
      </c>
      <c r="J28" s="54">
        <v>52200</v>
      </c>
      <c r="K28" s="54">
        <v>59259</v>
      </c>
      <c r="L28" s="53">
        <v>35</v>
      </c>
      <c r="M28" s="55" t="s">
        <v>18</v>
      </c>
      <c r="N28" s="56" t="s">
        <v>103</v>
      </c>
    </row>
    <row r="29" spans="1:14" x14ac:dyDescent="0.3">
      <c r="A29" s="51" t="s">
        <v>133</v>
      </c>
      <c r="B29" s="52">
        <v>46205</v>
      </c>
      <c r="C29" s="53" t="s">
        <v>19</v>
      </c>
      <c r="D29" s="53" t="s">
        <v>47</v>
      </c>
      <c r="E29" s="53" t="s">
        <v>27</v>
      </c>
      <c r="F29" s="54">
        <v>55893</v>
      </c>
      <c r="G29" s="53" t="s">
        <v>16</v>
      </c>
      <c r="H29" s="54" t="s">
        <v>48</v>
      </c>
      <c r="I29" s="54">
        <v>50300</v>
      </c>
      <c r="J29" s="54">
        <v>30000</v>
      </c>
      <c r="K29" s="54">
        <v>25893</v>
      </c>
      <c r="L29" s="53">
        <v>52</v>
      </c>
      <c r="M29" s="55" t="s">
        <v>18</v>
      </c>
      <c r="N29" s="56" t="s">
        <v>103</v>
      </c>
    </row>
    <row r="30" spans="1:14" hidden="1" x14ac:dyDescent="0.3">
      <c r="A30" s="51" t="s">
        <v>134</v>
      </c>
      <c r="B30" s="52">
        <v>46263</v>
      </c>
      <c r="C30" s="53" t="s">
        <v>25</v>
      </c>
      <c r="D30" s="53" t="s">
        <v>26</v>
      </c>
      <c r="E30" s="53" t="s">
        <v>15</v>
      </c>
      <c r="F30" s="54">
        <v>111520</v>
      </c>
      <c r="G30" s="53" t="s">
        <v>40</v>
      </c>
      <c r="H30" s="54" t="s">
        <v>28</v>
      </c>
      <c r="I30" s="54">
        <v>95200</v>
      </c>
      <c r="J30" s="54">
        <v>98500</v>
      </c>
      <c r="K30" s="54">
        <v>13020</v>
      </c>
      <c r="L30" s="53">
        <v>52</v>
      </c>
      <c r="M30" s="55" t="s">
        <v>18</v>
      </c>
      <c r="N30" s="56" t="s">
        <v>103</v>
      </c>
    </row>
    <row r="31" spans="1:14" x14ac:dyDescent="0.3">
      <c r="A31" s="51" t="s">
        <v>135</v>
      </c>
      <c r="B31" s="52">
        <v>46224</v>
      </c>
      <c r="C31" s="53" t="s">
        <v>19</v>
      </c>
      <c r="D31" s="53" t="s">
        <v>20</v>
      </c>
      <c r="E31" s="53" t="s">
        <v>44</v>
      </c>
      <c r="F31" s="54">
        <v>135818</v>
      </c>
      <c r="G31" s="53" t="s">
        <v>40</v>
      </c>
      <c r="H31" s="54" t="s">
        <v>48</v>
      </c>
      <c r="I31" s="54">
        <v>135500</v>
      </c>
      <c r="J31" s="54">
        <v>80300</v>
      </c>
      <c r="K31" s="54">
        <v>55518</v>
      </c>
      <c r="L31" s="53">
        <v>75</v>
      </c>
      <c r="M31" s="55" t="s">
        <v>24</v>
      </c>
      <c r="N31" s="56" t="s">
        <v>105</v>
      </c>
    </row>
    <row r="32" spans="1:14" x14ac:dyDescent="0.3">
      <c r="A32" s="51" t="s">
        <v>136</v>
      </c>
      <c r="B32" s="52">
        <v>46236</v>
      </c>
      <c r="C32" s="53" t="s">
        <v>19</v>
      </c>
      <c r="D32" s="53" t="s">
        <v>45</v>
      </c>
      <c r="E32" s="53" t="s">
        <v>27</v>
      </c>
      <c r="F32" s="54">
        <v>71272</v>
      </c>
      <c r="G32" s="53" t="s">
        <v>35</v>
      </c>
      <c r="H32" s="54" t="s">
        <v>48</v>
      </c>
      <c r="I32" s="54">
        <v>67900</v>
      </c>
      <c r="J32" s="54">
        <v>65900</v>
      </c>
      <c r="K32" s="54">
        <v>5372</v>
      </c>
      <c r="L32" s="53">
        <v>60</v>
      </c>
      <c r="M32" s="55" t="s">
        <v>18</v>
      </c>
      <c r="N32" s="56" t="s">
        <v>103</v>
      </c>
    </row>
    <row r="33" spans="1:14" x14ac:dyDescent="0.3">
      <c r="A33" s="51" t="s">
        <v>137</v>
      </c>
      <c r="B33" s="52">
        <v>46215</v>
      </c>
      <c r="C33" s="53" t="s">
        <v>19</v>
      </c>
      <c r="D33" s="53" t="s">
        <v>46</v>
      </c>
      <c r="E33" s="53" t="s">
        <v>15</v>
      </c>
      <c r="F33" s="54">
        <v>77649</v>
      </c>
      <c r="G33" s="53" t="s">
        <v>22</v>
      </c>
      <c r="H33" s="54" t="s">
        <v>17</v>
      </c>
      <c r="I33" s="54">
        <v>79200</v>
      </c>
      <c r="J33" s="54">
        <v>57500</v>
      </c>
      <c r="K33" s="54">
        <v>20149</v>
      </c>
      <c r="L33" s="53">
        <v>52</v>
      </c>
      <c r="M33" s="55" t="s">
        <v>18</v>
      </c>
      <c r="N33" s="56" t="s">
        <v>103</v>
      </c>
    </row>
    <row r="34" spans="1:14" hidden="1" x14ac:dyDescent="0.3">
      <c r="A34" s="51" t="s">
        <v>138</v>
      </c>
      <c r="B34" s="52">
        <v>46261</v>
      </c>
      <c r="C34" s="53" t="s">
        <v>25</v>
      </c>
      <c r="D34" s="53" t="s">
        <v>49</v>
      </c>
      <c r="E34" s="53" t="s">
        <v>37</v>
      </c>
      <c r="F34" s="54">
        <v>74674</v>
      </c>
      <c r="G34" s="53" t="s">
        <v>16</v>
      </c>
      <c r="H34" s="54" t="s">
        <v>28</v>
      </c>
      <c r="I34" s="54">
        <v>78600</v>
      </c>
      <c r="J34" s="54">
        <v>49900</v>
      </c>
      <c r="K34" s="54">
        <v>24774</v>
      </c>
      <c r="L34" s="53">
        <v>95</v>
      </c>
      <c r="M34" s="55" t="s">
        <v>31</v>
      </c>
      <c r="N34" s="56" t="s">
        <v>624</v>
      </c>
    </row>
    <row r="35" spans="1:14" x14ac:dyDescent="0.3">
      <c r="A35" s="51" t="s">
        <v>139</v>
      </c>
      <c r="B35" s="52">
        <v>46225</v>
      </c>
      <c r="C35" s="53" t="s">
        <v>19</v>
      </c>
      <c r="D35" s="53" t="s">
        <v>20</v>
      </c>
      <c r="E35" s="53" t="s">
        <v>34</v>
      </c>
      <c r="F35" s="54">
        <v>96475</v>
      </c>
      <c r="G35" s="53" t="s">
        <v>35</v>
      </c>
      <c r="H35" s="54" t="s">
        <v>23</v>
      </c>
      <c r="I35" s="54">
        <v>83500</v>
      </c>
      <c r="J35" s="54">
        <v>71400</v>
      </c>
      <c r="K35" s="54">
        <v>25075</v>
      </c>
      <c r="L35" s="53">
        <v>75</v>
      </c>
      <c r="M35" s="55" t="s">
        <v>24</v>
      </c>
      <c r="N35" s="56" t="s">
        <v>105</v>
      </c>
    </row>
    <row r="36" spans="1:14" hidden="1" x14ac:dyDescent="0.3">
      <c r="A36" s="51" t="s">
        <v>140</v>
      </c>
      <c r="B36" s="52">
        <v>46264</v>
      </c>
      <c r="C36" s="53" t="s">
        <v>25</v>
      </c>
      <c r="D36" s="53" t="s">
        <v>42</v>
      </c>
      <c r="E36" s="53" t="s">
        <v>15</v>
      </c>
      <c r="F36" s="54">
        <v>71367</v>
      </c>
      <c r="G36" s="53" t="s">
        <v>30</v>
      </c>
      <c r="H36" s="54" t="s">
        <v>28</v>
      </c>
      <c r="I36" s="54">
        <v>63700</v>
      </c>
      <c r="J36" s="54">
        <v>50600</v>
      </c>
      <c r="K36" s="54">
        <v>20767</v>
      </c>
      <c r="L36" s="53">
        <v>12</v>
      </c>
      <c r="M36" s="55" t="s">
        <v>41</v>
      </c>
      <c r="N36" s="56" t="s">
        <v>114</v>
      </c>
    </row>
    <row r="37" spans="1:14" hidden="1" x14ac:dyDescent="0.3">
      <c r="A37" s="51" t="s">
        <v>141</v>
      </c>
      <c r="B37" s="52">
        <v>46247</v>
      </c>
      <c r="C37" s="53" t="s">
        <v>32</v>
      </c>
      <c r="D37" s="53" t="s">
        <v>29</v>
      </c>
      <c r="E37" s="53" t="s">
        <v>21</v>
      </c>
      <c r="F37" s="54">
        <v>131750</v>
      </c>
      <c r="G37" s="53" t="s">
        <v>30</v>
      </c>
      <c r="H37" s="54" t="s">
        <v>36</v>
      </c>
      <c r="I37" s="54">
        <v>137700</v>
      </c>
      <c r="J37" s="54">
        <v>109300</v>
      </c>
      <c r="K37" s="54">
        <v>22450</v>
      </c>
      <c r="L37" s="53">
        <v>105</v>
      </c>
      <c r="M37" s="55" t="s">
        <v>31</v>
      </c>
      <c r="N37" s="56" t="s">
        <v>108</v>
      </c>
    </row>
    <row r="38" spans="1:14" x14ac:dyDescent="0.3">
      <c r="A38" s="51" t="s">
        <v>142</v>
      </c>
      <c r="B38" s="52">
        <v>46228</v>
      </c>
      <c r="C38" s="53" t="s">
        <v>19</v>
      </c>
      <c r="D38" s="53" t="s">
        <v>45</v>
      </c>
      <c r="E38" s="53" t="s">
        <v>15</v>
      </c>
      <c r="F38" s="54">
        <v>128154</v>
      </c>
      <c r="G38" s="53" t="s">
        <v>16</v>
      </c>
      <c r="H38" s="54" t="s">
        <v>23</v>
      </c>
      <c r="I38" s="54">
        <v>124300</v>
      </c>
      <c r="J38" s="54">
        <v>75800</v>
      </c>
      <c r="K38" s="54">
        <v>52354</v>
      </c>
      <c r="L38" s="53">
        <v>105</v>
      </c>
      <c r="M38" s="55" t="s">
        <v>31</v>
      </c>
      <c r="N38" s="56" t="s">
        <v>108</v>
      </c>
    </row>
    <row r="39" spans="1:14" hidden="1" x14ac:dyDescent="0.3">
      <c r="A39" s="51" t="s">
        <v>143</v>
      </c>
      <c r="B39" s="52">
        <v>46252</v>
      </c>
      <c r="C39" s="53" t="s">
        <v>32</v>
      </c>
      <c r="D39" s="53" t="s">
        <v>50</v>
      </c>
      <c r="E39" s="53" t="s">
        <v>15</v>
      </c>
      <c r="F39" s="54">
        <v>54738</v>
      </c>
      <c r="G39" s="53" t="s">
        <v>22</v>
      </c>
      <c r="H39" s="54" t="s">
        <v>36</v>
      </c>
      <c r="I39" s="54">
        <v>60500</v>
      </c>
      <c r="J39" s="54">
        <v>34300</v>
      </c>
      <c r="K39" s="54">
        <v>20438</v>
      </c>
      <c r="L39" s="53">
        <v>85</v>
      </c>
      <c r="M39" s="55" t="s">
        <v>24</v>
      </c>
      <c r="N39" s="56" t="s">
        <v>105</v>
      </c>
    </row>
    <row r="40" spans="1:14" x14ac:dyDescent="0.3">
      <c r="A40" s="51" t="s">
        <v>144</v>
      </c>
      <c r="B40" s="52">
        <v>46230</v>
      </c>
      <c r="C40" s="53" t="s">
        <v>19</v>
      </c>
      <c r="D40" s="53" t="s">
        <v>50</v>
      </c>
      <c r="E40" s="53" t="s">
        <v>34</v>
      </c>
      <c r="F40" s="54">
        <v>43397</v>
      </c>
      <c r="G40" s="53" t="s">
        <v>35</v>
      </c>
      <c r="H40" s="54" t="s">
        <v>23</v>
      </c>
      <c r="I40" s="54">
        <v>46800</v>
      </c>
      <c r="J40" s="54">
        <v>38900</v>
      </c>
      <c r="K40" s="54">
        <v>4497</v>
      </c>
      <c r="L40" s="53">
        <v>68</v>
      </c>
      <c r="M40" s="55" t="s">
        <v>24</v>
      </c>
      <c r="N40" s="56" t="s">
        <v>105</v>
      </c>
    </row>
    <row r="41" spans="1:14" x14ac:dyDescent="0.3">
      <c r="A41" s="51" t="s">
        <v>145</v>
      </c>
      <c r="B41" s="52">
        <v>46262</v>
      </c>
      <c r="C41" s="53" t="s">
        <v>19</v>
      </c>
      <c r="D41" s="53" t="s">
        <v>46</v>
      </c>
      <c r="E41" s="53" t="s">
        <v>21</v>
      </c>
      <c r="F41" s="54">
        <v>92189</v>
      </c>
      <c r="G41" s="53" t="s">
        <v>40</v>
      </c>
      <c r="H41" s="54" t="s">
        <v>23</v>
      </c>
      <c r="I41" s="54">
        <v>105600</v>
      </c>
      <c r="J41" s="54">
        <v>85100</v>
      </c>
      <c r="K41" s="54">
        <v>7089</v>
      </c>
      <c r="L41" s="53">
        <v>85</v>
      </c>
      <c r="M41" s="55" t="s">
        <v>24</v>
      </c>
      <c r="N41" s="56" t="s">
        <v>105</v>
      </c>
    </row>
    <row r="42" spans="1:14" hidden="1" x14ac:dyDescent="0.3">
      <c r="A42" s="51" t="s">
        <v>146</v>
      </c>
      <c r="B42" s="52">
        <v>46245</v>
      </c>
      <c r="C42" s="53" t="s">
        <v>25</v>
      </c>
      <c r="D42" s="53" t="s">
        <v>46</v>
      </c>
      <c r="E42" s="53" t="s">
        <v>27</v>
      </c>
      <c r="F42" s="54">
        <v>86367</v>
      </c>
      <c r="G42" s="53" t="s">
        <v>16</v>
      </c>
      <c r="H42" s="54" t="s">
        <v>28</v>
      </c>
      <c r="I42" s="54">
        <v>94300</v>
      </c>
      <c r="J42" s="54">
        <v>77400</v>
      </c>
      <c r="K42" s="54">
        <v>8967</v>
      </c>
      <c r="L42" s="53">
        <v>75</v>
      </c>
      <c r="M42" s="55" t="s">
        <v>24</v>
      </c>
      <c r="N42" s="56" t="s">
        <v>105</v>
      </c>
    </row>
    <row r="43" spans="1:14" hidden="1" x14ac:dyDescent="0.3">
      <c r="A43" s="51" t="s">
        <v>147</v>
      </c>
      <c r="B43" s="52">
        <v>46231</v>
      </c>
      <c r="C43" s="53" t="s">
        <v>25</v>
      </c>
      <c r="D43" s="53" t="s">
        <v>43</v>
      </c>
      <c r="E43" s="53" t="s">
        <v>27</v>
      </c>
      <c r="F43" s="54">
        <v>130585</v>
      </c>
      <c r="G43" s="53" t="s">
        <v>22</v>
      </c>
      <c r="H43" s="54" t="s">
        <v>28</v>
      </c>
      <c r="I43" s="54">
        <v>130600</v>
      </c>
      <c r="J43" s="54">
        <v>86200</v>
      </c>
      <c r="K43" s="54">
        <v>44385</v>
      </c>
      <c r="L43" s="53">
        <v>120</v>
      </c>
      <c r="M43" s="55" t="s">
        <v>31</v>
      </c>
      <c r="N43" s="56" t="s">
        <v>108</v>
      </c>
    </row>
    <row r="44" spans="1:14" hidden="1" x14ac:dyDescent="0.3">
      <c r="A44" s="51" t="s">
        <v>148</v>
      </c>
      <c r="B44" s="52">
        <v>46263</v>
      </c>
      <c r="C44" s="53" t="s">
        <v>32</v>
      </c>
      <c r="D44" s="53" t="s">
        <v>29</v>
      </c>
      <c r="E44" s="53" t="s">
        <v>15</v>
      </c>
      <c r="F44" s="54">
        <v>86619</v>
      </c>
      <c r="G44" s="53" t="s">
        <v>40</v>
      </c>
      <c r="H44" s="54" t="s">
        <v>36</v>
      </c>
      <c r="I44" s="54">
        <v>94000</v>
      </c>
      <c r="J44" s="54">
        <v>72800</v>
      </c>
      <c r="K44" s="54">
        <v>13819</v>
      </c>
      <c r="L44" s="53">
        <v>5</v>
      </c>
      <c r="M44" s="55" t="s">
        <v>41</v>
      </c>
      <c r="N44" s="56" t="s">
        <v>114</v>
      </c>
    </row>
    <row r="45" spans="1:14" hidden="1" x14ac:dyDescent="0.3">
      <c r="A45" s="51" t="s">
        <v>149</v>
      </c>
      <c r="B45" s="52">
        <v>46219</v>
      </c>
      <c r="C45" s="53" t="s">
        <v>32</v>
      </c>
      <c r="D45" s="53" t="s">
        <v>29</v>
      </c>
      <c r="E45" s="53" t="s">
        <v>21</v>
      </c>
      <c r="F45" s="54">
        <v>121453</v>
      </c>
      <c r="G45" s="53" t="s">
        <v>30</v>
      </c>
      <c r="H45" s="54" t="s">
        <v>36</v>
      </c>
      <c r="I45" s="54">
        <v>114900</v>
      </c>
      <c r="J45" s="54">
        <v>83600</v>
      </c>
      <c r="K45" s="54">
        <v>37853</v>
      </c>
      <c r="L45" s="53">
        <v>68</v>
      </c>
      <c r="M45" s="55" t="s">
        <v>24</v>
      </c>
      <c r="N45" s="56" t="s">
        <v>105</v>
      </c>
    </row>
    <row r="46" spans="1:14" hidden="1" x14ac:dyDescent="0.3">
      <c r="A46" s="51" t="s">
        <v>150</v>
      </c>
      <c r="B46" s="52">
        <v>46218</v>
      </c>
      <c r="C46" s="53" t="s">
        <v>13</v>
      </c>
      <c r="D46" s="53" t="s">
        <v>26</v>
      </c>
      <c r="E46" s="53" t="s">
        <v>21</v>
      </c>
      <c r="F46" s="54">
        <v>29816</v>
      </c>
      <c r="G46" s="53" t="s">
        <v>30</v>
      </c>
      <c r="H46" s="54" t="s">
        <v>17</v>
      </c>
      <c r="I46" s="54">
        <v>28500</v>
      </c>
      <c r="J46" s="54">
        <v>20800</v>
      </c>
      <c r="K46" s="54">
        <v>9016</v>
      </c>
      <c r="L46" s="53">
        <v>12</v>
      </c>
      <c r="M46" s="55" t="s">
        <v>41</v>
      </c>
      <c r="N46" s="56" t="s">
        <v>114</v>
      </c>
    </row>
    <row r="47" spans="1:14" hidden="1" x14ac:dyDescent="0.3">
      <c r="A47" s="51" t="s">
        <v>151</v>
      </c>
      <c r="B47" s="52">
        <v>46265</v>
      </c>
      <c r="C47" s="53" t="s">
        <v>25</v>
      </c>
      <c r="D47" s="53" t="s">
        <v>46</v>
      </c>
      <c r="E47" s="53" t="s">
        <v>34</v>
      </c>
      <c r="F47" s="54">
        <v>147348</v>
      </c>
      <c r="G47" s="53" t="s">
        <v>40</v>
      </c>
      <c r="H47" s="54" t="s">
        <v>28</v>
      </c>
      <c r="I47" s="54">
        <v>165900</v>
      </c>
      <c r="J47" s="54">
        <v>81400</v>
      </c>
      <c r="K47" s="54">
        <v>65948</v>
      </c>
      <c r="L47" s="53">
        <v>12</v>
      </c>
      <c r="M47" s="55" t="s">
        <v>41</v>
      </c>
      <c r="N47" s="56" t="s">
        <v>114</v>
      </c>
    </row>
    <row r="48" spans="1:14" hidden="1" x14ac:dyDescent="0.3">
      <c r="A48" s="51" t="s">
        <v>152</v>
      </c>
      <c r="B48" s="52">
        <v>46265</v>
      </c>
      <c r="C48" s="53" t="s">
        <v>25</v>
      </c>
      <c r="D48" s="53" t="s">
        <v>29</v>
      </c>
      <c r="E48" s="53" t="s">
        <v>37</v>
      </c>
      <c r="F48" s="54">
        <v>89530</v>
      </c>
      <c r="G48" s="53" t="s">
        <v>16</v>
      </c>
      <c r="H48" s="54" t="s">
        <v>28</v>
      </c>
      <c r="I48" s="54">
        <v>90100</v>
      </c>
      <c r="J48" s="54">
        <v>66800</v>
      </c>
      <c r="K48" s="54">
        <v>22730</v>
      </c>
      <c r="L48" s="53">
        <v>85</v>
      </c>
      <c r="M48" s="55" t="s">
        <v>24</v>
      </c>
      <c r="N48" s="56" t="s">
        <v>105</v>
      </c>
    </row>
    <row r="49" spans="1:14" hidden="1" x14ac:dyDescent="0.3">
      <c r="A49" s="51" t="s">
        <v>153</v>
      </c>
      <c r="B49" s="52">
        <v>46250</v>
      </c>
      <c r="C49" s="53" t="s">
        <v>32</v>
      </c>
      <c r="D49" s="53" t="s">
        <v>38</v>
      </c>
      <c r="E49" s="53" t="s">
        <v>27</v>
      </c>
      <c r="F49" s="54">
        <v>118856</v>
      </c>
      <c r="G49" s="53" t="s">
        <v>30</v>
      </c>
      <c r="H49" s="54" t="s">
        <v>36</v>
      </c>
      <c r="I49" s="54">
        <v>134200</v>
      </c>
      <c r="J49" s="54">
        <v>64500</v>
      </c>
      <c r="K49" s="54">
        <v>54356</v>
      </c>
      <c r="L49" s="53">
        <v>18</v>
      </c>
      <c r="M49" s="55" t="s">
        <v>41</v>
      </c>
      <c r="N49" s="56" t="s">
        <v>114</v>
      </c>
    </row>
    <row r="50" spans="1:14" x14ac:dyDescent="0.3">
      <c r="A50" s="51" t="s">
        <v>154</v>
      </c>
      <c r="B50" s="52">
        <v>46265</v>
      </c>
      <c r="C50" s="53" t="s">
        <v>19</v>
      </c>
      <c r="D50" s="53" t="s">
        <v>43</v>
      </c>
      <c r="E50" s="53" t="s">
        <v>34</v>
      </c>
      <c r="F50" s="54">
        <v>81635</v>
      </c>
      <c r="G50" s="53" t="s">
        <v>35</v>
      </c>
      <c r="H50" s="54" t="s">
        <v>23</v>
      </c>
      <c r="I50" s="54">
        <v>92900</v>
      </c>
      <c r="J50" s="54">
        <v>50300</v>
      </c>
      <c r="K50" s="54">
        <v>31335</v>
      </c>
      <c r="L50" s="53">
        <v>68</v>
      </c>
      <c r="M50" s="55" t="s">
        <v>24</v>
      </c>
      <c r="N50" s="56" t="s">
        <v>105</v>
      </c>
    </row>
    <row r="51" spans="1:14" hidden="1" x14ac:dyDescent="0.3">
      <c r="A51" s="51" t="s">
        <v>155</v>
      </c>
      <c r="B51" s="52">
        <v>46254</v>
      </c>
      <c r="C51" s="53" t="s">
        <v>25</v>
      </c>
      <c r="D51" s="53" t="s">
        <v>47</v>
      </c>
      <c r="E51" s="53" t="s">
        <v>44</v>
      </c>
      <c r="F51" s="54">
        <v>117803</v>
      </c>
      <c r="G51" s="53" t="s">
        <v>40</v>
      </c>
      <c r="H51" s="54" t="s">
        <v>28</v>
      </c>
      <c r="I51" s="54">
        <v>135500</v>
      </c>
      <c r="J51" s="54">
        <v>103400</v>
      </c>
      <c r="K51" s="54">
        <v>14403</v>
      </c>
      <c r="L51" s="53">
        <v>45</v>
      </c>
      <c r="M51" s="55" t="s">
        <v>18</v>
      </c>
      <c r="N51" s="56" t="s">
        <v>103</v>
      </c>
    </row>
    <row r="52" spans="1:14" x14ac:dyDescent="0.3">
      <c r="A52" s="51" t="s">
        <v>156</v>
      </c>
      <c r="B52" s="52">
        <v>46247</v>
      </c>
      <c r="C52" s="53" t="s">
        <v>19</v>
      </c>
      <c r="D52" s="53" t="s">
        <v>39</v>
      </c>
      <c r="E52" s="53" t="s">
        <v>27</v>
      </c>
      <c r="F52" s="54">
        <v>45946</v>
      </c>
      <c r="G52" s="53" t="s">
        <v>40</v>
      </c>
      <c r="H52" s="54" t="s">
        <v>48</v>
      </c>
      <c r="I52" s="54">
        <v>53800</v>
      </c>
      <c r="J52" s="54">
        <v>25400</v>
      </c>
      <c r="K52" s="54">
        <v>20546</v>
      </c>
      <c r="L52" s="53">
        <v>12</v>
      </c>
      <c r="M52" s="55" t="s">
        <v>41</v>
      </c>
      <c r="N52" s="56" t="s">
        <v>114</v>
      </c>
    </row>
    <row r="53" spans="1:14" x14ac:dyDescent="0.3">
      <c r="A53" s="51" t="s">
        <v>157</v>
      </c>
      <c r="B53" s="52">
        <v>46258</v>
      </c>
      <c r="C53" s="53" t="s">
        <v>19</v>
      </c>
      <c r="D53" s="53" t="s">
        <v>39</v>
      </c>
      <c r="E53" s="53" t="s">
        <v>34</v>
      </c>
      <c r="F53" s="54">
        <v>65204</v>
      </c>
      <c r="G53" s="53" t="s">
        <v>30</v>
      </c>
      <c r="H53" s="54" t="s">
        <v>48</v>
      </c>
      <c r="I53" s="54">
        <v>65300</v>
      </c>
      <c r="J53" s="54">
        <v>31700</v>
      </c>
      <c r="K53" s="54">
        <v>33504</v>
      </c>
      <c r="L53" s="53">
        <v>105</v>
      </c>
      <c r="M53" s="55" t="s">
        <v>31</v>
      </c>
      <c r="N53" s="56" t="s">
        <v>108</v>
      </c>
    </row>
    <row r="54" spans="1:14" hidden="1" x14ac:dyDescent="0.3">
      <c r="A54" s="51" t="s">
        <v>158</v>
      </c>
      <c r="B54" s="52">
        <v>46255</v>
      </c>
      <c r="C54" s="53" t="s">
        <v>13</v>
      </c>
      <c r="D54" s="53" t="s">
        <v>47</v>
      </c>
      <c r="E54" s="53" t="s">
        <v>27</v>
      </c>
      <c r="F54" s="54">
        <v>25563</v>
      </c>
      <c r="G54" s="53" t="s">
        <v>16</v>
      </c>
      <c r="H54" s="54" t="s">
        <v>17</v>
      </c>
      <c r="I54" s="54">
        <v>24600</v>
      </c>
      <c r="J54" s="54">
        <v>12400</v>
      </c>
      <c r="K54" s="54">
        <v>13163</v>
      </c>
      <c r="L54" s="53">
        <v>5</v>
      </c>
      <c r="M54" s="55" t="s">
        <v>41</v>
      </c>
      <c r="N54" s="56" t="s">
        <v>114</v>
      </c>
    </row>
    <row r="55" spans="1:14" hidden="1" x14ac:dyDescent="0.3">
      <c r="A55" s="51" t="s">
        <v>159</v>
      </c>
      <c r="B55" s="52">
        <v>46260</v>
      </c>
      <c r="C55" s="53" t="s">
        <v>13</v>
      </c>
      <c r="D55" s="53" t="s">
        <v>33</v>
      </c>
      <c r="E55" s="53" t="s">
        <v>37</v>
      </c>
      <c r="F55" s="54">
        <v>102324</v>
      </c>
      <c r="G55" s="53" t="s">
        <v>35</v>
      </c>
      <c r="H55" s="54" t="s">
        <v>17</v>
      </c>
      <c r="I55" s="54">
        <v>107800</v>
      </c>
      <c r="J55" s="54">
        <v>94200</v>
      </c>
      <c r="K55" s="54">
        <v>8124</v>
      </c>
      <c r="L55" s="53">
        <v>105</v>
      </c>
      <c r="M55" s="55" t="s">
        <v>31</v>
      </c>
      <c r="N55" s="56" t="s">
        <v>108</v>
      </c>
    </row>
    <row r="56" spans="1:14" hidden="1" x14ac:dyDescent="0.3">
      <c r="A56" s="51" t="s">
        <v>160</v>
      </c>
      <c r="B56" s="52">
        <v>46206</v>
      </c>
      <c r="C56" s="53" t="s">
        <v>32</v>
      </c>
      <c r="D56" s="53" t="s">
        <v>45</v>
      </c>
      <c r="E56" s="53" t="s">
        <v>44</v>
      </c>
      <c r="F56" s="54">
        <v>19847</v>
      </c>
      <c r="G56" s="53" t="s">
        <v>16</v>
      </c>
      <c r="H56" s="54" t="s">
        <v>36</v>
      </c>
      <c r="I56" s="54">
        <v>19400</v>
      </c>
      <c r="J56" s="54">
        <v>14000</v>
      </c>
      <c r="K56" s="54">
        <v>5847</v>
      </c>
      <c r="L56" s="53">
        <v>35</v>
      </c>
      <c r="M56" s="55" t="s">
        <v>18</v>
      </c>
      <c r="N56" s="56" t="s">
        <v>103</v>
      </c>
    </row>
    <row r="57" spans="1:14" hidden="1" x14ac:dyDescent="0.3">
      <c r="A57" s="51" t="s">
        <v>161</v>
      </c>
      <c r="B57" s="52">
        <v>46240</v>
      </c>
      <c r="C57" s="53" t="s">
        <v>25</v>
      </c>
      <c r="D57" s="53" t="s">
        <v>43</v>
      </c>
      <c r="E57" s="53" t="s">
        <v>37</v>
      </c>
      <c r="F57" s="54">
        <v>36155</v>
      </c>
      <c r="G57" s="53" t="s">
        <v>22</v>
      </c>
      <c r="H57" s="54" t="s">
        <v>28</v>
      </c>
      <c r="I57" s="54">
        <v>38300</v>
      </c>
      <c r="J57" s="54">
        <v>23700</v>
      </c>
      <c r="K57" s="54">
        <v>12455</v>
      </c>
      <c r="L57" s="53">
        <v>60</v>
      </c>
      <c r="M57" s="55" t="s">
        <v>18</v>
      </c>
      <c r="N57" s="56" t="s">
        <v>103</v>
      </c>
    </row>
    <row r="58" spans="1:14" x14ac:dyDescent="0.3">
      <c r="A58" s="51" t="s">
        <v>162</v>
      </c>
      <c r="B58" s="52">
        <v>46254</v>
      </c>
      <c r="C58" s="53" t="s">
        <v>19</v>
      </c>
      <c r="D58" s="53" t="s">
        <v>38</v>
      </c>
      <c r="E58" s="53" t="s">
        <v>44</v>
      </c>
      <c r="F58" s="54">
        <v>89671</v>
      </c>
      <c r="G58" s="53" t="s">
        <v>22</v>
      </c>
      <c r="H58" s="54" t="s">
        <v>48</v>
      </c>
      <c r="I58" s="54">
        <v>98400</v>
      </c>
      <c r="J58" s="54">
        <v>76700</v>
      </c>
      <c r="K58" s="54">
        <v>12971</v>
      </c>
      <c r="L58" s="53">
        <v>120</v>
      </c>
      <c r="M58" s="55" t="s">
        <v>31</v>
      </c>
      <c r="N58" s="56" t="s">
        <v>108</v>
      </c>
    </row>
    <row r="59" spans="1:14" x14ac:dyDescent="0.3">
      <c r="A59" s="51" t="s">
        <v>163</v>
      </c>
      <c r="B59" s="52">
        <v>46210</v>
      </c>
      <c r="C59" s="53" t="s">
        <v>19</v>
      </c>
      <c r="D59" s="53" t="s">
        <v>29</v>
      </c>
      <c r="E59" s="53" t="s">
        <v>15</v>
      </c>
      <c r="F59" s="54">
        <v>126891</v>
      </c>
      <c r="G59" s="53" t="s">
        <v>30</v>
      </c>
      <c r="H59" s="54" t="s">
        <v>48</v>
      </c>
      <c r="I59" s="54">
        <v>138400</v>
      </c>
      <c r="J59" s="54">
        <v>110100</v>
      </c>
      <c r="K59" s="54">
        <v>16791</v>
      </c>
      <c r="L59" s="53">
        <v>18</v>
      </c>
      <c r="M59" s="55" t="s">
        <v>41</v>
      </c>
      <c r="N59" s="56" t="s">
        <v>114</v>
      </c>
    </row>
    <row r="60" spans="1:14" x14ac:dyDescent="0.3">
      <c r="A60" s="51" t="s">
        <v>164</v>
      </c>
      <c r="B60" s="52">
        <v>46224</v>
      </c>
      <c r="C60" s="53" t="s">
        <v>19</v>
      </c>
      <c r="D60" s="53" t="s">
        <v>49</v>
      </c>
      <c r="E60" s="53" t="s">
        <v>34</v>
      </c>
      <c r="F60" s="54">
        <v>93310</v>
      </c>
      <c r="G60" s="53" t="s">
        <v>30</v>
      </c>
      <c r="H60" s="54" t="s">
        <v>23</v>
      </c>
      <c r="I60" s="54">
        <v>91500</v>
      </c>
      <c r="J60" s="54">
        <v>57500</v>
      </c>
      <c r="K60" s="54">
        <v>35810</v>
      </c>
      <c r="L60" s="53">
        <v>35</v>
      </c>
      <c r="M60" s="55" t="s">
        <v>18</v>
      </c>
      <c r="N60" s="56" t="s">
        <v>103</v>
      </c>
    </row>
    <row r="61" spans="1:14" hidden="1" x14ac:dyDescent="0.3">
      <c r="A61" s="51" t="s">
        <v>165</v>
      </c>
      <c r="B61" s="52">
        <v>46212</v>
      </c>
      <c r="C61" s="53" t="s">
        <v>25</v>
      </c>
      <c r="D61" s="53" t="s">
        <v>43</v>
      </c>
      <c r="E61" s="53" t="s">
        <v>44</v>
      </c>
      <c r="F61" s="54">
        <v>141691</v>
      </c>
      <c r="G61" s="53" t="s">
        <v>30</v>
      </c>
      <c r="H61" s="54" t="s">
        <v>28</v>
      </c>
      <c r="I61" s="54">
        <v>128700</v>
      </c>
      <c r="J61" s="54">
        <v>112900</v>
      </c>
      <c r="K61" s="54">
        <v>28791</v>
      </c>
      <c r="L61" s="53">
        <v>18</v>
      </c>
      <c r="M61" s="55" t="s">
        <v>41</v>
      </c>
      <c r="N61" s="56" t="s">
        <v>114</v>
      </c>
    </row>
    <row r="62" spans="1:14" hidden="1" x14ac:dyDescent="0.3">
      <c r="A62" s="51" t="s">
        <v>166</v>
      </c>
      <c r="B62" s="52">
        <v>46242</v>
      </c>
      <c r="C62" s="53" t="s">
        <v>32</v>
      </c>
      <c r="D62" s="53" t="s">
        <v>20</v>
      </c>
      <c r="E62" s="53" t="s">
        <v>37</v>
      </c>
      <c r="F62" s="54">
        <v>44707</v>
      </c>
      <c r="G62" s="53" t="s">
        <v>22</v>
      </c>
      <c r="H62" s="54" t="s">
        <v>36</v>
      </c>
      <c r="I62" s="54">
        <v>44700</v>
      </c>
      <c r="J62" s="54">
        <v>37400</v>
      </c>
      <c r="K62" s="54">
        <v>7307</v>
      </c>
      <c r="L62" s="53">
        <v>105</v>
      </c>
      <c r="M62" s="55" t="s">
        <v>31</v>
      </c>
      <c r="N62" s="56" t="s">
        <v>108</v>
      </c>
    </row>
    <row r="63" spans="1:14" hidden="1" x14ac:dyDescent="0.3">
      <c r="A63" s="51" t="s">
        <v>167</v>
      </c>
      <c r="B63" s="52">
        <v>46221</v>
      </c>
      <c r="C63" s="53" t="s">
        <v>32</v>
      </c>
      <c r="D63" s="53" t="s">
        <v>47</v>
      </c>
      <c r="E63" s="53" t="s">
        <v>27</v>
      </c>
      <c r="F63" s="54">
        <v>91537</v>
      </c>
      <c r="G63" s="53" t="s">
        <v>16</v>
      </c>
      <c r="H63" s="54" t="s">
        <v>36</v>
      </c>
      <c r="I63" s="54">
        <v>82400</v>
      </c>
      <c r="J63" s="54">
        <v>71200</v>
      </c>
      <c r="K63" s="54">
        <v>20337</v>
      </c>
      <c r="L63" s="53">
        <v>95</v>
      </c>
      <c r="M63" s="55" t="s">
        <v>31</v>
      </c>
      <c r="N63" s="56" t="s">
        <v>624</v>
      </c>
    </row>
    <row r="64" spans="1:14" x14ac:dyDescent="0.3">
      <c r="A64" s="51" t="s">
        <v>168</v>
      </c>
      <c r="B64" s="52">
        <v>46207</v>
      </c>
      <c r="C64" s="53" t="s">
        <v>19</v>
      </c>
      <c r="D64" s="53" t="s">
        <v>38</v>
      </c>
      <c r="E64" s="53" t="s">
        <v>44</v>
      </c>
      <c r="F64" s="54">
        <v>101155</v>
      </c>
      <c r="G64" s="53" t="s">
        <v>16</v>
      </c>
      <c r="H64" s="54" t="s">
        <v>23</v>
      </c>
      <c r="I64" s="54">
        <v>117500</v>
      </c>
      <c r="J64" s="54">
        <v>53200</v>
      </c>
      <c r="K64" s="54">
        <v>47955</v>
      </c>
      <c r="L64" s="53">
        <v>5</v>
      </c>
      <c r="M64" s="55" t="s">
        <v>41</v>
      </c>
      <c r="N64" s="56" t="s">
        <v>114</v>
      </c>
    </row>
    <row r="65" spans="1:14" hidden="1" x14ac:dyDescent="0.3">
      <c r="A65" s="51" t="s">
        <v>169</v>
      </c>
      <c r="B65" s="52">
        <v>46228</v>
      </c>
      <c r="C65" s="53" t="s">
        <v>13</v>
      </c>
      <c r="D65" s="53" t="s">
        <v>42</v>
      </c>
      <c r="E65" s="53" t="s">
        <v>34</v>
      </c>
      <c r="F65" s="54">
        <v>10281</v>
      </c>
      <c r="G65" s="53" t="s">
        <v>30</v>
      </c>
      <c r="H65" s="54" t="s">
        <v>17</v>
      </c>
      <c r="I65" s="54">
        <v>10000</v>
      </c>
      <c r="J65" s="54">
        <v>9100</v>
      </c>
      <c r="K65" s="54">
        <v>1181</v>
      </c>
      <c r="L65" s="53">
        <v>105</v>
      </c>
      <c r="M65" s="55" t="s">
        <v>31</v>
      </c>
      <c r="N65" s="56" t="s">
        <v>108</v>
      </c>
    </row>
    <row r="66" spans="1:14" hidden="1" x14ac:dyDescent="0.3">
      <c r="A66" s="51" t="s">
        <v>171</v>
      </c>
      <c r="B66" s="52">
        <v>46263</v>
      </c>
      <c r="C66" s="53" t="s">
        <v>32</v>
      </c>
      <c r="D66" s="53" t="s">
        <v>51</v>
      </c>
      <c r="E66" s="53" t="s">
        <v>44</v>
      </c>
      <c r="F66" s="54">
        <v>142130</v>
      </c>
      <c r="G66" s="53" t="s">
        <v>35</v>
      </c>
      <c r="H66" s="54" t="s">
        <v>36</v>
      </c>
      <c r="I66" s="54">
        <v>128500</v>
      </c>
      <c r="J66" s="54">
        <v>102300</v>
      </c>
      <c r="K66" s="54">
        <v>39830</v>
      </c>
      <c r="L66" s="53">
        <v>95</v>
      </c>
      <c r="M66" s="55" t="s">
        <v>31</v>
      </c>
      <c r="N66" s="56" t="s">
        <v>624</v>
      </c>
    </row>
    <row r="67" spans="1:14" hidden="1" x14ac:dyDescent="0.3">
      <c r="A67" s="51" t="s">
        <v>172</v>
      </c>
      <c r="B67" s="52">
        <v>46217</v>
      </c>
      <c r="C67" s="53" t="s">
        <v>25</v>
      </c>
      <c r="D67" s="53" t="s">
        <v>14</v>
      </c>
      <c r="E67" s="53" t="s">
        <v>21</v>
      </c>
      <c r="F67" s="54">
        <v>86260</v>
      </c>
      <c r="G67" s="53" t="s">
        <v>16</v>
      </c>
      <c r="H67" s="54" t="s">
        <v>28</v>
      </c>
      <c r="I67" s="54">
        <v>74100</v>
      </c>
      <c r="J67" s="54">
        <v>51000</v>
      </c>
      <c r="K67" s="54">
        <v>35260</v>
      </c>
      <c r="L67" s="53">
        <v>85</v>
      </c>
      <c r="M67" s="55" t="s">
        <v>24</v>
      </c>
      <c r="N67" s="56" t="s">
        <v>105</v>
      </c>
    </row>
    <row r="68" spans="1:14" hidden="1" x14ac:dyDescent="0.3">
      <c r="A68" s="51" t="s">
        <v>173</v>
      </c>
      <c r="B68" s="52">
        <v>46253</v>
      </c>
      <c r="C68" s="53" t="s">
        <v>32</v>
      </c>
      <c r="D68" s="53" t="s">
        <v>45</v>
      </c>
      <c r="E68" s="53" t="s">
        <v>27</v>
      </c>
      <c r="F68" s="54">
        <v>74178</v>
      </c>
      <c r="G68" s="53" t="s">
        <v>22</v>
      </c>
      <c r="H68" s="54" t="s">
        <v>36</v>
      </c>
      <c r="I68" s="54">
        <v>79800</v>
      </c>
      <c r="J68" s="54">
        <v>49200</v>
      </c>
      <c r="K68" s="54">
        <v>24978</v>
      </c>
      <c r="L68" s="53">
        <v>30</v>
      </c>
      <c r="M68" s="55" t="s">
        <v>41</v>
      </c>
      <c r="N68" s="56" t="s">
        <v>103</v>
      </c>
    </row>
    <row r="69" spans="1:14" hidden="1" x14ac:dyDescent="0.3">
      <c r="A69" s="51" t="s">
        <v>174</v>
      </c>
      <c r="B69" s="52">
        <v>46261</v>
      </c>
      <c r="C69" s="53" t="s">
        <v>25</v>
      </c>
      <c r="D69" s="53" t="s">
        <v>47</v>
      </c>
      <c r="E69" s="53" t="s">
        <v>34</v>
      </c>
      <c r="F69" s="54">
        <v>43997</v>
      </c>
      <c r="G69" s="53" t="s">
        <v>40</v>
      </c>
      <c r="H69" s="54" t="s">
        <v>28</v>
      </c>
      <c r="I69" s="54">
        <v>47200</v>
      </c>
      <c r="J69" s="54">
        <v>20600</v>
      </c>
      <c r="K69" s="54">
        <v>23397</v>
      </c>
      <c r="L69" s="53">
        <v>68</v>
      </c>
      <c r="M69" s="55" t="s">
        <v>24</v>
      </c>
      <c r="N69" s="56" t="s">
        <v>105</v>
      </c>
    </row>
    <row r="70" spans="1:14" x14ac:dyDescent="0.3">
      <c r="A70" s="51" t="s">
        <v>175</v>
      </c>
      <c r="B70" s="52">
        <v>46212</v>
      </c>
      <c r="C70" s="53" t="s">
        <v>19</v>
      </c>
      <c r="D70" s="53" t="s">
        <v>49</v>
      </c>
      <c r="E70" s="53" t="s">
        <v>34</v>
      </c>
      <c r="F70" s="54">
        <v>129273</v>
      </c>
      <c r="G70" s="53" t="s">
        <v>40</v>
      </c>
      <c r="H70" s="54" t="s">
        <v>48</v>
      </c>
      <c r="I70" s="54">
        <v>125300</v>
      </c>
      <c r="J70" s="54">
        <v>66400</v>
      </c>
      <c r="K70" s="54">
        <v>62873</v>
      </c>
      <c r="L70" s="53">
        <v>105</v>
      </c>
      <c r="M70" s="55" t="s">
        <v>31</v>
      </c>
      <c r="N70" s="56" t="s">
        <v>108</v>
      </c>
    </row>
    <row r="71" spans="1:14" hidden="1" x14ac:dyDescent="0.3">
      <c r="A71" s="51" t="s">
        <v>176</v>
      </c>
      <c r="B71" s="52">
        <v>46229</v>
      </c>
      <c r="C71" s="53" t="s">
        <v>25</v>
      </c>
      <c r="D71" s="53" t="s">
        <v>29</v>
      </c>
      <c r="E71" s="53" t="s">
        <v>15</v>
      </c>
      <c r="F71" s="54">
        <v>142311</v>
      </c>
      <c r="G71" s="53" t="s">
        <v>40</v>
      </c>
      <c r="H71" s="54" t="s">
        <v>28</v>
      </c>
      <c r="I71" s="54">
        <v>124500</v>
      </c>
      <c r="J71" s="54">
        <v>118500</v>
      </c>
      <c r="K71" s="54">
        <v>23811</v>
      </c>
      <c r="L71" s="53">
        <v>95</v>
      </c>
      <c r="M71" s="55" t="s">
        <v>31</v>
      </c>
      <c r="N71" s="56" t="s">
        <v>624</v>
      </c>
    </row>
    <row r="72" spans="1:14" hidden="1" x14ac:dyDescent="0.3">
      <c r="A72" s="51" t="s">
        <v>177</v>
      </c>
      <c r="B72" s="52">
        <v>46256</v>
      </c>
      <c r="C72" s="53" t="s">
        <v>32</v>
      </c>
      <c r="D72" s="53" t="s">
        <v>49</v>
      </c>
      <c r="E72" s="53" t="s">
        <v>37</v>
      </c>
      <c r="F72" s="54">
        <v>136945</v>
      </c>
      <c r="G72" s="53" t="s">
        <v>35</v>
      </c>
      <c r="H72" s="54" t="s">
        <v>36</v>
      </c>
      <c r="I72" s="54">
        <v>136000</v>
      </c>
      <c r="J72" s="54">
        <v>61600</v>
      </c>
      <c r="K72" s="54">
        <v>75345</v>
      </c>
      <c r="L72" s="53">
        <v>75</v>
      </c>
      <c r="M72" s="55" t="s">
        <v>24</v>
      </c>
      <c r="N72" s="56" t="s">
        <v>105</v>
      </c>
    </row>
    <row r="73" spans="1:14" x14ac:dyDescent="0.3">
      <c r="A73" s="51" t="s">
        <v>178</v>
      </c>
      <c r="B73" s="52">
        <v>46205</v>
      </c>
      <c r="C73" s="53" t="s">
        <v>19</v>
      </c>
      <c r="D73" s="53" t="s">
        <v>49</v>
      </c>
      <c r="E73" s="53" t="s">
        <v>15</v>
      </c>
      <c r="F73" s="54">
        <v>55272</v>
      </c>
      <c r="G73" s="53" t="s">
        <v>30</v>
      </c>
      <c r="H73" s="54" t="s">
        <v>23</v>
      </c>
      <c r="I73" s="54">
        <v>53000</v>
      </c>
      <c r="J73" s="54">
        <v>36400</v>
      </c>
      <c r="K73" s="54">
        <v>18872</v>
      </c>
      <c r="L73" s="53">
        <v>25</v>
      </c>
      <c r="M73" s="55" t="s">
        <v>41</v>
      </c>
      <c r="N73" s="56" t="s">
        <v>114</v>
      </c>
    </row>
    <row r="74" spans="1:14" x14ac:dyDescent="0.3">
      <c r="A74" s="51" t="s">
        <v>179</v>
      </c>
      <c r="B74" s="52">
        <v>46223</v>
      </c>
      <c r="C74" s="53" t="s">
        <v>19</v>
      </c>
      <c r="D74" s="53" t="s">
        <v>46</v>
      </c>
      <c r="E74" s="53" t="s">
        <v>34</v>
      </c>
      <c r="F74" s="54">
        <v>99393</v>
      </c>
      <c r="G74" s="53" t="s">
        <v>22</v>
      </c>
      <c r="H74" s="54" t="s">
        <v>23</v>
      </c>
      <c r="I74" s="54">
        <v>108000</v>
      </c>
      <c r="J74" s="54">
        <v>70700</v>
      </c>
      <c r="K74" s="54">
        <v>28693</v>
      </c>
      <c r="L74" s="53">
        <v>45</v>
      </c>
      <c r="M74" s="55" t="s">
        <v>18</v>
      </c>
      <c r="N74" s="56" t="s">
        <v>103</v>
      </c>
    </row>
    <row r="75" spans="1:14" x14ac:dyDescent="0.3">
      <c r="A75" s="51" t="s">
        <v>180</v>
      </c>
      <c r="B75" s="52">
        <v>46231</v>
      </c>
      <c r="C75" s="53" t="s">
        <v>19</v>
      </c>
      <c r="D75" s="53" t="s">
        <v>46</v>
      </c>
      <c r="E75" s="53" t="s">
        <v>27</v>
      </c>
      <c r="F75" s="54">
        <v>71212</v>
      </c>
      <c r="G75" s="53" t="s">
        <v>35</v>
      </c>
      <c r="H75" s="54" t="s">
        <v>48</v>
      </c>
      <c r="I75" s="54">
        <v>75600</v>
      </c>
      <c r="J75" s="54">
        <v>34000</v>
      </c>
      <c r="K75" s="54">
        <v>37212</v>
      </c>
      <c r="L75" s="53">
        <v>35</v>
      </c>
      <c r="M75" s="55" t="s">
        <v>18</v>
      </c>
      <c r="N75" s="56" t="s">
        <v>103</v>
      </c>
    </row>
    <row r="76" spans="1:14" x14ac:dyDescent="0.3">
      <c r="A76" s="51" t="s">
        <v>181</v>
      </c>
      <c r="B76" s="52">
        <v>46250</v>
      </c>
      <c r="C76" s="53" t="s">
        <v>19</v>
      </c>
      <c r="D76" s="53" t="s">
        <v>26</v>
      </c>
      <c r="E76" s="53" t="s">
        <v>44</v>
      </c>
      <c r="F76" s="54">
        <v>130030</v>
      </c>
      <c r="G76" s="53" t="s">
        <v>22</v>
      </c>
      <c r="H76" s="54" t="s">
        <v>48</v>
      </c>
      <c r="I76" s="54">
        <v>127100</v>
      </c>
      <c r="J76" s="54">
        <v>121800</v>
      </c>
      <c r="K76" s="54">
        <v>8230</v>
      </c>
      <c r="L76" s="53">
        <v>68</v>
      </c>
      <c r="M76" s="55" t="s">
        <v>24</v>
      </c>
      <c r="N76" s="56" t="s">
        <v>105</v>
      </c>
    </row>
    <row r="77" spans="1:14" hidden="1" x14ac:dyDescent="0.3">
      <c r="A77" s="51" t="s">
        <v>182</v>
      </c>
      <c r="B77" s="52">
        <v>46263</v>
      </c>
      <c r="C77" s="53" t="s">
        <v>13</v>
      </c>
      <c r="D77" s="53" t="s">
        <v>47</v>
      </c>
      <c r="E77" s="53" t="s">
        <v>44</v>
      </c>
      <c r="F77" s="54">
        <v>66503</v>
      </c>
      <c r="G77" s="53" t="s">
        <v>22</v>
      </c>
      <c r="H77" s="54" t="s">
        <v>17</v>
      </c>
      <c r="I77" s="54">
        <v>61600</v>
      </c>
      <c r="J77" s="54">
        <v>37400</v>
      </c>
      <c r="K77" s="54">
        <v>29103</v>
      </c>
      <c r="L77" s="53">
        <v>45</v>
      </c>
      <c r="M77" s="55" t="s">
        <v>18</v>
      </c>
      <c r="N77" s="56" t="s">
        <v>103</v>
      </c>
    </row>
    <row r="78" spans="1:14" hidden="1" x14ac:dyDescent="0.3">
      <c r="A78" s="51" t="s">
        <v>183</v>
      </c>
      <c r="B78" s="52">
        <v>46210</v>
      </c>
      <c r="C78" s="53" t="s">
        <v>32</v>
      </c>
      <c r="D78" s="53" t="s">
        <v>26</v>
      </c>
      <c r="E78" s="53" t="s">
        <v>27</v>
      </c>
      <c r="F78" s="54">
        <v>147710</v>
      </c>
      <c r="G78" s="53" t="s">
        <v>30</v>
      </c>
      <c r="H78" s="54" t="s">
        <v>36</v>
      </c>
      <c r="I78" s="54">
        <v>176600</v>
      </c>
      <c r="J78" s="54">
        <v>88900</v>
      </c>
      <c r="K78" s="54">
        <v>58810</v>
      </c>
      <c r="L78" s="53">
        <v>30</v>
      </c>
      <c r="M78" s="55" t="s">
        <v>41</v>
      </c>
      <c r="N78" s="56" t="s">
        <v>103</v>
      </c>
    </row>
    <row r="79" spans="1:14" hidden="1" x14ac:dyDescent="0.3">
      <c r="A79" s="51" t="s">
        <v>184</v>
      </c>
      <c r="B79" s="52">
        <v>46247</v>
      </c>
      <c r="C79" s="53" t="s">
        <v>25</v>
      </c>
      <c r="D79" s="53" t="s">
        <v>47</v>
      </c>
      <c r="E79" s="53" t="s">
        <v>34</v>
      </c>
      <c r="F79" s="54">
        <v>16570</v>
      </c>
      <c r="G79" s="53" t="s">
        <v>40</v>
      </c>
      <c r="H79" s="54" t="s">
        <v>28</v>
      </c>
      <c r="I79" s="54">
        <v>16700</v>
      </c>
      <c r="J79" s="54">
        <v>10000</v>
      </c>
      <c r="K79" s="54">
        <v>6570</v>
      </c>
      <c r="L79" s="53">
        <v>120</v>
      </c>
      <c r="M79" s="55" t="s">
        <v>31</v>
      </c>
      <c r="N79" s="56" t="s">
        <v>108</v>
      </c>
    </row>
    <row r="80" spans="1:14" x14ac:dyDescent="0.3">
      <c r="A80" s="51" t="s">
        <v>185</v>
      </c>
      <c r="B80" s="52">
        <v>46264</v>
      </c>
      <c r="C80" s="53" t="s">
        <v>19</v>
      </c>
      <c r="D80" s="53" t="s">
        <v>45</v>
      </c>
      <c r="E80" s="53" t="s">
        <v>44</v>
      </c>
      <c r="F80" s="54">
        <v>78785</v>
      </c>
      <c r="G80" s="53" t="s">
        <v>30</v>
      </c>
      <c r="H80" s="54" t="s">
        <v>23</v>
      </c>
      <c r="I80" s="54">
        <v>85900</v>
      </c>
      <c r="J80" s="54">
        <v>44500</v>
      </c>
      <c r="K80" s="54">
        <v>34285</v>
      </c>
      <c r="L80" s="53">
        <v>120</v>
      </c>
      <c r="M80" s="55" t="s">
        <v>31</v>
      </c>
      <c r="N80" s="56" t="s">
        <v>108</v>
      </c>
    </row>
    <row r="81" spans="1:14" hidden="1" x14ac:dyDescent="0.3">
      <c r="A81" s="51" t="s">
        <v>186</v>
      </c>
      <c r="B81" s="52">
        <v>46211</v>
      </c>
      <c r="C81" s="53" t="s">
        <v>25</v>
      </c>
      <c r="D81" s="53" t="s">
        <v>43</v>
      </c>
      <c r="E81" s="53" t="s">
        <v>44</v>
      </c>
      <c r="F81" s="54">
        <v>19110</v>
      </c>
      <c r="G81" s="53" t="s">
        <v>35</v>
      </c>
      <c r="H81" s="54" t="s">
        <v>28</v>
      </c>
      <c r="I81" s="54">
        <v>17200</v>
      </c>
      <c r="J81" s="54">
        <v>8600</v>
      </c>
      <c r="K81" s="54">
        <v>10510</v>
      </c>
      <c r="L81" s="53">
        <v>25</v>
      </c>
      <c r="M81" s="55" t="s">
        <v>41</v>
      </c>
      <c r="N81" s="56" t="s">
        <v>114</v>
      </c>
    </row>
    <row r="82" spans="1:14" hidden="1" x14ac:dyDescent="0.3">
      <c r="A82" s="51" t="s">
        <v>187</v>
      </c>
      <c r="B82" s="52">
        <v>46250</v>
      </c>
      <c r="C82" s="53" t="s">
        <v>25</v>
      </c>
      <c r="D82" s="53" t="s">
        <v>14</v>
      </c>
      <c r="E82" s="53" t="s">
        <v>44</v>
      </c>
      <c r="F82" s="54">
        <v>89141</v>
      </c>
      <c r="G82" s="53" t="s">
        <v>35</v>
      </c>
      <c r="H82" s="54" t="s">
        <v>28</v>
      </c>
      <c r="I82" s="54">
        <v>90900</v>
      </c>
      <c r="J82" s="54">
        <v>72600</v>
      </c>
      <c r="K82" s="54">
        <v>16541</v>
      </c>
      <c r="L82" s="53">
        <v>45</v>
      </c>
      <c r="M82" s="55" t="s">
        <v>18</v>
      </c>
      <c r="N82" s="56" t="s">
        <v>103</v>
      </c>
    </row>
    <row r="83" spans="1:14" x14ac:dyDescent="0.3">
      <c r="A83" s="51" t="s">
        <v>188</v>
      </c>
      <c r="B83" s="52">
        <v>46238</v>
      </c>
      <c r="C83" s="53" t="s">
        <v>19</v>
      </c>
      <c r="D83" s="53" t="s">
        <v>49</v>
      </c>
      <c r="E83" s="53" t="s">
        <v>37</v>
      </c>
      <c r="F83" s="54">
        <v>22115</v>
      </c>
      <c r="G83" s="53" t="s">
        <v>35</v>
      </c>
      <c r="H83" s="54" t="s">
        <v>23</v>
      </c>
      <c r="I83" s="54">
        <v>19000</v>
      </c>
      <c r="J83" s="54">
        <v>20600</v>
      </c>
      <c r="K83" s="54">
        <v>1515</v>
      </c>
      <c r="L83" s="53">
        <v>45</v>
      </c>
      <c r="M83" s="55" t="s">
        <v>18</v>
      </c>
      <c r="N83" s="56" t="s">
        <v>103</v>
      </c>
    </row>
    <row r="84" spans="1:14" hidden="1" x14ac:dyDescent="0.3">
      <c r="A84" s="51" t="s">
        <v>189</v>
      </c>
      <c r="B84" s="52">
        <v>46217</v>
      </c>
      <c r="C84" s="53" t="s">
        <v>25</v>
      </c>
      <c r="D84" s="53" t="s">
        <v>45</v>
      </c>
      <c r="E84" s="53" t="s">
        <v>37</v>
      </c>
      <c r="F84" s="54">
        <v>49062</v>
      </c>
      <c r="G84" s="53" t="s">
        <v>30</v>
      </c>
      <c r="H84" s="54" t="s">
        <v>28</v>
      </c>
      <c r="I84" s="54">
        <v>50400</v>
      </c>
      <c r="J84" s="54">
        <v>27600</v>
      </c>
      <c r="K84" s="54">
        <v>21462</v>
      </c>
      <c r="L84" s="53">
        <v>35</v>
      </c>
      <c r="M84" s="55" t="s">
        <v>18</v>
      </c>
      <c r="N84" s="56" t="s">
        <v>103</v>
      </c>
    </row>
    <row r="85" spans="1:14" hidden="1" x14ac:dyDescent="0.3">
      <c r="A85" s="51" t="s">
        <v>190</v>
      </c>
      <c r="B85" s="52">
        <v>46220</v>
      </c>
      <c r="C85" s="53" t="s">
        <v>25</v>
      </c>
      <c r="D85" s="53" t="s">
        <v>43</v>
      </c>
      <c r="E85" s="53" t="s">
        <v>21</v>
      </c>
      <c r="F85" s="54">
        <v>32911</v>
      </c>
      <c r="G85" s="53" t="s">
        <v>22</v>
      </c>
      <c r="H85" s="54" t="s">
        <v>28</v>
      </c>
      <c r="I85" s="54">
        <v>39100</v>
      </c>
      <c r="J85" s="54">
        <v>25700</v>
      </c>
      <c r="K85" s="54">
        <v>7211</v>
      </c>
      <c r="L85" s="53">
        <v>52</v>
      </c>
      <c r="M85" s="55" t="s">
        <v>18</v>
      </c>
      <c r="N85" s="56" t="s">
        <v>103</v>
      </c>
    </row>
    <row r="86" spans="1:14" hidden="1" x14ac:dyDescent="0.3">
      <c r="A86" s="51" t="s">
        <v>191</v>
      </c>
      <c r="B86" s="52">
        <v>46239</v>
      </c>
      <c r="C86" s="53" t="s">
        <v>32</v>
      </c>
      <c r="D86" s="53" t="s">
        <v>51</v>
      </c>
      <c r="E86" s="53" t="s">
        <v>15</v>
      </c>
      <c r="F86" s="54">
        <v>114061</v>
      </c>
      <c r="G86" s="53" t="s">
        <v>22</v>
      </c>
      <c r="H86" s="54" t="s">
        <v>36</v>
      </c>
      <c r="I86" s="54">
        <v>112300</v>
      </c>
      <c r="J86" s="54">
        <v>93600</v>
      </c>
      <c r="K86" s="54">
        <v>20461</v>
      </c>
      <c r="L86" s="53">
        <v>25</v>
      </c>
      <c r="M86" s="55" t="s">
        <v>41</v>
      </c>
      <c r="N86" s="56" t="s">
        <v>114</v>
      </c>
    </row>
    <row r="87" spans="1:14" hidden="1" x14ac:dyDescent="0.3">
      <c r="A87" s="51" t="s">
        <v>192</v>
      </c>
      <c r="B87" s="52">
        <v>46253</v>
      </c>
      <c r="C87" s="53" t="s">
        <v>32</v>
      </c>
      <c r="D87" s="53" t="s">
        <v>39</v>
      </c>
      <c r="E87" s="53" t="s">
        <v>27</v>
      </c>
      <c r="F87" s="54">
        <v>42556</v>
      </c>
      <c r="G87" s="53" t="s">
        <v>16</v>
      </c>
      <c r="H87" s="54" t="s">
        <v>36</v>
      </c>
      <c r="I87" s="54">
        <v>36800</v>
      </c>
      <c r="J87" s="54">
        <v>37200</v>
      </c>
      <c r="K87" s="54">
        <v>5356</v>
      </c>
      <c r="L87" s="53">
        <v>68</v>
      </c>
      <c r="M87" s="55" t="s">
        <v>24</v>
      </c>
      <c r="N87" s="56" t="s">
        <v>105</v>
      </c>
    </row>
    <row r="88" spans="1:14" x14ac:dyDescent="0.3">
      <c r="A88" s="51" t="s">
        <v>193</v>
      </c>
      <c r="B88" s="52">
        <v>46243</v>
      </c>
      <c r="C88" s="53" t="s">
        <v>19</v>
      </c>
      <c r="D88" s="53" t="s">
        <v>50</v>
      </c>
      <c r="E88" s="53" t="s">
        <v>27</v>
      </c>
      <c r="F88" s="54">
        <v>138335</v>
      </c>
      <c r="G88" s="53" t="s">
        <v>35</v>
      </c>
      <c r="H88" s="54" t="s">
        <v>48</v>
      </c>
      <c r="I88" s="54">
        <v>119100</v>
      </c>
      <c r="J88" s="54">
        <v>91500</v>
      </c>
      <c r="K88" s="54">
        <v>46835</v>
      </c>
      <c r="L88" s="53">
        <v>30</v>
      </c>
      <c r="M88" s="55" t="s">
        <v>41</v>
      </c>
      <c r="N88" s="56" t="s">
        <v>103</v>
      </c>
    </row>
    <row r="89" spans="1:14" hidden="1" x14ac:dyDescent="0.3">
      <c r="A89" s="51" t="s">
        <v>194</v>
      </c>
      <c r="B89" s="52">
        <v>46207</v>
      </c>
      <c r="C89" s="53" t="s">
        <v>25</v>
      </c>
      <c r="D89" s="53" t="s">
        <v>20</v>
      </c>
      <c r="E89" s="53" t="s">
        <v>27</v>
      </c>
      <c r="F89" s="54">
        <v>11969</v>
      </c>
      <c r="G89" s="53" t="s">
        <v>22</v>
      </c>
      <c r="H89" s="54" t="s">
        <v>28</v>
      </c>
      <c r="I89" s="54">
        <v>11800</v>
      </c>
      <c r="J89" s="54">
        <v>7200</v>
      </c>
      <c r="K89" s="54">
        <v>4769</v>
      </c>
      <c r="L89" s="53">
        <v>25</v>
      </c>
      <c r="M89" s="55" t="s">
        <v>41</v>
      </c>
      <c r="N89" s="56" t="s">
        <v>114</v>
      </c>
    </row>
    <row r="90" spans="1:14" hidden="1" x14ac:dyDescent="0.3">
      <c r="A90" s="51" t="s">
        <v>195</v>
      </c>
      <c r="B90" s="52">
        <v>46205</v>
      </c>
      <c r="C90" s="53" t="s">
        <v>32</v>
      </c>
      <c r="D90" s="53" t="s">
        <v>38</v>
      </c>
      <c r="E90" s="53" t="s">
        <v>21</v>
      </c>
      <c r="F90" s="54">
        <v>53753</v>
      </c>
      <c r="G90" s="53" t="s">
        <v>16</v>
      </c>
      <c r="H90" s="54" t="s">
        <v>36</v>
      </c>
      <c r="I90" s="54">
        <v>48700</v>
      </c>
      <c r="J90" s="54">
        <v>32900</v>
      </c>
      <c r="K90" s="54">
        <v>20853</v>
      </c>
      <c r="L90" s="53">
        <v>85</v>
      </c>
      <c r="M90" s="55" t="s">
        <v>24</v>
      </c>
      <c r="N90" s="56" t="s">
        <v>105</v>
      </c>
    </row>
    <row r="91" spans="1:14" hidden="1" x14ac:dyDescent="0.3">
      <c r="A91" s="51" t="s">
        <v>196</v>
      </c>
      <c r="B91" s="52">
        <v>46265</v>
      </c>
      <c r="C91" s="53" t="s">
        <v>25</v>
      </c>
      <c r="D91" s="53" t="s">
        <v>47</v>
      </c>
      <c r="E91" s="53" t="s">
        <v>37</v>
      </c>
      <c r="F91" s="54">
        <v>145542</v>
      </c>
      <c r="G91" s="53" t="s">
        <v>22</v>
      </c>
      <c r="H91" s="54" t="s">
        <v>28</v>
      </c>
      <c r="I91" s="54">
        <v>124900</v>
      </c>
      <c r="J91" s="54">
        <v>117400</v>
      </c>
      <c r="K91" s="54">
        <v>28142</v>
      </c>
      <c r="L91" s="53">
        <v>5</v>
      </c>
      <c r="M91" s="55" t="s">
        <v>41</v>
      </c>
      <c r="N91" s="56" t="s">
        <v>114</v>
      </c>
    </row>
    <row r="92" spans="1:14" hidden="1" x14ac:dyDescent="0.3">
      <c r="A92" s="51" t="s">
        <v>197</v>
      </c>
      <c r="B92" s="52">
        <v>46209</v>
      </c>
      <c r="C92" s="53" t="s">
        <v>13</v>
      </c>
      <c r="D92" s="53" t="s">
        <v>51</v>
      </c>
      <c r="E92" s="53" t="s">
        <v>34</v>
      </c>
      <c r="F92" s="54">
        <v>131863</v>
      </c>
      <c r="G92" s="53" t="s">
        <v>35</v>
      </c>
      <c r="H92" s="54" t="s">
        <v>17</v>
      </c>
      <c r="I92" s="54">
        <v>147000</v>
      </c>
      <c r="J92" s="54">
        <v>113200</v>
      </c>
      <c r="K92" s="54">
        <v>18663</v>
      </c>
      <c r="L92" s="53">
        <v>85</v>
      </c>
      <c r="M92" s="55" t="s">
        <v>24</v>
      </c>
      <c r="N92" s="56" t="s">
        <v>105</v>
      </c>
    </row>
    <row r="93" spans="1:14" hidden="1" x14ac:dyDescent="0.3">
      <c r="A93" s="51" t="s">
        <v>198</v>
      </c>
      <c r="B93" s="52">
        <v>46257</v>
      </c>
      <c r="C93" s="53" t="s">
        <v>32</v>
      </c>
      <c r="D93" s="53" t="s">
        <v>39</v>
      </c>
      <c r="E93" s="53" t="s">
        <v>34</v>
      </c>
      <c r="F93" s="54">
        <v>20225</v>
      </c>
      <c r="G93" s="53" t="s">
        <v>40</v>
      </c>
      <c r="H93" s="54" t="s">
        <v>36</v>
      </c>
      <c r="I93" s="54">
        <v>20400</v>
      </c>
      <c r="J93" s="54">
        <v>10900</v>
      </c>
      <c r="K93" s="54">
        <v>9325</v>
      </c>
      <c r="L93" s="53">
        <v>52</v>
      </c>
      <c r="M93" s="55" t="s">
        <v>18</v>
      </c>
      <c r="N93" s="56" t="s">
        <v>103</v>
      </c>
    </row>
    <row r="94" spans="1:14" x14ac:dyDescent="0.3">
      <c r="A94" s="51" t="s">
        <v>199</v>
      </c>
      <c r="B94" s="52">
        <v>46245</v>
      </c>
      <c r="C94" s="53" t="s">
        <v>19</v>
      </c>
      <c r="D94" s="53" t="s">
        <v>29</v>
      </c>
      <c r="E94" s="53" t="s">
        <v>21</v>
      </c>
      <c r="F94" s="54">
        <v>133008</v>
      </c>
      <c r="G94" s="53" t="s">
        <v>35</v>
      </c>
      <c r="H94" s="54" t="s">
        <v>48</v>
      </c>
      <c r="I94" s="54">
        <v>126500</v>
      </c>
      <c r="J94" s="54">
        <v>84500</v>
      </c>
      <c r="K94" s="54">
        <v>48508</v>
      </c>
      <c r="L94" s="53">
        <v>5</v>
      </c>
      <c r="M94" s="55" t="s">
        <v>41</v>
      </c>
      <c r="N94" s="56" t="s">
        <v>114</v>
      </c>
    </row>
    <row r="95" spans="1:14" x14ac:dyDescent="0.3">
      <c r="A95" s="51" t="s">
        <v>200</v>
      </c>
      <c r="B95" s="52">
        <v>46207</v>
      </c>
      <c r="C95" s="53" t="s">
        <v>19</v>
      </c>
      <c r="D95" s="53" t="s">
        <v>33</v>
      </c>
      <c r="E95" s="53" t="s">
        <v>34</v>
      </c>
      <c r="F95" s="54">
        <v>115823</v>
      </c>
      <c r="G95" s="53" t="s">
        <v>30</v>
      </c>
      <c r="H95" s="54" t="s">
        <v>48</v>
      </c>
      <c r="I95" s="54">
        <v>134900</v>
      </c>
      <c r="J95" s="54">
        <v>104400</v>
      </c>
      <c r="K95" s="54">
        <v>11423</v>
      </c>
      <c r="L95" s="53">
        <v>30</v>
      </c>
      <c r="M95" s="55" t="s">
        <v>41</v>
      </c>
      <c r="N95" s="56" t="s">
        <v>103</v>
      </c>
    </row>
    <row r="96" spans="1:14" hidden="1" x14ac:dyDescent="0.3">
      <c r="A96" s="51" t="s">
        <v>201</v>
      </c>
      <c r="B96" s="52">
        <v>46257</v>
      </c>
      <c r="C96" s="53" t="s">
        <v>32</v>
      </c>
      <c r="D96" s="53" t="s">
        <v>14</v>
      </c>
      <c r="E96" s="53" t="s">
        <v>27</v>
      </c>
      <c r="F96" s="54">
        <v>23669</v>
      </c>
      <c r="G96" s="53" t="s">
        <v>22</v>
      </c>
      <c r="H96" s="54" t="s">
        <v>36</v>
      </c>
      <c r="I96" s="54">
        <v>21100</v>
      </c>
      <c r="J96" s="54">
        <v>20200</v>
      </c>
      <c r="K96" s="54">
        <v>3469</v>
      </c>
      <c r="L96" s="53">
        <v>120</v>
      </c>
      <c r="M96" s="55" t="s">
        <v>31</v>
      </c>
      <c r="N96" s="56" t="s">
        <v>108</v>
      </c>
    </row>
    <row r="97" spans="1:14" x14ac:dyDescent="0.3">
      <c r="A97" s="51" t="s">
        <v>202</v>
      </c>
      <c r="B97" s="52">
        <v>46232</v>
      </c>
      <c r="C97" s="53" t="s">
        <v>19</v>
      </c>
      <c r="D97" s="53" t="s">
        <v>38</v>
      </c>
      <c r="E97" s="53" t="s">
        <v>15</v>
      </c>
      <c r="F97" s="54">
        <v>134398</v>
      </c>
      <c r="G97" s="53" t="s">
        <v>22</v>
      </c>
      <c r="H97" s="54" t="s">
        <v>23</v>
      </c>
      <c r="I97" s="54">
        <v>159200</v>
      </c>
      <c r="J97" s="54">
        <v>126700</v>
      </c>
      <c r="K97" s="54">
        <v>7698</v>
      </c>
      <c r="L97" s="53">
        <v>35</v>
      </c>
      <c r="M97" s="55" t="s">
        <v>18</v>
      </c>
      <c r="N97" s="56" t="s">
        <v>103</v>
      </c>
    </row>
    <row r="98" spans="1:14" hidden="1" x14ac:dyDescent="0.3">
      <c r="A98" s="51" t="s">
        <v>203</v>
      </c>
      <c r="B98" s="52">
        <v>46221</v>
      </c>
      <c r="C98" s="53" t="s">
        <v>25</v>
      </c>
      <c r="D98" s="53" t="s">
        <v>26</v>
      </c>
      <c r="E98" s="53" t="s">
        <v>44</v>
      </c>
      <c r="F98" s="54">
        <v>120677</v>
      </c>
      <c r="G98" s="53" t="s">
        <v>30</v>
      </c>
      <c r="H98" s="54" t="s">
        <v>28</v>
      </c>
      <c r="I98" s="54">
        <v>115800</v>
      </c>
      <c r="J98" s="54">
        <v>99800</v>
      </c>
      <c r="K98" s="54">
        <v>20877</v>
      </c>
      <c r="L98" s="53">
        <v>35</v>
      </c>
      <c r="M98" s="55" t="s">
        <v>18</v>
      </c>
      <c r="N98" s="56" t="s">
        <v>103</v>
      </c>
    </row>
    <row r="99" spans="1:14" hidden="1" x14ac:dyDescent="0.3">
      <c r="A99" s="51" t="s">
        <v>204</v>
      </c>
      <c r="B99" s="52">
        <v>46229</v>
      </c>
      <c r="C99" s="53" t="s">
        <v>13</v>
      </c>
      <c r="D99" s="53" t="s">
        <v>26</v>
      </c>
      <c r="E99" s="53" t="s">
        <v>37</v>
      </c>
      <c r="F99" s="54">
        <v>58320</v>
      </c>
      <c r="G99" s="53" t="s">
        <v>30</v>
      </c>
      <c r="H99" s="54" t="s">
        <v>17</v>
      </c>
      <c r="I99" s="54">
        <v>67700</v>
      </c>
      <c r="J99" s="54">
        <v>37700</v>
      </c>
      <c r="K99" s="54">
        <v>20620</v>
      </c>
      <c r="L99" s="53">
        <v>95</v>
      </c>
      <c r="M99" s="55" t="s">
        <v>31</v>
      </c>
      <c r="N99" s="56" t="s">
        <v>624</v>
      </c>
    </row>
    <row r="100" spans="1:14" hidden="1" x14ac:dyDescent="0.3">
      <c r="A100" s="51" t="s">
        <v>205</v>
      </c>
      <c r="B100" s="52">
        <v>46247</v>
      </c>
      <c r="C100" s="53" t="s">
        <v>25</v>
      </c>
      <c r="D100" s="53" t="s">
        <v>43</v>
      </c>
      <c r="E100" s="53" t="s">
        <v>37</v>
      </c>
      <c r="F100" s="54">
        <v>135354</v>
      </c>
      <c r="G100" s="53" t="s">
        <v>40</v>
      </c>
      <c r="H100" s="54" t="s">
        <v>28</v>
      </c>
      <c r="I100" s="54">
        <v>143600</v>
      </c>
      <c r="J100" s="54">
        <v>100900</v>
      </c>
      <c r="K100" s="54">
        <v>34454</v>
      </c>
      <c r="L100" s="53">
        <v>30</v>
      </c>
      <c r="M100" s="55" t="s">
        <v>41</v>
      </c>
      <c r="N100" s="56" t="s">
        <v>103</v>
      </c>
    </row>
    <row r="101" spans="1:14" hidden="1" x14ac:dyDescent="0.3">
      <c r="A101" s="51" t="s">
        <v>206</v>
      </c>
      <c r="B101" s="52">
        <v>46237</v>
      </c>
      <c r="C101" s="53" t="s">
        <v>25</v>
      </c>
      <c r="D101" s="53" t="s">
        <v>38</v>
      </c>
      <c r="E101" s="53" t="s">
        <v>21</v>
      </c>
      <c r="F101" s="54">
        <v>98009</v>
      </c>
      <c r="G101" s="53" t="s">
        <v>22</v>
      </c>
      <c r="H101" s="54" t="s">
        <v>28</v>
      </c>
      <c r="I101" s="54">
        <v>111700</v>
      </c>
      <c r="J101" s="54">
        <v>76500</v>
      </c>
      <c r="K101" s="54">
        <v>21509</v>
      </c>
      <c r="L101" s="53">
        <v>18</v>
      </c>
      <c r="M101" s="55" t="s">
        <v>41</v>
      </c>
      <c r="N101" s="56" t="s">
        <v>114</v>
      </c>
    </row>
    <row r="102" spans="1:14" hidden="1" x14ac:dyDescent="0.3">
      <c r="A102" s="51" t="s">
        <v>207</v>
      </c>
      <c r="B102" s="52">
        <v>46213</v>
      </c>
      <c r="C102" s="53" t="s">
        <v>32</v>
      </c>
      <c r="D102" s="53" t="s">
        <v>46</v>
      </c>
      <c r="E102" s="53" t="s">
        <v>37</v>
      </c>
      <c r="F102" s="54">
        <v>38625</v>
      </c>
      <c r="G102" s="53" t="s">
        <v>22</v>
      </c>
      <c r="H102" s="54" t="s">
        <v>36</v>
      </c>
      <c r="I102" s="54">
        <v>46100</v>
      </c>
      <c r="J102" s="54">
        <v>18900</v>
      </c>
      <c r="K102" s="54">
        <v>19725</v>
      </c>
      <c r="L102" s="53">
        <v>120</v>
      </c>
      <c r="M102" s="55" t="s">
        <v>31</v>
      </c>
      <c r="N102" s="56" t="s">
        <v>108</v>
      </c>
    </row>
    <row r="103" spans="1:14" hidden="1" x14ac:dyDescent="0.3">
      <c r="A103" s="51" t="s">
        <v>208</v>
      </c>
      <c r="B103" s="52">
        <v>46265</v>
      </c>
      <c r="C103" s="53" t="s">
        <v>25</v>
      </c>
      <c r="D103" s="53" t="s">
        <v>39</v>
      </c>
      <c r="E103" s="53" t="s">
        <v>27</v>
      </c>
      <c r="F103" s="54">
        <v>34089</v>
      </c>
      <c r="G103" s="53" t="s">
        <v>40</v>
      </c>
      <c r="H103" s="54" t="s">
        <v>28</v>
      </c>
      <c r="I103" s="54">
        <v>32400</v>
      </c>
      <c r="J103" s="54">
        <v>24600</v>
      </c>
      <c r="K103" s="54">
        <v>9489</v>
      </c>
      <c r="L103" s="53">
        <v>30</v>
      </c>
      <c r="M103" s="55" t="s">
        <v>41</v>
      </c>
      <c r="N103" s="56" t="s">
        <v>103</v>
      </c>
    </row>
    <row r="104" spans="1:14" hidden="1" x14ac:dyDescent="0.3">
      <c r="A104" s="51" t="s">
        <v>209</v>
      </c>
      <c r="B104" s="52">
        <v>46239</v>
      </c>
      <c r="C104" s="53" t="s">
        <v>25</v>
      </c>
      <c r="D104" s="53" t="s">
        <v>33</v>
      </c>
      <c r="E104" s="53" t="s">
        <v>34</v>
      </c>
      <c r="F104" s="54">
        <v>46487</v>
      </c>
      <c r="G104" s="53" t="s">
        <v>16</v>
      </c>
      <c r="H104" s="54" t="s">
        <v>28</v>
      </c>
      <c r="I104" s="54">
        <v>55200</v>
      </c>
      <c r="J104" s="54">
        <v>37400</v>
      </c>
      <c r="K104" s="54">
        <v>9087</v>
      </c>
      <c r="L104" s="53">
        <v>85</v>
      </c>
      <c r="M104" s="55" t="s">
        <v>24</v>
      </c>
      <c r="N104" s="56" t="s">
        <v>105</v>
      </c>
    </row>
    <row r="105" spans="1:14" hidden="1" x14ac:dyDescent="0.3">
      <c r="A105" s="51" t="s">
        <v>210</v>
      </c>
      <c r="B105" s="52">
        <v>46217</v>
      </c>
      <c r="C105" s="53" t="s">
        <v>13</v>
      </c>
      <c r="D105" s="53" t="s">
        <v>51</v>
      </c>
      <c r="E105" s="53" t="s">
        <v>27</v>
      </c>
      <c r="F105" s="54">
        <v>120448</v>
      </c>
      <c r="G105" s="53" t="s">
        <v>40</v>
      </c>
      <c r="H105" s="54" t="s">
        <v>17</v>
      </c>
      <c r="I105" s="54">
        <v>118800</v>
      </c>
      <c r="J105" s="54">
        <v>64300</v>
      </c>
      <c r="K105" s="54">
        <v>56148</v>
      </c>
      <c r="L105" s="53">
        <v>52</v>
      </c>
      <c r="M105" s="55" t="s">
        <v>18</v>
      </c>
      <c r="N105" s="56" t="s">
        <v>103</v>
      </c>
    </row>
    <row r="106" spans="1:14" hidden="1" x14ac:dyDescent="0.3">
      <c r="A106" s="51" t="s">
        <v>211</v>
      </c>
      <c r="B106" s="52">
        <v>46234</v>
      </c>
      <c r="C106" s="53" t="s">
        <v>25</v>
      </c>
      <c r="D106" s="53" t="s">
        <v>14</v>
      </c>
      <c r="E106" s="53" t="s">
        <v>21</v>
      </c>
      <c r="F106" s="54">
        <v>60138</v>
      </c>
      <c r="G106" s="53" t="s">
        <v>35</v>
      </c>
      <c r="H106" s="54" t="s">
        <v>28</v>
      </c>
      <c r="I106" s="54">
        <v>59200</v>
      </c>
      <c r="J106" s="54">
        <v>50500</v>
      </c>
      <c r="K106" s="54">
        <v>9638</v>
      </c>
      <c r="L106" s="53">
        <v>105</v>
      </c>
      <c r="M106" s="55" t="s">
        <v>31</v>
      </c>
      <c r="N106" s="56" t="s">
        <v>108</v>
      </c>
    </row>
    <row r="107" spans="1:14" hidden="1" x14ac:dyDescent="0.3">
      <c r="A107" s="51" t="s">
        <v>212</v>
      </c>
      <c r="B107" s="52">
        <v>46251</v>
      </c>
      <c r="C107" s="53" t="s">
        <v>13</v>
      </c>
      <c r="D107" s="53" t="s">
        <v>45</v>
      </c>
      <c r="E107" s="53" t="s">
        <v>27</v>
      </c>
      <c r="F107" s="54">
        <v>64061</v>
      </c>
      <c r="G107" s="53" t="s">
        <v>22</v>
      </c>
      <c r="H107" s="54" t="s">
        <v>17</v>
      </c>
      <c r="I107" s="54">
        <v>62100</v>
      </c>
      <c r="J107" s="54">
        <v>47500</v>
      </c>
      <c r="K107" s="54">
        <v>16561</v>
      </c>
      <c r="L107" s="53">
        <v>12</v>
      </c>
      <c r="M107" s="55" t="s">
        <v>41</v>
      </c>
      <c r="N107" s="56" t="s">
        <v>114</v>
      </c>
    </row>
    <row r="108" spans="1:14" hidden="1" x14ac:dyDescent="0.3">
      <c r="A108" s="51" t="s">
        <v>213</v>
      </c>
      <c r="B108" s="52">
        <v>46218</v>
      </c>
      <c r="C108" s="53" t="s">
        <v>13</v>
      </c>
      <c r="D108" s="53" t="s">
        <v>39</v>
      </c>
      <c r="E108" s="53" t="s">
        <v>34</v>
      </c>
      <c r="F108" s="54">
        <v>111376</v>
      </c>
      <c r="G108" s="53" t="s">
        <v>30</v>
      </c>
      <c r="H108" s="54" t="s">
        <v>17</v>
      </c>
      <c r="I108" s="54">
        <v>115800</v>
      </c>
      <c r="J108" s="54">
        <v>103100</v>
      </c>
      <c r="K108" s="54">
        <v>8276</v>
      </c>
      <c r="L108" s="53">
        <v>35</v>
      </c>
      <c r="M108" s="55" t="s">
        <v>18</v>
      </c>
      <c r="N108" s="56" t="s">
        <v>103</v>
      </c>
    </row>
    <row r="109" spans="1:14" x14ac:dyDescent="0.3">
      <c r="A109" s="51" t="s">
        <v>214</v>
      </c>
      <c r="B109" s="52">
        <v>46211</v>
      </c>
      <c r="C109" s="53" t="s">
        <v>19</v>
      </c>
      <c r="D109" s="53" t="s">
        <v>33</v>
      </c>
      <c r="E109" s="53" t="s">
        <v>15</v>
      </c>
      <c r="F109" s="54">
        <v>89134</v>
      </c>
      <c r="G109" s="53" t="s">
        <v>35</v>
      </c>
      <c r="H109" s="54" t="s">
        <v>48</v>
      </c>
      <c r="I109" s="54">
        <v>80600</v>
      </c>
      <c r="J109" s="54">
        <v>42000</v>
      </c>
      <c r="K109" s="54">
        <v>47134</v>
      </c>
      <c r="L109" s="53">
        <v>60</v>
      </c>
      <c r="M109" s="55" t="s">
        <v>18</v>
      </c>
      <c r="N109" s="56" t="s">
        <v>103</v>
      </c>
    </row>
    <row r="110" spans="1:14" x14ac:dyDescent="0.3">
      <c r="A110" s="51" t="s">
        <v>215</v>
      </c>
      <c r="B110" s="52">
        <v>46217</v>
      </c>
      <c r="C110" s="53" t="s">
        <v>19</v>
      </c>
      <c r="D110" s="53" t="s">
        <v>50</v>
      </c>
      <c r="E110" s="53" t="s">
        <v>21</v>
      </c>
      <c r="F110" s="54">
        <v>57055</v>
      </c>
      <c r="G110" s="53" t="s">
        <v>22</v>
      </c>
      <c r="H110" s="54" t="s">
        <v>48</v>
      </c>
      <c r="I110" s="54">
        <v>59600</v>
      </c>
      <c r="J110" s="54">
        <v>33200</v>
      </c>
      <c r="K110" s="54">
        <v>23855</v>
      </c>
      <c r="L110" s="53">
        <v>52</v>
      </c>
      <c r="M110" s="55" t="s">
        <v>18</v>
      </c>
      <c r="N110" s="56" t="s">
        <v>103</v>
      </c>
    </row>
    <row r="111" spans="1:14" x14ac:dyDescent="0.3">
      <c r="A111" s="51" t="s">
        <v>216</v>
      </c>
      <c r="B111" s="52">
        <v>46226</v>
      </c>
      <c r="C111" s="53" t="s">
        <v>19</v>
      </c>
      <c r="D111" s="53" t="s">
        <v>47</v>
      </c>
      <c r="E111" s="53" t="s">
        <v>15</v>
      </c>
      <c r="F111" s="54">
        <v>29508</v>
      </c>
      <c r="G111" s="53" t="s">
        <v>40</v>
      </c>
      <c r="H111" s="54" t="s">
        <v>23</v>
      </c>
      <c r="I111" s="54">
        <v>30700</v>
      </c>
      <c r="J111" s="54">
        <v>22200</v>
      </c>
      <c r="K111" s="54">
        <v>7308</v>
      </c>
      <c r="L111" s="53">
        <v>105</v>
      </c>
      <c r="M111" s="55" t="s">
        <v>31</v>
      </c>
      <c r="N111" s="56" t="s">
        <v>108</v>
      </c>
    </row>
    <row r="112" spans="1:14" x14ac:dyDescent="0.3">
      <c r="A112" s="51" t="s">
        <v>217</v>
      </c>
      <c r="B112" s="52">
        <v>46263</v>
      </c>
      <c r="C112" s="53" t="s">
        <v>19</v>
      </c>
      <c r="D112" s="53" t="s">
        <v>45</v>
      </c>
      <c r="E112" s="53" t="s">
        <v>44</v>
      </c>
      <c r="F112" s="54">
        <v>120169</v>
      </c>
      <c r="G112" s="53" t="s">
        <v>35</v>
      </c>
      <c r="H112" s="54" t="s">
        <v>23</v>
      </c>
      <c r="I112" s="54">
        <v>134200</v>
      </c>
      <c r="J112" s="54">
        <v>71900</v>
      </c>
      <c r="K112" s="54">
        <v>48269</v>
      </c>
      <c r="L112" s="53">
        <v>75</v>
      </c>
      <c r="M112" s="55" t="s">
        <v>24</v>
      </c>
      <c r="N112" s="56" t="s">
        <v>105</v>
      </c>
    </row>
    <row r="113" spans="1:14" x14ac:dyDescent="0.3">
      <c r="A113" s="51" t="s">
        <v>218</v>
      </c>
      <c r="B113" s="52">
        <v>46260</v>
      </c>
      <c r="C113" s="53" t="s">
        <v>19</v>
      </c>
      <c r="D113" s="53" t="s">
        <v>26</v>
      </c>
      <c r="E113" s="53" t="s">
        <v>15</v>
      </c>
      <c r="F113" s="54">
        <v>18125</v>
      </c>
      <c r="G113" s="53" t="s">
        <v>22</v>
      </c>
      <c r="H113" s="54" t="s">
        <v>23</v>
      </c>
      <c r="I113" s="54">
        <v>20700</v>
      </c>
      <c r="J113" s="54">
        <v>14600</v>
      </c>
      <c r="K113" s="54">
        <v>3525</v>
      </c>
      <c r="L113" s="53">
        <v>52</v>
      </c>
      <c r="M113" s="55" t="s">
        <v>18</v>
      </c>
      <c r="N113" s="56" t="s">
        <v>103</v>
      </c>
    </row>
    <row r="114" spans="1:14" hidden="1" x14ac:dyDescent="0.3">
      <c r="A114" s="51" t="s">
        <v>219</v>
      </c>
      <c r="B114" s="52">
        <v>46265</v>
      </c>
      <c r="C114" s="53" t="s">
        <v>32</v>
      </c>
      <c r="D114" s="53" t="s">
        <v>45</v>
      </c>
      <c r="E114" s="53" t="s">
        <v>44</v>
      </c>
      <c r="F114" s="54">
        <v>46059</v>
      </c>
      <c r="G114" s="53" t="s">
        <v>16</v>
      </c>
      <c r="H114" s="54" t="s">
        <v>36</v>
      </c>
      <c r="I114" s="54">
        <v>46300</v>
      </c>
      <c r="J114" s="54">
        <v>38200</v>
      </c>
      <c r="K114" s="54">
        <v>7859</v>
      </c>
      <c r="L114" s="53">
        <v>52</v>
      </c>
      <c r="M114" s="55" t="s">
        <v>18</v>
      </c>
      <c r="N114" s="56" t="s">
        <v>103</v>
      </c>
    </row>
    <row r="115" spans="1:14" x14ac:dyDescent="0.3">
      <c r="A115" s="51" t="s">
        <v>220</v>
      </c>
      <c r="B115" s="52">
        <v>46243</v>
      </c>
      <c r="C115" s="53" t="s">
        <v>19</v>
      </c>
      <c r="D115" s="53" t="s">
        <v>51</v>
      </c>
      <c r="E115" s="53" t="s">
        <v>44</v>
      </c>
      <c r="F115" s="54">
        <v>113409</v>
      </c>
      <c r="G115" s="53" t="s">
        <v>16</v>
      </c>
      <c r="H115" s="54" t="s">
        <v>23</v>
      </c>
      <c r="I115" s="54">
        <v>108400</v>
      </c>
      <c r="J115" s="54">
        <v>56800</v>
      </c>
      <c r="K115" s="54">
        <v>56609</v>
      </c>
      <c r="L115" s="53">
        <v>120</v>
      </c>
      <c r="M115" s="55" t="s">
        <v>31</v>
      </c>
      <c r="N115" s="56" t="s">
        <v>108</v>
      </c>
    </row>
    <row r="116" spans="1:14" x14ac:dyDescent="0.3">
      <c r="A116" s="51" t="s">
        <v>221</v>
      </c>
      <c r="B116" s="52">
        <v>46224</v>
      </c>
      <c r="C116" s="53" t="s">
        <v>19</v>
      </c>
      <c r="D116" s="53" t="s">
        <v>26</v>
      </c>
      <c r="E116" s="53" t="s">
        <v>15</v>
      </c>
      <c r="F116" s="54">
        <v>15704</v>
      </c>
      <c r="G116" s="53" t="s">
        <v>30</v>
      </c>
      <c r="H116" s="54" t="s">
        <v>23</v>
      </c>
      <c r="I116" s="54">
        <v>14800</v>
      </c>
      <c r="J116" s="54">
        <v>11100</v>
      </c>
      <c r="K116" s="54">
        <v>4604</v>
      </c>
      <c r="L116" s="53">
        <v>95</v>
      </c>
      <c r="M116" s="55" t="s">
        <v>31</v>
      </c>
      <c r="N116" s="56" t="s">
        <v>624</v>
      </c>
    </row>
    <row r="117" spans="1:14" hidden="1" x14ac:dyDescent="0.3">
      <c r="A117" s="51" t="s">
        <v>222</v>
      </c>
      <c r="B117" s="52">
        <v>46219</v>
      </c>
      <c r="C117" s="53" t="s">
        <v>13</v>
      </c>
      <c r="D117" s="53" t="s">
        <v>51</v>
      </c>
      <c r="E117" s="53" t="s">
        <v>21</v>
      </c>
      <c r="F117" s="54">
        <v>121279</v>
      </c>
      <c r="G117" s="53" t="s">
        <v>22</v>
      </c>
      <c r="H117" s="54" t="s">
        <v>17</v>
      </c>
      <c r="I117" s="54">
        <v>111300</v>
      </c>
      <c r="J117" s="54">
        <v>85400</v>
      </c>
      <c r="K117" s="54">
        <v>35879</v>
      </c>
      <c r="L117" s="53">
        <v>45</v>
      </c>
      <c r="M117" s="55" t="s">
        <v>18</v>
      </c>
      <c r="N117" s="56" t="s">
        <v>103</v>
      </c>
    </row>
    <row r="118" spans="1:14" x14ac:dyDescent="0.3">
      <c r="A118" s="51" t="s">
        <v>223</v>
      </c>
      <c r="B118" s="52">
        <v>46248</v>
      </c>
      <c r="C118" s="53" t="s">
        <v>19</v>
      </c>
      <c r="D118" s="53" t="s">
        <v>43</v>
      </c>
      <c r="E118" s="53" t="s">
        <v>34</v>
      </c>
      <c r="F118" s="54">
        <v>128516</v>
      </c>
      <c r="G118" s="53" t="s">
        <v>16</v>
      </c>
      <c r="H118" s="54" t="s">
        <v>48</v>
      </c>
      <c r="I118" s="54">
        <v>111800</v>
      </c>
      <c r="J118" s="54">
        <v>81600</v>
      </c>
      <c r="K118" s="54">
        <v>46916</v>
      </c>
      <c r="L118" s="53">
        <v>52</v>
      </c>
      <c r="M118" s="55" t="s">
        <v>18</v>
      </c>
      <c r="N118" s="56" t="s">
        <v>103</v>
      </c>
    </row>
    <row r="119" spans="1:14" hidden="1" x14ac:dyDescent="0.3">
      <c r="A119" s="51" t="s">
        <v>224</v>
      </c>
      <c r="B119" s="52">
        <v>46221</v>
      </c>
      <c r="C119" s="53" t="s">
        <v>13</v>
      </c>
      <c r="D119" s="53" t="s">
        <v>46</v>
      </c>
      <c r="E119" s="53" t="s">
        <v>27</v>
      </c>
      <c r="F119" s="54">
        <v>124044</v>
      </c>
      <c r="G119" s="53" t="s">
        <v>40</v>
      </c>
      <c r="H119" s="54" t="s">
        <v>17</v>
      </c>
      <c r="I119" s="54">
        <v>120300</v>
      </c>
      <c r="J119" s="54">
        <v>113700</v>
      </c>
      <c r="K119" s="54">
        <v>10344</v>
      </c>
      <c r="L119" s="53">
        <v>95</v>
      </c>
      <c r="M119" s="55" t="s">
        <v>31</v>
      </c>
      <c r="N119" s="56" t="s">
        <v>624</v>
      </c>
    </row>
    <row r="120" spans="1:14" x14ac:dyDescent="0.3">
      <c r="A120" s="51" t="s">
        <v>226</v>
      </c>
      <c r="B120" s="52">
        <v>46250</v>
      </c>
      <c r="C120" s="53" t="s">
        <v>19</v>
      </c>
      <c r="D120" s="53" t="s">
        <v>42</v>
      </c>
      <c r="E120" s="53" t="s">
        <v>27</v>
      </c>
      <c r="F120" s="54">
        <v>39165</v>
      </c>
      <c r="G120" s="53" t="s">
        <v>22</v>
      </c>
      <c r="H120" s="54" t="s">
        <v>48</v>
      </c>
      <c r="I120" s="54">
        <v>37000</v>
      </c>
      <c r="J120" s="54">
        <v>33800</v>
      </c>
      <c r="K120" s="54">
        <v>5365</v>
      </c>
      <c r="L120" s="53">
        <v>35</v>
      </c>
      <c r="M120" s="55" t="s">
        <v>18</v>
      </c>
      <c r="N120" s="56" t="s">
        <v>103</v>
      </c>
    </row>
    <row r="121" spans="1:14" x14ac:dyDescent="0.3">
      <c r="A121" s="51" t="s">
        <v>227</v>
      </c>
      <c r="B121" s="52">
        <v>46256</v>
      </c>
      <c r="C121" s="53" t="s">
        <v>19</v>
      </c>
      <c r="D121" s="53" t="s">
        <v>26</v>
      </c>
      <c r="E121" s="53" t="s">
        <v>34</v>
      </c>
      <c r="F121" s="54">
        <v>77203</v>
      </c>
      <c r="G121" s="53" t="s">
        <v>40</v>
      </c>
      <c r="H121" s="54" t="s">
        <v>23</v>
      </c>
      <c r="I121" s="54">
        <v>91700</v>
      </c>
      <c r="J121" s="54">
        <v>61700</v>
      </c>
      <c r="K121" s="54">
        <v>15503</v>
      </c>
      <c r="L121" s="53">
        <v>12</v>
      </c>
      <c r="M121" s="55" t="s">
        <v>41</v>
      </c>
      <c r="N121" s="56" t="s">
        <v>114</v>
      </c>
    </row>
    <row r="122" spans="1:14" hidden="1" x14ac:dyDescent="0.3">
      <c r="A122" s="51" t="s">
        <v>228</v>
      </c>
      <c r="B122" s="52">
        <v>46227</v>
      </c>
      <c r="C122" s="53" t="s">
        <v>32</v>
      </c>
      <c r="D122" s="53" t="s">
        <v>43</v>
      </c>
      <c r="E122" s="53" t="s">
        <v>44</v>
      </c>
      <c r="F122" s="54">
        <v>14114</v>
      </c>
      <c r="G122" s="53" t="s">
        <v>40</v>
      </c>
      <c r="H122" s="54" t="s">
        <v>36</v>
      </c>
      <c r="I122" s="54">
        <v>14800</v>
      </c>
      <c r="J122" s="54">
        <v>11400</v>
      </c>
      <c r="K122" s="54">
        <v>2714</v>
      </c>
      <c r="L122" s="53">
        <v>12</v>
      </c>
      <c r="M122" s="55" t="s">
        <v>41</v>
      </c>
      <c r="N122" s="56" t="s">
        <v>114</v>
      </c>
    </row>
    <row r="123" spans="1:14" hidden="1" x14ac:dyDescent="0.3">
      <c r="A123" s="51" t="s">
        <v>229</v>
      </c>
      <c r="B123" s="52">
        <v>46229</v>
      </c>
      <c r="C123" s="53" t="s">
        <v>32</v>
      </c>
      <c r="D123" s="53" t="s">
        <v>51</v>
      </c>
      <c r="E123" s="53" t="s">
        <v>44</v>
      </c>
      <c r="F123" s="54">
        <v>46321</v>
      </c>
      <c r="G123" s="53" t="s">
        <v>16</v>
      </c>
      <c r="H123" s="54" t="s">
        <v>36</v>
      </c>
      <c r="I123" s="54">
        <v>45000</v>
      </c>
      <c r="J123" s="54">
        <v>31500</v>
      </c>
      <c r="K123" s="54">
        <v>14821</v>
      </c>
      <c r="L123" s="53">
        <v>52</v>
      </c>
      <c r="M123" s="55" t="s">
        <v>18</v>
      </c>
      <c r="N123" s="56" t="s">
        <v>103</v>
      </c>
    </row>
    <row r="124" spans="1:14" hidden="1" x14ac:dyDescent="0.3">
      <c r="A124" s="51" t="s">
        <v>230</v>
      </c>
      <c r="B124" s="52">
        <v>46228</v>
      </c>
      <c r="C124" s="53" t="s">
        <v>13</v>
      </c>
      <c r="D124" s="53" t="s">
        <v>50</v>
      </c>
      <c r="E124" s="53" t="s">
        <v>21</v>
      </c>
      <c r="F124" s="54">
        <v>83297</v>
      </c>
      <c r="G124" s="53" t="s">
        <v>22</v>
      </c>
      <c r="H124" s="54" t="s">
        <v>17</v>
      </c>
      <c r="I124" s="54">
        <v>87700</v>
      </c>
      <c r="J124" s="54">
        <v>75800</v>
      </c>
      <c r="K124" s="54">
        <v>7497</v>
      </c>
      <c r="L124" s="53">
        <v>75</v>
      </c>
      <c r="M124" s="55" t="s">
        <v>24</v>
      </c>
      <c r="N124" s="56" t="s">
        <v>105</v>
      </c>
    </row>
    <row r="125" spans="1:14" hidden="1" x14ac:dyDescent="0.3">
      <c r="A125" s="51" t="s">
        <v>231</v>
      </c>
      <c r="B125" s="52">
        <v>46263</v>
      </c>
      <c r="C125" s="53" t="s">
        <v>32</v>
      </c>
      <c r="D125" s="53" t="s">
        <v>45</v>
      </c>
      <c r="E125" s="53" t="s">
        <v>37</v>
      </c>
      <c r="F125" s="54">
        <v>106652</v>
      </c>
      <c r="G125" s="53" t="s">
        <v>35</v>
      </c>
      <c r="H125" s="54" t="s">
        <v>36</v>
      </c>
      <c r="I125" s="54">
        <v>95900</v>
      </c>
      <c r="J125" s="54">
        <v>85000</v>
      </c>
      <c r="K125" s="54">
        <v>21652</v>
      </c>
      <c r="L125" s="53">
        <v>5</v>
      </c>
      <c r="M125" s="55" t="s">
        <v>41</v>
      </c>
      <c r="N125" s="56" t="s">
        <v>114</v>
      </c>
    </row>
    <row r="126" spans="1:14" hidden="1" x14ac:dyDescent="0.3">
      <c r="A126" s="51" t="s">
        <v>232</v>
      </c>
      <c r="B126" s="52">
        <v>46263</v>
      </c>
      <c r="C126" s="53" t="s">
        <v>13</v>
      </c>
      <c r="D126" s="53" t="s">
        <v>46</v>
      </c>
      <c r="E126" s="53" t="s">
        <v>15</v>
      </c>
      <c r="F126" s="54">
        <v>109304</v>
      </c>
      <c r="G126" s="53" t="s">
        <v>16</v>
      </c>
      <c r="H126" s="54" t="s">
        <v>17</v>
      </c>
      <c r="I126" s="54">
        <v>109900</v>
      </c>
      <c r="J126" s="54">
        <v>89000</v>
      </c>
      <c r="K126" s="54">
        <v>20304</v>
      </c>
      <c r="L126" s="53">
        <v>35</v>
      </c>
      <c r="M126" s="55" t="s">
        <v>18</v>
      </c>
      <c r="N126" s="56" t="s">
        <v>103</v>
      </c>
    </row>
    <row r="127" spans="1:14" x14ac:dyDescent="0.3">
      <c r="A127" s="51" t="s">
        <v>233</v>
      </c>
      <c r="B127" s="52">
        <v>46263</v>
      </c>
      <c r="C127" s="53" t="s">
        <v>19</v>
      </c>
      <c r="D127" s="53" t="s">
        <v>51</v>
      </c>
      <c r="E127" s="53" t="s">
        <v>44</v>
      </c>
      <c r="F127" s="54">
        <v>27772</v>
      </c>
      <c r="G127" s="53" t="s">
        <v>16</v>
      </c>
      <c r="H127" s="54" t="s">
        <v>23</v>
      </c>
      <c r="I127" s="54">
        <v>29700</v>
      </c>
      <c r="J127" s="54">
        <v>24500</v>
      </c>
      <c r="K127" s="54">
        <v>3272</v>
      </c>
      <c r="L127" s="53">
        <v>95</v>
      </c>
      <c r="M127" s="55" t="s">
        <v>31</v>
      </c>
      <c r="N127" s="56" t="s">
        <v>624</v>
      </c>
    </row>
    <row r="128" spans="1:14" x14ac:dyDescent="0.3">
      <c r="A128" s="51" t="s">
        <v>234</v>
      </c>
      <c r="B128" s="52">
        <v>46248</v>
      </c>
      <c r="C128" s="53" t="s">
        <v>19</v>
      </c>
      <c r="D128" s="53" t="s">
        <v>43</v>
      </c>
      <c r="E128" s="53" t="s">
        <v>27</v>
      </c>
      <c r="F128" s="54">
        <v>113754</v>
      </c>
      <c r="G128" s="53" t="s">
        <v>22</v>
      </c>
      <c r="H128" s="54" t="s">
        <v>23</v>
      </c>
      <c r="I128" s="54">
        <v>116200</v>
      </c>
      <c r="J128" s="54">
        <v>66800</v>
      </c>
      <c r="K128" s="54">
        <v>46954</v>
      </c>
      <c r="L128" s="53">
        <v>35</v>
      </c>
      <c r="M128" s="55" t="s">
        <v>18</v>
      </c>
      <c r="N128" s="56" t="s">
        <v>103</v>
      </c>
    </row>
    <row r="129" spans="1:14" hidden="1" x14ac:dyDescent="0.3">
      <c r="A129" s="51" t="s">
        <v>235</v>
      </c>
      <c r="B129" s="52">
        <v>46244</v>
      </c>
      <c r="C129" s="53" t="s">
        <v>32</v>
      </c>
      <c r="D129" s="53" t="s">
        <v>29</v>
      </c>
      <c r="E129" s="53" t="s">
        <v>21</v>
      </c>
      <c r="F129" s="54">
        <v>13712</v>
      </c>
      <c r="G129" s="53" t="s">
        <v>22</v>
      </c>
      <c r="H129" s="54" t="s">
        <v>36</v>
      </c>
      <c r="I129" s="54">
        <v>13600</v>
      </c>
      <c r="J129" s="54">
        <v>11700</v>
      </c>
      <c r="K129" s="54">
        <v>2012</v>
      </c>
      <c r="L129" s="53">
        <v>75</v>
      </c>
      <c r="M129" s="55" t="s">
        <v>24</v>
      </c>
      <c r="N129" s="56" t="s">
        <v>105</v>
      </c>
    </row>
    <row r="130" spans="1:14" hidden="1" x14ac:dyDescent="0.3">
      <c r="A130" s="51" t="s">
        <v>236</v>
      </c>
      <c r="B130" s="52">
        <v>46232</v>
      </c>
      <c r="C130" s="53" t="s">
        <v>13</v>
      </c>
      <c r="D130" s="53" t="s">
        <v>39</v>
      </c>
      <c r="E130" s="53" t="s">
        <v>15</v>
      </c>
      <c r="F130" s="54">
        <v>142439</v>
      </c>
      <c r="G130" s="53" t="s">
        <v>40</v>
      </c>
      <c r="H130" s="54" t="s">
        <v>17</v>
      </c>
      <c r="I130" s="54">
        <v>170600</v>
      </c>
      <c r="J130" s="54">
        <v>78000</v>
      </c>
      <c r="K130" s="54">
        <v>64439</v>
      </c>
      <c r="L130" s="53">
        <v>25</v>
      </c>
      <c r="M130" s="55" t="s">
        <v>41</v>
      </c>
      <c r="N130" s="56" t="s">
        <v>114</v>
      </c>
    </row>
    <row r="131" spans="1:14" hidden="1" x14ac:dyDescent="0.3">
      <c r="A131" s="51" t="s">
        <v>237</v>
      </c>
      <c r="B131" s="52">
        <v>46218</v>
      </c>
      <c r="C131" s="53" t="s">
        <v>13</v>
      </c>
      <c r="D131" s="53" t="s">
        <v>42</v>
      </c>
      <c r="E131" s="53" t="s">
        <v>21</v>
      </c>
      <c r="F131" s="54">
        <v>125142</v>
      </c>
      <c r="G131" s="53" t="s">
        <v>22</v>
      </c>
      <c r="H131" s="54" t="s">
        <v>17</v>
      </c>
      <c r="I131" s="54">
        <v>144900</v>
      </c>
      <c r="J131" s="54">
        <v>77900</v>
      </c>
      <c r="K131" s="54">
        <v>47242</v>
      </c>
      <c r="L131" s="53">
        <v>85</v>
      </c>
      <c r="M131" s="55" t="s">
        <v>24</v>
      </c>
      <c r="N131" s="56" t="s">
        <v>105</v>
      </c>
    </row>
    <row r="132" spans="1:14" hidden="1" x14ac:dyDescent="0.3">
      <c r="A132" s="51" t="s">
        <v>238</v>
      </c>
      <c r="B132" s="52">
        <v>46248</v>
      </c>
      <c r="C132" s="53" t="s">
        <v>25</v>
      </c>
      <c r="D132" s="53" t="s">
        <v>33</v>
      </c>
      <c r="E132" s="53" t="s">
        <v>15</v>
      </c>
      <c r="F132" s="54">
        <v>101736</v>
      </c>
      <c r="G132" s="53" t="s">
        <v>40</v>
      </c>
      <c r="H132" s="54" t="s">
        <v>28</v>
      </c>
      <c r="I132" s="54">
        <v>108700</v>
      </c>
      <c r="J132" s="54">
        <v>62900</v>
      </c>
      <c r="K132" s="54">
        <v>38836</v>
      </c>
      <c r="L132" s="53">
        <v>75</v>
      </c>
      <c r="M132" s="55" t="s">
        <v>24</v>
      </c>
      <c r="N132" s="56" t="s">
        <v>105</v>
      </c>
    </row>
    <row r="133" spans="1:14" hidden="1" x14ac:dyDescent="0.3">
      <c r="A133" s="51" t="s">
        <v>239</v>
      </c>
      <c r="B133" s="52">
        <v>46204</v>
      </c>
      <c r="C133" s="53" t="s">
        <v>25</v>
      </c>
      <c r="D133" s="53" t="s">
        <v>42</v>
      </c>
      <c r="E133" s="53" t="s">
        <v>15</v>
      </c>
      <c r="F133" s="54">
        <v>61924</v>
      </c>
      <c r="G133" s="53" t="s">
        <v>16</v>
      </c>
      <c r="H133" s="54" t="s">
        <v>28</v>
      </c>
      <c r="I133" s="54">
        <v>65000</v>
      </c>
      <c r="J133" s="54">
        <v>58200</v>
      </c>
      <c r="K133" s="54">
        <v>3724</v>
      </c>
      <c r="L133" s="53">
        <v>95</v>
      </c>
      <c r="M133" s="55" t="s">
        <v>31</v>
      </c>
      <c r="N133" s="56" t="s">
        <v>624</v>
      </c>
    </row>
    <row r="134" spans="1:14" hidden="1" x14ac:dyDescent="0.3">
      <c r="A134" s="51" t="s">
        <v>240</v>
      </c>
      <c r="B134" s="52">
        <v>46228</v>
      </c>
      <c r="C134" s="53" t="s">
        <v>32</v>
      </c>
      <c r="D134" s="53" t="s">
        <v>29</v>
      </c>
      <c r="E134" s="53" t="s">
        <v>34</v>
      </c>
      <c r="F134" s="54">
        <v>13726</v>
      </c>
      <c r="G134" s="53" t="s">
        <v>30</v>
      </c>
      <c r="H134" s="54" t="s">
        <v>36</v>
      </c>
      <c r="I134" s="54">
        <v>14600</v>
      </c>
      <c r="J134" s="54">
        <v>12100</v>
      </c>
      <c r="K134" s="54">
        <v>1626</v>
      </c>
      <c r="L134" s="53">
        <v>120</v>
      </c>
      <c r="M134" s="55" t="s">
        <v>31</v>
      </c>
      <c r="N134" s="56" t="s">
        <v>108</v>
      </c>
    </row>
    <row r="135" spans="1:14" hidden="1" x14ac:dyDescent="0.3">
      <c r="A135" s="51" t="s">
        <v>241</v>
      </c>
      <c r="B135" s="52">
        <v>46210</v>
      </c>
      <c r="C135" s="53" t="s">
        <v>25</v>
      </c>
      <c r="D135" s="53" t="s">
        <v>42</v>
      </c>
      <c r="E135" s="53" t="s">
        <v>44</v>
      </c>
      <c r="F135" s="54">
        <v>99152</v>
      </c>
      <c r="G135" s="53" t="s">
        <v>35</v>
      </c>
      <c r="H135" s="54" t="s">
        <v>28</v>
      </c>
      <c r="I135" s="54">
        <v>91300</v>
      </c>
      <c r="J135" s="54">
        <v>79400</v>
      </c>
      <c r="K135" s="54">
        <v>19752</v>
      </c>
      <c r="L135" s="53">
        <v>75</v>
      </c>
      <c r="M135" s="55" t="s">
        <v>24</v>
      </c>
      <c r="N135" s="56" t="s">
        <v>105</v>
      </c>
    </row>
    <row r="136" spans="1:14" hidden="1" x14ac:dyDescent="0.3">
      <c r="A136" s="51" t="s">
        <v>242</v>
      </c>
      <c r="B136" s="52">
        <v>46212</v>
      </c>
      <c r="C136" s="53" t="s">
        <v>13</v>
      </c>
      <c r="D136" s="53" t="s">
        <v>29</v>
      </c>
      <c r="E136" s="53" t="s">
        <v>21</v>
      </c>
      <c r="F136" s="54">
        <v>37723</v>
      </c>
      <c r="G136" s="53" t="s">
        <v>16</v>
      </c>
      <c r="H136" s="54" t="s">
        <v>17</v>
      </c>
      <c r="I136" s="54">
        <v>37300</v>
      </c>
      <c r="J136" s="54">
        <v>30700</v>
      </c>
      <c r="K136" s="54">
        <v>7023</v>
      </c>
      <c r="L136" s="53">
        <v>95</v>
      </c>
      <c r="M136" s="55" t="s">
        <v>31</v>
      </c>
      <c r="N136" s="56" t="s">
        <v>624</v>
      </c>
    </row>
    <row r="137" spans="1:14" hidden="1" x14ac:dyDescent="0.3">
      <c r="A137" s="51" t="s">
        <v>243</v>
      </c>
      <c r="B137" s="52">
        <v>46227</v>
      </c>
      <c r="C137" s="53" t="s">
        <v>13</v>
      </c>
      <c r="D137" s="53" t="s">
        <v>14</v>
      </c>
      <c r="E137" s="53" t="s">
        <v>21</v>
      </c>
      <c r="F137" s="54">
        <v>136969</v>
      </c>
      <c r="G137" s="53" t="s">
        <v>22</v>
      </c>
      <c r="H137" s="54" t="s">
        <v>17</v>
      </c>
      <c r="I137" s="54">
        <v>118300</v>
      </c>
      <c r="J137" s="54">
        <v>100100</v>
      </c>
      <c r="K137" s="54">
        <v>36869</v>
      </c>
      <c r="L137" s="53">
        <v>68</v>
      </c>
      <c r="M137" s="55" t="s">
        <v>24</v>
      </c>
      <c r="N137" s="56" t="s">
        <v>105</v>
      </c>
    </row>
    <row r="138" spans="1:14" hidden="1" x14ac:dyDescent="0.3">
      <c r="A138" s="51" t="s">
        <v>244</v>
      </c>
      <c r="B138" s="52">
        <v>46204</v>
      </c>
      <c r="C138" s="53" t="s">
        <v>25</v>
      </c>
      <c r="D138" s="53" t="s">
        <v>29</v>
      </c>
      <c r="E138" s="53" t="s">
        <v>34</v>
      </c>
      <c r="F138" s="54">
        <v>110494</v>
      </c>
      <c r="G138" s="53" t="s">
        <v>35</v>
      </c>
      <c r="H138" s="54" t="s">
        <v>28</v>
      </c>
      <c r="I138" s="54">
        <v>112300</v>
      </c>
      <c r="J138" s="54">
        <v>102000</v>
      </c>
      <c r="K138" s="54">
        <v>8494</v>
      </c>
      <c r="L138" s="53">
        <v>18</v>
      </c>
      <c r="M138" s="55" t="s">
        <v>41</v>
      </c>
      <c r="N138" s="56" t="s">
        <v>114</v>
      </c>
    </row>
    <row r="139" spans="1:14" hidden="1" x14ac:dyDescent="0.3">
      <c r="A139" s="51" t="s">
        <v>245</v>
      </c>
      <c r="B139" s="52">
        <v>46247</v>
      </c>
      <c r="C139" s="53" t="s">
        <v>32</v>
      </c>
      <c r="D139" s="53" t="s">
        <v>29</v>
      </c>
      <c r="E139" s="53" t="s">
        <v>27</v>
      </c>
      <c r="F139" s="54">
        <v>45643</v>
      </c>
      <c r="G139" s="53" t="s">
        <v>30</v>
      </c>
      <c r="H139" s="54" t="s">
        <v>36</v>
      </c>
      <c r="I139" s="54">
        <v>47500</v>
      </c>
      <c r="J139" s="54">
        <v>31900</v>
      </c>
      <c r="K139" s="54">
        <v>13743</v>
      </c>
      <c r="L139" s="53">
        <v>95</v>
      </c>
      <c r="M139" s="55" t="s">
        <v>31</v>
      </c>
      <c r="N139" s="56" t="s">
        <v>624</v>
      </c>
    </row>
    <row r="140" spans="1:14" hidden="1" x14ac:dyDescent="0.3">
      <c r="A140" s="51" t="s">
        <v>246</v>
      </c>
      <c r="B140" s="52">
        <v>46211</v>
      </c>
      <c r="C140" s="53" t="s">
        <v>32</v>
      </c>
      <c r="D140" s="53" t="s">
        <v>49</v>
      </c>
      <c r="E140" s="53" t="s">
        <v>27</v>
      </c>
      <c r="F140" s="54">
        <v>113896</v>
      </c>
      <c r="G140" s="53" t="s">
        <v>30</v>
      </c>
      <c r="H140" s="54" t="s">
        <v>36</v>
      </c>
      <c r="I140" s="54">
        <v>105900</v>
      </c>
      <c r="J140" s="54">
        <v>72900</v>
      </c>
      <c r="K140" s="54">
        <v>40996</v>
      </c>
      <c r="L140" s="53">
        <v>75</v>
      </c>
      <c r="M140" s="55" t="s">
        <v>24</v>
      </c>
      <c r="N140" s="56" t="s">
        <v>105</v>
      </c>
    </row>
    <row r="141" spans="1:14" x14ac:dyDescent="0.3">
      <c r="A141" s="51" t="s">
        <v>247</v>
      </c>
      <c r="B141" s="52">
        <v>46227</v>
      </c>
      <c r="C141" s="53" t="s">
        <v>19</v>
      </c>
      <c r="D141" s="53" t="s">
        <v>29</v>
      </c>
      <c r="E141" s="53" t="s">
        <v>44</v>
      </c>
      <c r="F141" s="54">
        <v>149999</v>
      </c>
      <c r="G141" s="53" t="s">
        <v>40</v>
      </c>
      <c r="H141" s="54" t="s">
        <v>23</v>
      </c>
      <c r="I141" s="54">
        <v>178100</v>
      </c>
      <c r="J141" s="54">
        <v>79700</v>
      </c>
      <c r="K141" s="54">
        <v>70299</v>
      </c>
      <c r="L141" s="53">
        <v>18</v>
      </c>
      <c r="M141" s="55" t="s">
        <v>41</v>
      </c>
      <c r="N141" s="56" t="s">
        <v>114</v>
      </c>
    </row>
    <row r="142" spans="1:14" hidden="1" x14ac:dyDescent="0.3">
      <c r="A142" s="51" t="s">
        <v>248</v>
      </c>
      <c r="B142" s="52">
        <v>46214</v>
      </c>
      <c r="C142" s="53" t="s">
        <v>13</v>
      </c>
      <c r="D142" s="53" t="s">
        <v>50</v>
      </c>
      <c r="E142" s="53" t="s">
        <v>44</v>
      </c>
      <c r="F142" s="54">
        <v>103680</v>
      </c>
      <c r="G142" s="53" t="s">
        <v>35</v>
      </c>
      <c r="H142" s="54" t="s">
        <v>17</v>
      </c>
      <c r="I142" s="54">
        <v>121100</v>
      </c>
      <c r="J142" s="54">
        <v>87400</v>
      </c>
      <c r="K142" s="54">
        <v>16280</v>
      </c>
      <c r="L142" s="53">
        <v>120</v>
      </c>
      <c r="M142" s="55" t="s">
        <v>31</v>
      </c>
      <c r="N142" s="56" t="s">
        <v>108</v>
      </c>
    </row>
    <row r="143" spans="1:14" hidden="1" x14ac:dyDescent="0.3">
      <c r="A143" s="51" t="s">
        <v>249</v>
      </c>
      <c r="B143" s="52">
        <v>46254</v>
      </c>
      <c r="C143" s="53" t="s">
        <v>25</v>
      </c>
      <c r="D143" s="53" t="s">
        <v>39</v>
      </c>
      <c r="E143" s="53" t="s">
        <v>37</v>
      </c>
      <c r="F143" s="54">
        <v>106546</v>
      </c>
      <c r="G143" s="53" t="s">
        <v>40</v>
      </c>
      <c r="H143" s="54" t="s">
        <v>28</v>
      </c>
      <c r="I143" s="54">
        <v>117500</v>
      </c>
      <c r="J143" s="54">
        <v>87100</v>
      </c>
      <c r="K143" s="54">
        <v>19446</v>
      </c>
      <c r="L143" s="53">
        <v>120</v>
      </c>
      <c r="M143" s="55" t="s">
        <v>31</v>
      </c>
      <c r="N143" s="56" t="s">
        <v>108</v>
      </c>
    </row>
    <row r="144" spans="1:14" hidden="1" x14ac:dyDescent="0.3">
      <c r="A144" s="51" t="s">
        <v>250</v>
      </c>
      <c r="B144" s="52">
        <v>46220</v>
      </c>
      <c r="C144" s="53" t="s">
        <v>13</v>
      </c>
      <c r="D144" s="53" t="s">
        <v>47</v>
      </c>
      <c r="E144" s="53" t="s">
        <v>34</v>
      </c>
      <c r="F144" s="54">
        <v>89973</v>
      </c>
      <c r="G144" s="53" t="s">
        <v>16</v>
      </c>
      <c r="H144" s="54" t="s">
        <v>17</v>
      </c>
      <c r="I144" s="54">
        <v>93300</v>
      </c>
      <c r="J144" s="54">
        <v>57800</v>
      </c>
      <c r="K144" s="54">
        <v>32173</v>
      </c>
      <c r="L144" s="53">
        <v>95</v>
      </c>
      <c r="M144" s="55" t="s">
        <v>31</v>
      </c>
      <c r="N144" s="56" t="s">
        <v>624</v>
      </c>
    </row>
    <row r="145" spans="1:14" hidden="1" x14ac:dyDescent="0.3">
      <c r="A145" s="51" t="s">
        <v>251</v>
      </c>
      <c r="B145" s="52">
        <v>46211</v>
      </c>
      <c r="C145" s="53" t="s">
        <v>25</v>
      </c>
      <c r="D145" s="53" t="s">
        <v>51</v>
      </c>
      <c r="E145" s="53" t="s">
        <v>27</v>
      </c>
      <c r="F145" s="54">
        <v>73449</v>
      </c>
      <c r="G145" s="53" t="s">
        <v>35</v>
      </c>
      <c r="H145" s="54" t="s">
        <v>28</v>
      </c>
      <c r="I145" s="54">
        <v>84800</v>
      </c>
      <c r="J145" s="54">
        <v>34000</v>
      </c>
      <c r="K145" s="54">
        <v>39449</v>
      </c>
      <c r="L145" s="53">
        <v>95</v>
      </c>
      <c r="M145" s="55" t="s">
        <v>31</v>
      </c>
      <c r="N145" s="56" t="s">
        <v>624</v>
      </c>
    </row>
    <row r="146" spans="1:14" hidden="1" x14ac:dyDescent="0.3">
      <c r="A146" s="51" t="s">
        <v>252</v>
      </c>
      <c r="B146" s="52">
        <v>46238</v>
      </c>
      <c r="C146" s="53" t="s">
        <v>13</v>
      </c>
      <c r="D146" s="53" t="s">
        <v>33</v>
      </c>
      <c r="E146" s="53" t="s">
        <v>15</v>
      </c>
      <c r="F146" s="54">
        <v>119834</v>
      </c>
      <c r="G146" s="53" t="s">
        <v>16</v>
      </c>
      <c r="H146" s="54" t="s">
        <v>17</v>
      </c>
      <c r="I146" s="54">
        <v>107300</v>
      </c>
      <c r="J146" s="54">
        <v>104200</v>
      </c>
      <c r="K146" s="54">
        <v>15634</v>
      </c>
      <c r="L146" s="53">
        <v>5</v>
      </c>
      <c r="M146" s="55" t="s">
        <v>41</v>
      </c>
      <c r="N146" s="56" t="s">
        <v>114</v>
      </c>
    </row>
    <row r="147" spans="1:14" hidden="1" x14ac:dyDescent="0.3">
      <c r="A147" s="51" t="s">
        <v>253</v>
      </c>
      <c r="B147" s="52">
        <v>46238</v>
      </c>
      <c r="C147" s="53" t="s">
        <v>25</v>
      </c>
      <c r="D147" s="53" t="s">
        <v>46</v>
      </c>
      <c r="E147" s="53" t="s">
        <v>21</v>
      </c>
      <c r="F147" s="54">
        <v>35537</v>
      </c>
      <c r="G147" s="53" t="s">
        <v>40</v>
      </c>
      <c r="H147" s="54" t="s">
        <v>28</v>
      </c>
      <c r="I147" s="54">
        <v>40000</v>
      </c>
      <c r="J147" s="54">
        <v>16200</v>
      </c>
      <c r="K147" s="54">
        <v>19337</v>
      </c>
      <c r="L147" s="53">
        <v>18</v>
      </c>
      <c r="M147" s="55" t="s">
        <v>41</v>
      </c>
      <c r="N147" s="56" t="s">
        <v>114</v>
      </c>
    </row>
    <row r="148" spans="1:14" x14ac:dyDescent="0.3">
      <c r="A148" s="51" t="s">
        <v>254</v>
      </c>
      <c r="B148" s="52">
        <v>46236</v>
      </c>
      <c r="C148" s="53" t="s">
        <v>19</v>
      </c>
      <c r="D148" s="53" t="s">
        <v>39</v>
      </c>
      <c r="E148" s="53" t="s">
        <v>44</v>
      </c>
      <c r="F148" s="54">
        <v>87576</v>
      </c>
      <c r="G148" s="53" t="s">
        <v>35</v>
      </c>
      <c r="H148" s="54" t="s">
        <v>23</v>
      </c>
      <c r="I148" s="54">
        <v>78300</v>
      </c>
      <c r="J148" s="54">
        <v>70200</v>
      </c>
      <c r="K148" s="54">
        <v>17376</v>
      </c>
      <c r="L148" s="53">
        <v>25</v>
      </c>
      <c r="M148" s="55" t="s">
        <v>41</v>
      </c>
      <c r="N148" s="56" t="s">
        <v>114</v>
      </c>
    </row>
    <row r="149" spans="1:14" hidden="1" x14ac:dyDescent="0.3">
      <c r="A149" s="51" t="s">
        <v>255</v>
      </c>
      <c r="B149" s="52">
        <v>46262</v>
      </c>
      <c r="C149" s="53" t="s">
        <v>13</v>
      </c>
      <c r="D149" s="53" t="s">
        <v>26</v>
      </c>
      <c r="E149" s="53" t="s">
        <v>21</v>
      </c>
      <c r="F149" s="54">
        <v>117522</v>
      </c>
      <c r="G149" s="53" t="s">
        <v>40</v>
      </c>
      <c r="H149" s="54" t="s">
        <v>17</v>
      </c>
      <c r="I149" s="54">
        <v>132600</v>
      </c>
      <c r="J149" s="54">
        <v>109900</v>
      </c>
      <c r="K149" s="54">
        <v>7622</v>
      </c>
      <c r="L149" s="53">
        <v>75</v>
      </c>
      <c r="M149" s="55" t="s">
        <v>24</v>
      </c>
      <c r="N149" s="56" t="s">
        <v>105</v>
      </c>
    </row>
    <row r="150" spans="1:14" x14ac:dyDescent="0.3">
      <c r="A150" s="51" t="s">
        <v>256</v>
      </c>
      <c r="B150" s="52">
        <v>46208</v>
      </c>
      <c r="C150" s="53" t="s">
        <v>19</v>
      </c>
      <c r="D150" s="53" t="s">
        <v>47</v>
      </c>
      <c r="E150" s="53" t="s">
        <v>21</v>
      </c>
      <c r="F150" s="54">
        <v>32612</v>
      </c>
      <c r="G150" s="53" t="s">
        <v>35</v>
      </c>
      <c r="H150" s="54" t="s">
        <v>48</v>
      </c>
      <c r="I150" s="54">
        <v>30900</v>
      </c>
      <c r="J150" s="54">
        <v>21800</v>
      </c>
      <c r="K150" s="54">
        <v>10812</v>
      </c>
      <c r="L150" s="53">
        <v>75</v>
      </c>
      <c r="M150" s="55" t="s">
        <v>24</v>
      </c>
      <c r="N150" s="56" t="s">
        <v>105</v>
      </c>
    </row>
    <row r="151" spans="1:14" x14ac:dyDescent="0.3">
      <c r="A151" s="51" t="s">
        <v>257</v>
      </c>
      <c r="B151" s="52">
        <v>46245</v>
      </c>
      <c r="C151" s="53" t="s">
        <v>19</v>
      </c>
      <c r="D151" s="53" t="s">
        <v>14</v>
      </c>
      <c r="E151" s="53" t="s">
        <v>37</v>
      </c>
      <c r="F151" s="54">
        <v>16471</v>
      </c>
      <c r="G151" s="53" t="s">
        <v>40</v>
      </c>
      <c r="H151" s="54" t="s">
        <v>48</v>
      </c>
      <c r="I151" s="54">
        <v>19100</v>
      </c>
      <c r="J151" s="54">
        <v>9300</v>
      </c>
      <c r="K151" s="54">
        <v>7171</v>
      </c>
      <c r="L151" s="53">
        <v>30</v>
      </c>
      <c r="M151" s="55" t="s">
        <v>41</v>
      </c>
      <c r="N151" s="56" t="s">
        <v>103</v>
      </c>
    </row>
    <row r="152" spans="1:14" hidden="1" x14ac:dyDescent="0.3">
      <c r="A152" s="51" t="s">
        <v>258</v>
      </c>
      <c r="B152" s="52">
        <v>46242</v>
      </c>
      <c r="C152" s="53" t="s">
        <v>13</v>
      </c>
      <c r="D152" s="53" t="s">
        <v>14</v>
      </c>
      <c r="E152" s="53" t="s">
        <v>27</v>
      </c>
      <c r="F152" s="54">
        <v>41348</v>
      </c>
      <c r="G152" s="53" t="s">
        <v>30</v>
      </c>
      <c r="H152" s="54" t="s">
        <v>17</v>
      </c>
      <c r="I152" s="54">
        <v>48800</v>
      </c>
      <c r="J152" s="54">
        <v>33200</v>
      </c>
      <c r="K152" s="54">
        <v>8148</v>
      </c>
      <c r="L152" s="53">
        <v>18</v>
      </c>
      <c r="M152" s="55" t="s">
        <v>41</v>
      </c>
      <c r="N152" s="56" t="s">
        <v>114</v>
      </c>
    </row>
    <row r="153" spans="1:14" hidden="1" x14ac:dyDescent="0.3">
      <c r="A153" s="51" t="s">
        <v>259</v>
      </c>
      <c r="B153" s="52">
        <v>46261</v>
      </c>
      <c r="C153" s="53" t="s">
        <v>13</v>
      </c>
      <c r="D153" s="53" t="s">
        <v>20</v>
      </c>
      <c r="E153" s="53" t="s">
        <v>44</v>
      </c>
      <c r="F153" s="54">
        <v>11177</v>
      </c>
      <c r="G153" s="53" t="s">
        <v>40</v>
      </c>
      <c r="H153" s="54" t="s">
        <v>17</v>
      </c>
      <c r="I153" s="54">
        <v>10100</v>
      </c>
      <c r="J153" s="54">
        <v>9600</v>
      </c>
      <c r="K153" s="54">
        <v>1577</v>
      </c>
      <c r="L153" s="53">
        <v>35</v>
      </c>
      <c r="M153" s="55" t="s">
        <v>18</v>
      </c>
      <c r="N153" s="56" t="s">
        <v>103</v>
      </c>
    </row>
    <row r="154" spans="1:14" hidden="1" x14ac:dyDescent="0.3">
      <c r="A154" s="51" t="s">
        <v>260</v>
      </c>
      <c r="B154" s="52">
        <v>46244</v>
      </c>
      <c r="C154" s="53" t="s">
        <v>25</v>
      </c>
      <c r="D154" s="53" t="s">
        <v>45</v>
      </c>
      <c r="E154" s="53" t="s">
        <v>21</v>
      </c>
      <c r="F154" s="54">
        <v>145832</v>
      </c>
      <c r="G154" s="53" t="s">
        <v>30</v>
      </c>
      <c r="H154" s="54" t="s">
        <v>28</v>
      </c>
      <c r="I154" s="54">
        <v>147600</v>
      </c>
      <c r="J154" s="54">
        <v>105500</v>
      </c>
      <c r="K154" s="54">
        <v>40332</v>
      </c>
      <c r="L154" s="53">
        <v>75</v>
      </c>
      <c r="M154" s="55" t="s">
        <v>24</v>
      </c>
      <c r="N154" s="56" t="s">
        <v>105</v>
      </c>
    </row>
    <row r="155" spans="1:14" hidden="1" x14ac:dyDescent="0.3">
      <c r="A155" s="51" t="s">
        <v>261</v>
      </c>
      <c r="B155" s="52">
        <v>46231</v>
      </c>
      <c r="C155" s="53" t="s">
        <v>32</v>
      </c>
      <c r="D155" s="53" t="s">
        <v>29</v>
      </c>
      <c r="E155" s="53" t="s">
        <v>44</v>
      </c>
      <c r="F155" s="54">
        <v>42779</v>
      </c>
      <c r="G155" s="53" t="s">
        <v>40</v>
      </c>
      <c r="H155" s="54" t="s">
        <v>36</v>
      </c>
      <c r="I155" s="54">
        <v>51100</v>
      </c>
      <c r="J155" s="54">
        <v>39900</v>
      </c>
      <c r="K155" s="54">
        <v>2879</v>
      </c>
      <c r="L155" s="53">
        <v>105</v>
      </c>
      <c r="M155" s="55" t="s">
        <v>31</v>
      </c>
      <c r="N155" s="56" t="s">
        <v>108</v>
      </c>
    </row>
    <row r="156" spans="1:14" hidden="1" x14ac:dyDescent="0.3">
      <c r="A156" s="51" t="s">
        <v>262</v>
      </c>
      <c r="B156" s="52">
        <v>46210</v>
      </c>
      <c r="C156" s="53" t="s">
        <v>25</v>
      </c>
      <c r="D156" s="53" t="s">
        <v>39</v>
      </c>
      <c r="E156" s="53" t="s">
        <v>15</v>
      </c>
      <c r="F156" s="54">
        <v>31636</v>
      </c>
      <c r="G156" s="53" t="s">
        <v>35</v>
      </c>
      <c r="H156" s="54" t="s">
        <v>28</v>
      </c>
      <c r="I156" s="54">
        <v>32200</v>
      </c>
      <c r="J156" s="54">
        <v>15100</v>
      </c>
      <c r="K156" s="54">
        <v>16536</v>
      </c>
      <c r="L156" s="53">
        <v>120</v>
      </c>
      <c r="M156" s="55" t="s">
        <v>31</v>
      </c>
      <c r="N156" s="56" t="s">
        <v>108</v>
      </c>
    </row>
    <row r="157" spans="1:14" x14ac:dyDescent="0.3">
      <c r="A157" s="51" t="s">
        <v>263</v>
      </c>
      <c r="B157" s="52">
        <v>46212</v>
      </c>
      <c r="C157" s="53" t="s">
        <v>19</v>
      </c>
      <c r="D157" s="53" t="s">
        <v>43</v>
      </c>
      <c r="E157" s="53" t="s">
        <v>37</v>
      </c>
      <c r="F157" s="54">
        <v>91889</v>
      </c>
      <c r="G157" s="53" t="s">
        <v>35</v>
      </c>
      <c r="H157" s="54" t="s">
        <v>48</v>
      </c>
      <c r="I157" s="54">
        <v>105900</v>
      </c>
      <c r="J157" s="54">
        <v>64500</v>
      </c>
      <c r="K157" s="54">
        <v>27389</v>
      </c>
      <c r="L157" s="53">
        <v>85</v>
      </c>
      <c r="M157" s="55" t="s">
        <v>24</v>
      </c>
      <c r="N157" s="56" t="s">
        <v>105</v>
      </c>
    </row>
    <row r="158" spans="1:14" hidden="1" x14ac:dyDescent="0.3">
      <c r="A158" s="51" t="s">
        <v>264</v>
      </c>
      <c r="B158" s="52">
        <v>46211</v>
      </c>
      <c r="C158" s="53" t="s">
        <v>25</v>
      </c>
      <c r="D158" s="53" t="s">
        <v>49</v>
      </c>
      <c r="E158" s="53" t="s">
        <v>15</v>
      </c>
      <c r="F158" s="54">
        <v>63551</v>
      </c>
      <c r="G158" s="53" t="s">
        <v>35</v>
      </c>
      <c r="H158" s="54" t="s">
        <v>28</v>
      </c>
      <c r="I158" s="54">
        <v>67100</v>
      </c>
      <c r="J158" s="54">
        <v>51400</v>
      </c>
      <c r="K158" s="54">
        <v>12151</v>
      </c>
      <c r="L158" s="53">
        <v>30</v>
      </c>
      <c r="M158" s="55" t="s">
        <v>41</v>
      </c>
      <c r="N158" s="56" t="s">
        <v>103</v>
      </c>
    </row>
    <row r="159" spans="1:14" hidden="1" x14ac:dyDescent="0.3">
      <c r="A159" s="51" t="s">
        <v>265</v>
      </c>
      <c r="B159" s="52">
        <v>46215</v>
      </c>
      <c r="C159" s="53" t="s">
        <v>32</v>
      </c>
      <c r="D159" s="53" t="s">
        <v>42</v>
      </c>
      <c r="E159" s="53" t="s">
        <v>44</v>
      </c>
      <c r="F159" s="54">
        <v>56819</v>
      </c>
      <c r="G159" s="53" t="s">
        <v>22</v>
      </c>
      <c r="H159" s="54" t="s">
        <v>36</v>
      </c>
      <c r="I159" s="54">
        <v>55800</v>
      </c>
      <c r="J159" s="54">
        <v>50100</v>
      </c>
      <c r="K159" s="54">
        <v>6719</v>
      </c>
      <c r="L159" s="53">
        <v>18</v>
      </c>
      <c r="M159" s="55" t="s">
        <v>41</v>
      </c>
      <c r="N159" s="56" t="s">
        <v>114</v>
      </c>
    </row>
    <row r="160" spans="1:14" hidden="1" x14ac:dyDescent="0.3">
      <c r="A160" s="51" t="s">
        <v>266</v>
      </c>
      <c r="B160" s="52">
        <v>46237</v>
      </c>
      <c r="C160" s="53" t="s">
        <v>32</v>
      </c>
      <c r="D160" s="53" t="s">
        <v>26</v>
      </c>
      <c r="E160" s="53" t="s">
        <v>44</v>
      </c>
      <c r="F160" s="54">
        <v>83770</v>
      </c>
      <c r="G160" s="53" t="s">
        <v>16</v>
      </c>
      <c r="H160" s="54" t="s">
        <v>36</v>
      </c>
      <c r="I160" s="54">
        <v>79600</v>
      </c>
      <c r="J160" s="54">
        <v>45200</v>
      </c>
      <c r="K160" s="54">
        <v>38570</v>
      </c>
      <c r="L160" s="53">
        <v>35</v>
      </c>
      <c r="M160" s="55" t="s">
        <v>18</v>
      </c>
      <c r="N160" s="56" t="s">
        <v>103</v>
      </c>
    </row>
    <row r="161" spans="1:14" hidden="1" x14ac:dyDescent="0.3">
      <c r="A161" s="51" t="s">
        <v>267</v>
      </c>
      <c r="B161" s="52">
        <v>46236</v>
      </c>
      <c r="C161" s="53" t="s">
        <v>32</v>
      </c>
      <c r="D161" s="53" t="s">
        <v>14</v>
      </c>
      <c r="E161" s="53" t="s">
        <v>27</v>
      </c>
      <c r="F161" s="54">
        <v>88714</v>
      </c>
      <c r="G161" s="53" t="s">
        <v>35</v>
      </c>
      <c r="H161" s="54" t="s">
        <v>36</v>
      </c>
      <c r="I161" s="54">
        <v>81700</v>
      </c>
      <c r="J161" s="54">
        <v>75400</v>
      </c>
      <c r="K161" s="54">
        <v>13314</v>
      </c>
      <c r="L161" s="53">
        <v>35</v>
      </c>
      <c r="M161" s="55" t="s">
        <v>18</v>
      </c>
      <c r="N161" s="56" t="s">
        <v>103</v>
      </c>
    </row>
    <row r="162" spans="1:14" hidden="1" x14ac:dyDescent="0.3">
      <c r="A162" s="51" t="s">
        <v>268</v>
      </c>
      <c r="B162" s="52">
        <v>46251</v>
      </c>
      <c r="C162" s="53" t="s">
        <v>32</v>
      </c>
      <c r="D162" s="53" t="s">
        <v>33</v>
      </c>
      <c r="E162" s="53" t="s">
        <v>21</v>
      </c>
      <c r="F162" s="54">
        <v>34596</v>
      </c>
      <c r="G162" s="53" t="s">
        <v>30</v>
      </c>
      <c r="H162" s="54" t="s">
        <v>36</v>
      </c>
      <c r="I162" s="54">
        <v>38600</v>
      </c>
      <c r="J162" s="54">
        <v>25100</v>
      </c>
      <c r="K162" s="54">
        <v>9496</v>
      </c>
      <c r="L162" s="53">
        <v>120</v>
      </c>
      <c r="M162" s="55" t="s">
        <v>31</v>
      </c>
      <c r="N162" s="56" t="s">
        <v>108</v>
      </c>
    </row>
    <row r="163" spans="1:14" x14ac:dyDescent="0.3">
      <c r="A163" s="51" t="s">
        <v>269</v>
      </c>
      <c r="B163" s="52">
        <v>46258</v>
      </c>
      <c r="C163" s="53" t="s">
        <v>19</v>
      </c>
      <c r="D163" s="53" t="s">
        <v>14</v>
      </c>
      <c r="E163" s="53" t="s">
        <v>21</v>
      </c>
      <c r="F163" s="54">
        <v>74106</v>
      </c>
      <c r="G163" s="53" t="s">
        <v>35</v>
      </c>
      <c r="H163" s="54" t="s">
        <v>48</v>
      </c>
      <c r="I163" s="54">
        <v>73000</v>
      </c>
      <c r="J163" s="54">
        <v>48000</v>
      </c>
      <c r="K163" s="54">
        <v>26106</v>
      </c>
      <c r="L163" s="53">
        <v>105</v>
      </c>
      <c r="M163" s="55" t="s">
        <v>31</v>
      </c>
      <c r="N163" s="56" t="s">
        <v>108</v>
      </c>
    </row>
    <row r="164" spans="1:14" hidden="1" x14ac:dyDescent="0.3">
      <c r="A164" s="51" t="s">
        <v>270</v>
      </c>
      <c r="B164" s="52">
        <v>46226</v>
      </c>
      <c r="C164" s="53" t="s">
        <v>25</v>
      </c>
      <c r="D164" s="53" t="s">
        <v>46</v>
      </c>
      <c r="E164" s="53" t="s">
        <v>15</v>
      </c>
      <c r="F164" s="54">
        <v>69182</v>
      </c>
      <c r="G164" s="53" t="s">
        <v>22</v>
      </c>
      <c r="H164" s="54" t="s">
        <v>28</v>
      </c>
      <c r="I164" s="54">
        <v>71200</v>
      </c>
      <c r="J164" s="54">
        <v>35700</v>
      </c>
      <c r="K164" s="54">
        <v>33482</v>
      </c>
      <c r="L164" s="53">
        <v>52</v>
      </c>
      <c r="M164" s="55" t="s">
        <v>18</v>
      </c>
      <c r="N164" s="56" t="s">
        <v>103</v>
      </c>
    </row>
    <row r="165" spans="1:14" x14ac:dyDescent="0.3">
      <c r="A165" s="51" t="s">
        <v>271</v>
      </c>
      <c r="B165" s="52">
        <v>46265</v>
      </c>
      <c r="C165" s="53" t="s">
        <v>19</v>
      </c>
      <c r="D165" s="53" t="s">
        <v>51</v>
      </c>
      <c r="E165" s="53" t="s">
        <v>37</v>
      </c>
      <c r="F165" s="54">
        <v>97163</v>
      </c>
      <c r="G165" s="53" t="s">
        <v>30</v>
      </c>
      <c r="H165" s="54" t="s">
        <v>23</v>
      </c>
      <c r="I165" s="54">
        <v>99300</v>
      </c>
      <c r="J165" s="54">
        <v>85800</v>
      </c>
      <c r="K165" s="54">
        <v>11363</v>
      </c>
      <c r="L165" s="53">
        <v>12</v>
      </c>
      <c r="M165" s="55" t="s">
        <v>41</v>
      </c>
      <c r="N165" s="56" t="s">
        <v>114</v>
      </c>
    </row>
    <row r="166" spans="1:14" hidden="1" x14ac:dyDescent="0.3">
      <c r="A166" s="51" t="s">
        <v>272</v>
      </c>
      <c r="B166" s="52">
        <v>46227</v>
      </c>
      <c r="C166" s="53" t="s">
        <v>25</v>
      </c>
      <c r="D166" s="53" t="s">
        <v>14</v>
      </c>
      <c r="E166" s="53" t="s">
        <v>34</v>
      </c>
      <c r="F166" s="54">
        <v>49310</v>
      </c>
      <c r="G166" s="53" t="s">
        <v>22</v>
      </c>
      <c r="H166" s="54" t="s">
        <v>28</v>
      </c>
      <c r="I166" s="54">
        <v>51900</v>
      </c>
      <c r="J166" s="54">
        <v>26100</v>
      </c>
      <c r="K166" s="54">
        <v>23210</v>
      </c>
      <c r="L166" s="53">
        <v>5</v>
      </c>
      <c r="M166" s="55" t="s">
        <v>41</v>
      </c>
      <c r="N166" s="56" t="s">
        <v>114</v>
      </c>
    </row>
    <row r="167" spans="1:14" hidden="1" x14ac:dyDescent="0.3">
      <c r="A167" s="51" t="s">
        <v>273</v>
      </c>
      <c r="B167" s="52">
        <v>46240</v>
      </c>
      <c r="C167" s="53" t="s">
        <v>25</v>
      </c>
      <c r="D167" s="53" t="s">
        <v>46</v>
      </c>
      <c r="E167" s="53" t="s">
        <v>21</v>
      </c>
      <c r="F167" s="54">
        <v>66088</v>
      </c>
      <c r="G167" s="53" t="s">
        <v>30</v>
      </c>
      <c r="H167" s="54" t="s">
        <v>28</v>
      </c>
      <c r="I167" s="54">
        <v>76200</v>
      </c>
      <c r="J167" s="54">
        <v>40000</v>
      </c>
      <c r="K167" s="54">
        <v>26088</v>
      </c>
      <c r="L167" s="53">
        <v>25</v>
      </c>
      <c r="M167" s="55" t="s">
        <v>41</v>
      </c>
      <c r="N167" s="56" t="s">
        <v>114</v>
      </c>
    </row>
    <row r="168" spans="1:14" hidden="1" x14ac:dyDescent="0.3">
      <c r="A168" s="51" t="s">
        <v>274</v>
      </c>
      <c r="B168" s="52">
        <v>46238</v>
      </c>
      <c r="C168" s="53" t="s">
        <v>13</v>
      </c>
      <c r="D168" s="53" t="s">
        <v>39</v>
      </c>
      <c r="E168" s="53" t="s">
        <v>27</v>
      </c>
      <c r="F168" s="54">
        <v>138803</v>
      </c>
      <c r="G168" s="53" t="s">
        <v>40</v>
      </c>
      <c r="H168" s="54" t="s">
        <v>17</v>
      </c>
      <c r="I168" s="54">
        <v>165600</v>
      </c>
      <c r="J168" s="54">
        <v>82600</v>
      </c>
      <c r="K168" s="54">
        <v>56203</v>
      </c>
      <c r="L168" s="53">
        <v>45</v>
      </c>
      <c r="M168" s="55" t="s">
        <v>18</v>
      </c>
      <c r="N168" s="56" t="s">
        <v>103</v>
      </c>
    </row>
    <row r="169" spans="1:14" hidden="1" x14ac:dyDescent="0.3">
      <c r="A169" s="51" t="s">
        <v>275</v>
      </c>
      <c r="B169" s="52">
        <v>46247</v>
      </c>
      <c r="C169" s="53" t="s">
        <v>25</v>
      </c>
      <c r="D169" s="53" t="s">
        <v>39</v>
      </c>
      <c r="E169" s="53" t="s">
        <v>15</v>
      </c>
      <c r="F169" s="54">
        <v>149978</v>
      </c>
      <c r="G169" s="53" t="s">
        <v>16</v>
      </c>
      <c r="H169" s="54" t="s">
        <v>28</v>
      </c>
      <c r="I169" s="54">
        <v>148900</v>
      </c>
      <c r="J169" s="54">
        <v>132800</v>
      </c>
      <c r="K169" s="54">
        <v>17178</v>
      </c>
      <c r="L169" s="53">
        <v>120</v>
      </c>
      <c r="M169" s="55" t="s">
        <v>31</v>
      </c>
      <c r="N169" s="56" t="s">
        <v>108</v>
      </c>
    </row>
    <row r="170" spans="1:14" x14ac:dyDescent="0.3">
      <c r="A170" s="51" t="s">
        <v>276</v>
      </c>
      <c r="B170" s="52">
        <v>46243</v>
      </c>
      <c r="C170" s="53" t="s">
        <v>19</v>
      </c>
      <c r="D170" s="53" t="s">
        <v>49</v>
      </c>
      <c r="E170" s="53" t="s">
        <v>15</v>
      </c>
      <c r="F170" s="54">
        <v>46914</v>
      </c>
      <c r="G170" s="53" t="s">
        <v>16</v>
      </c>
      <c r="H170" s="54" t="s">
        <v>48</v>
      </c>
      <c r="I170" s="54">
        <v>53500</v>
      </c>
      <c r="J170" s="54">
        <v>36900</v>
      </c>
      <c r="K170" s="54">
        <v>10014</v>
      </c>
      <c r="L170" s="53">
        <v>75</v>
      </c>
      <c r="M170" s="55" t="s">
        <v>24</v>
      </c>
      <c r="N170" s="56" t="s">
        <v>105</v>
      </c>
    </row>
    <row r="171" spans="1:14" x14ac:dyDescent="0.3">
      <c r="A171" s="51" t="s">
        <v>277</v>
      </c>
      <c r="B171" s="52">
        <v>46225</v>
      </c>
      <c r="C171" s="53" t="s">
        <v>19</v>
      </c>
      <c r="D171" s="53" t="s">
        <v>45</v>
      </c>
      <c r="E171" s="53" t="s">
        <v>34</v>
      </c>
      <c r="F171" s="54">
        <v>120350</v>
      </c>
      <c r="G171" s="53" t="s">
        <v>22</v>
      </c>
      <c r="H171" s="54" t="s">
        <v>23</v>
      </c>
      <c r="I171" s="54">
        <v>134500</v>
      </c>
      <c r="J171" s="54">
        <v>102100</v>
      </c>
      <c r="K171" s="54">
        <v>18250</v>
      </c>
      <c r="L171" s="53">
        <v>68</v>
      </c>
      <c r="M171" s="55" t="s">
        <v>24</v>
      </c>
      <c r="N171" s="56" t="s">
        <v>105</v>
      </c>
    </row>
    <row r="172" spans="1:14" hidden="1" x14ac:dyDescent="0.3">
      <c r="A172" s="51" t="s">
        <v>278</v>
      </c>
      <c r="B172" s="52">
        <v>46230</v>
      </c>
      <c r="C172" s="53" t="s">
        <v>32</v>
      </c>
      <c r="D172" s="53" t="s">
        <v>20</v>
      </c>
      <c r="E172" s="53" t="s">
        <v>27</v>
      </c>
      <c r="F172" s="54">
        <v>55379</v>
      </c>
      <c r="G172" s="53" t="s">
        <v>16</v>
      </c>
      <c r="H172" s="54" t="s">
        <v>36</v>
      </c>
      <c r="I172" s="54">
        <v>58200</v>
      </c>
      <c r="J172" s="54">
        <v>31900</v>
      </c>
      <c r="K172" s="54">
        <v>23479</v>
      </c>
      <c r="L172" s="53">
        <v>18</v>
      </c>
      <c r="M172" s="55" t="s">
        <v>41</v>
      </c>
      <c r="N172" s="56" t="s">
        <v>114</v>
      </c>
    </row>
    <row r="173" spans="1:14" hidden="1" x14ac:dyDescent="0.3">
      <c r="A173" s="51" t="s">
        <v>279</v>
      </c>
      <c r="B173" s="52">
        <v>46238</v>
      </c>
      <c r="C173" s="53" t="s">
        <v>32</v>
      </c>
      <c r="D173" s="53" t="s">
        <v>47</v>
      </c>
      <c r="E173" s="53" t="s">
        <v>37</v>
      </c>
      <c r="F173" s="54">
        <v>56413</v>
      </c>
      <c r="G173" s="53" t="s">
        <v>22</v>
      </c>
      <c r="H173" s="54" t="s">
        <v>36</v>
      </c>
      <c r="I173" s="54">
        <v>66800</v>
      </c>
      <c r="J173" s="54">
        <v>43000</v>
      </c>
      <c r="K173" s="54">
        <v>13413</v>
      </c>
      <c r="L173" s="53">
        <v>18</v>
      </c>
      <c r="M173" s="55" t="s">
        <v>41</v>
      </c>
      <c r="N173" s="56" t="s">
        <v>114</v>
      </c>
    </row>
    <row r="174" spans="1:14" x14ac:dyDescent="0.3">
      <c r="A174" s="51" t="s">
        <v>280</v>
      </c>
      <c r="B174" s="52">
        <v>46204</v>
      </c>
      <c r="C174" s="53" t="s">
        <v>19</v>
      </c>
      <c r="D174" s="53" t="s">
        <v>14</v>
      </c>
      <c r="E174" s="53" t="s">
        <v>27</v>
      </c>
      <c r="F174" s="54">
        <v>147084</v>
      </c>
      <c r="G174" s="53" t="s">
        <v>22</v>
      </c>
      <c r="H174" s="54" t="s">
        <v>23</v>
      </c>
      <c r="I174" s="54">
        <v>135300</v>
      </c>
      <c r="J174" s="54">
        <v>108200</v>
      </c>
      <c r="K174" s="54">
        <v>38884</v>
      </c>
      <c r="L174" s="53">
        <v>30</v>
      </c>
      <c r="M174" s="55" t="s">
        <v>41</v>
      </c>
      <c r="N174" s="56" t="s">
        <v>103</v>
      </c>
    </row>
    <row r="175" spans="1:14" x14ac:dyDescent="0.3">
      <c r="A175" s="51" t="s">
        <v>281</v>
      </c>
      <c r="B175" s="52">
        <v>46238</v>
      </c>
      <c r="C175" s="53" t="s">
        <v>19</v>
      </c>
      <c r="D175" s="53" t="s">
        <v>33</v>
      </c>
      <c r="E175" s="53" t="s">
        <v>37</v>
      </c>
      <c r="F175" s="54">
        <v>17151</v>
      </c>
      <c r="G175" s="53" t="s">
        <v>22</v>
      </c>
      <c r="H175" s="54" t="s">
        <v>23</v>
      </c>
      <c r="I175" s="54">
        <v>15200</v>
      </c>
      <c r="J175" s="54">
        <v>14900</v>
      </c>
      <c r="K175" s="54">
        <v>2251</v>
      </c>
      <c r="L175" s="53">
        <v>30</v>
      </c>
      <c r="M175" s="55" t="s">
        <v>41</v>
      </c>
      <c r="N175" s="56" t="s">
        <v>103</v>
      </c>
    </row>
    <row r="176" spans="1:14" hidden="1" x14ac:dyDescent="0.3">
      <c r="A176" s="51" t="s">
        <v>282</v>
      </c>
      <c r="B176" s="52">
        <v>46240</v>
      </c>
      <c r="C176" s="53" t="s">
        <v>32</v>
      </c>
      <c r="D176" s="53" t="s">
        <v>14</v>
      </c>
      <c r="E176" s="53" t="s">
        <v>27</v>
      </c>
      <c r="F176" s="54">
        <v>67716</v>
      </c>
      <c r="G176" s="53" t="s">
        <v>16</v>
      </c>
      <c r="H176" s="54" t="s">
        <v>36</v>
      </c>
      <c r="I176" s="54">
        <v>77800</v>
      </c>
      <c r="J176" s="54">
        <v>61200</v>
      </c>
      <c r="K176" s="54">
        <v>6516</v>
      </c>
      <c r="L176" s="53">
        <v>95</v>
      </c>
      <c r="M176" s="55" t="s">
        <v>31</v>
      </c>
      <c r="N176" s="56" t="s">
        <v>624</v>
      </c>
    </row>
    <row r="177" spans="1:14" x14ac:dyDescent="0.3">
      <c r="A177" s="51" t="s">
        <v>283</v>
      </c>
      <c r="B177" s="52">
        <v>46250</v>
      </c>
      <c r="C177" s="53" t="s">
        <v>19</v>
      </c>
      <c r="D177" s="53" t="s">
        <v>20</v>
      </c>
      <c r="E177" s="53" t="s">
        <v>27</v>
      </c>
      <c r="F177" s="54">
        <v>103747</v>
      </c>
      <c r="G177" s="53" t="s">
        <v>22</v>
      </c>
      <c r="H177" s="54" t="s">
        <v>48</v>
      </c>
      <c r="I177" s="54">
        <v>104100</v>
      </c>
      <c r="J177" s="54">
        <v>47300</v>
      </c>
      <c r="K177" s="54">
        <v>56447</v>
      </c>
      <c r="L177" s="53">
        <v>68</v>
      </c>
      <c r="M177" s="55" t="s">
        <v>24</v>
      </c>
      <c r="N177" s="56" t="s">
        <v>105</v>
      </c>
    </row>
    <row r="178" spans="1:14" hidden="1" x14ac:dyDescent="0.3">
      <c r="A178" s="51" t="s">
        <v>284</v>
      </c>
      <c r="B178" s="52">
        <v>46217</v>
      </c>
      <c r="C178" s="53" t="s">
        <v>13</v>
      </c>
      <c r="D178" s="53" t="s">
        <v>38</v>
      </c>
      <c r="E178" s="53" t="s">
        <v>44</v>
      </c>
      <c r="F178" s="54">
        <v>131999</v>
      </c>
      <c r="G178" s="53" t="s">
        <v>16</v>
      </c>
      <c r="H178" s="54" t="s">
        <v>17</v>
      </c>
      <c r="I178" s="54">
        <v>151300</v>
      </c>
      <c r="J178" s="54">
        <v>103900</v>
      </c>
      <c r="K178" s="54">
        <v>28099</v>
      </c>
      <c r="L178" s="53">
        <v>18</v>
      </c>
      <c r="M178" s="55" t="s">
        <v>41</v>
      </c>
      <c r="N178" s="56" t="s">
        <v>114</v>
      </c>
    </row>
    <row r="179" spans="1:14" hidden="1" x14ac:dyDescent="0.3">
      <c r="A179" s="51" t="s">
        <v>285</v>
      </c>
      <c r="B179" s="52">
        <v>46206</v>
      </c>
      <c r="C179" s="53" t="s">
        <v>32</v>
      </c>
      <c r="D179" s="53" t="s">
        <v>33</v>
      </c>
      <c r="E179" s="53" t="s">
        <v>15</v>
      </c>
      <c r="F179" s="54">
        <v>124793</v>
      </c>
      <c r="G179" s="53" t="s">
        <v>22</v>
      </c>
      <c r="H179" s="54" t="s">
        <v>36</v>
      </c>
      <c r="I179" s="54">
        <v>145100</v>
      </c>
      <c r="J179" s="54">
        <v>59400</v>
      </c>
      <c r="K179" s="54">
        <v>65393</v>
      </c>
      <c r="L179" s="53">
        <v>60</v>
      </c>
      <c r="M179" s="55" t="s">
        <v>18</v>
      </c>
      <c r="N179" s="56" t="s">
        <v>103</v>
      </c>
    </row>
    <row r="180" spans="1:14" x14ac:dyDescent="0.3">
      <c r="A180" s="51" t="s">
        <v>286</v>
      </c>
      <c r="B180" s="52">
        <v>46204</v>
      </c>
      <c r="C180" s="53" t="s">
        <v>19</v>
      </c>
      <c r="D180" s="53" t="s">
        <v>50</v>
      </c>
      <c r="E180" s="53" t="s">
        <v>27</v>
      </c>
      <c r="F180" s="54">
        <v>118177</v>
      </c>
      <c r="G180" s="53" t="s">
        <v>35</v>
      </c>
      <c r="H180" s="54" t="s">
        <v>23</v>
      </c>
      <c r="I180" s="54">
        <v>103000</v>
      </c>
      <c r="J180" s="54">
        <v>85600</v>
      </c>
      <c r="K180" s="54">
        <v>32577</v>
      </c>
      <c r="L180" s="53">
        <v>25</v>
      </c>
      <c r="M180" s="55" t="s">
        <v>41</v>
      </c>
      <c r="N180" s="56" t="s">
        <v>114</v>
      </c>
    </row>
    <row r="181" spans="1:14" x14ac:dyDescent="0.3">
      <c r="A181" s="51" t="s">
        <v>287</v>
      </c>
      <c r="B181" s="52">
        <v>46208</v>
      </c>
      <c r="C181" s="53" t="s">
        <v>19</v>
      </c>
      <c r="D181" s="53" t="s">
        <v>29</v>
      </c>
      <c r="E181" s="53" t="s">
        <v>34</v>
      </c>
      <c r="F181" s="54">
        <v>22289</v>
      </c>
      <c r="G181" s="53" t="s">
        <v>22</v>
      </c>
      <c r="H181" s="54" t="s">
        <v>48</v>
      </c>
      <c r="I181" s="54">
        <v>25800</v>
      </c>
      <c r="J181" s="54">
        <v>13200</v>
      </c>
      <c r="K181" s="54">
        <v>9089</v>
      </c>
      <c r="L181" s="53">
        <v>95</v>
      </c>
      <c r="M181" s="55" t="s">
        <v>31</v>
      </c>
      <c r="N181" s="56" t="s">
        <v>624</v>
      </c>
    </row>
    <row r="182" spans="1:14" hidden="1" x14ac:dyDescent="0.3">
      <c r="A182" s="51" t="s">
        <v>288</v>
      </c>
      <c r="B182" s="52">
        <v>46229</v>
      </c>
      <c r="C182" s="53" t="s">
        <v>13</v>
      </c>
      <c r="D182" s="53" t="s">
        <v>47</v>
      </c>
      <c r="E182" s="53" t="s">
        <v>27</v>
      </c>
      <c r="F182" s="54">
        <v>96365</v>
      </c>
      <c r="G182" s="53" t="s">
        <v>30</v>
      </c>
      <c r="H182" s="54" t="s">
        <v>17</v>
      </c>
      <c r="I182" s="54">
        <v>97000</v>
      </c>
      <c r="J182" s="54">
        <v>58100</v>
      </c>
      <c r="K182" s="54">
        <v>38265</v>
      </c>
      <c r="L182" s="53">
        <v>95</v>
      </c>
      <c r="M182" s="55" t="s">
        <v>31</v>
      </c>
      <c r="N182" s="56" t="s">
        <v>624</v>
      </c>
    </row>
    <row r="183" spans="1:14" hidden="1" x14ac:dyDescent="0.3">
      <c r="A183" s="51" t="s">
        <v>289</v>
      </c>
      <c r="B183" s="52">
        <v>46258</v>
      </c>
      <c r="C183" s="53" t="s">
        <v>25</v>
      </c>
      <c r="D183" s="53" t="s">
        <v>50</v>
      </c>
      <c r="E183" s="53" t="s">
        <v>21</v>
      </c>
      <c r="F183" s="54">
        <v>124014</v>
      </c>
      <c r="G183" s="53" t="s">
        <v>22</v>
      </c>
      <c r="H183" s="54" t="s">
        <v>28</v>
      </c>
      <c r="I183" s="54">
        <v>127600</v>
      </c>
      <c r="J183" s="54">
        <v>77700</v>
      </c>
      <c r="K183" s="54">
        <v>46314</v>
      </c>
      <c r="L183" s="53">
        <v>120</v>
      </c>
      <c r="M183" s="55" t="s">
        <v>31</v>
      </c>
      <c r="N183" s="56" t="s">
        <v>108</v>
      </c>
    </row>
    <row r="184" spans="1:14" hidden="1" x14ac:dyDescent="0.3">
      <c r="A184" s="51" t="s">
        <v>290</v>
      </c>
      <c r="B184" s="52">
        <v>46217</v>
      </c>
      <c r="C184" s="53" t="s">
        <v>25</v>
      </c>
      <c r="D184" s="53" t="s">
        <v>38</v>
      </c>
      <c r="E184" s="53" t="s">
        <v>15</v>
      </c>
      <c r="F184" s="54">
        <v>82588</v>
      </c>
      <c r="G184" s="53" t="s">
        <v>40</v>
      </c>
      <c r="H184" s="54" t="s">
        <v>28</v>
      </c>
      <c r="I184" s="54">
        <v>88300</v>
      </c>
      <c r="J184" s="54">
        <v>62800</v>
      </c>
      <c r="K184" s="54">
        <v>19788</v>
      </c>
      <c r="L184" s="53">
        <v>18</v>
      </c>
      <c r="M184" s="55" t="s">
        <v>41</v>
      </c>
      <c r="N184" s="56" t="s">
        <v>114</v>
      </c>
    </row>
    <row r="185" spans="1:14" hidden="1" x14ac:dyDescent="0.3">
      <c r="A185" s="51" t="s">
        <v>291</v>
      </c>
      <c r="B185" s="52">
        <v>46242</v>
      </c>
      <c r="C185" s="53" t="s">
        <v>13</v>
      </c>
      <c r="D185" s="53" t="s">
        <v>38</v>
      </c>
      <c r="E185" s="53" t="s">
        <v>21</v>
      </c>
      <c r="F185" s="54">
        <v>73646</v>
      </c>
      <c r="G185" s="53" t="s">
        <v>22</v>
      </c>
      <c r="H185" s="54" t="s">
        <v>17</v>
      </c>
      <c r="I185" s="54">
        <v>86500</v>
      </c>
      <c r="J185" s="54">
        <v>45400</v>
      </c>
      <c r="K185" s="54">
        <v>28246</v>
      </c>
      <c r="L185" s="53">
        <v>75</v>
      </c>
      <c r="M185" s="55" t="s">
        <v>24</v>
      </c>
      <c r="N185" s="56" t="s">
        <v>105</v>
      </c>
    </row>
    <row r="186" spans="1:14" hidden="1" x14ac:dyDescent="0.3">
      <c r="A186" s="51" t="s">
        <v>292</v>
      </c>
      <c r="B186" s="52">
        <v>46230</v>
      </c>
      <c r="C186" s="53" t="s">
        <v>13</v>
      </c>
      <c r="D186" s="53" t="s">
        <v>20</v>
      </c>
      <c r="E186" s="53" t="s">
        <v>15</v>
      </c>
      <c r="F186" s="54">
        <v>13654</v>
      </c>
      <c r="G186" s="53" t="s">
        <v>30</v>
      </c>
      <c r="H186" s="54" t="s">
        <v>17</v>
      </c>
      <c r="I186" s="54">
        <v>11700</v>
      </c>
      <c r="J186" s="54">
        <v>11100</v>
      </c>
      <c r="K186" s="54">
        <v>2554</v>
      </c>
      <c r="L186" s="53">
        <v>12</v>
      </c>
      <c r="M186" s="55" t="s">
        <v>41</v>
      </c>
      <c r="N186" s="56" t="s">
        <v>114</v>
      </c>
    </row>
    <row r="187" spans="1:14" hidden="1" x14ac:dyDescent="0.3">
      <c r="A187" s="51" t="s">
        <v>293</v>
      </c>
      <c r="B187" s="52">
        <v>46212</v>
      </c>
      <c r="C187" s="53" t="s">
        <v>13</v>
      </c>
      <c r="D187" s="53" t="s">
        <v>14</v>
      </c>
      <c r="E187" s="53" t="s">
        <v>21</v>
      </c>
      <c r="F187" s="54">
        <v>28743</v>
      </c>
      <c r="G187" s="53" t="s">
        <v>30</v>
      </c>
      <c r="H187" s="54" t="s">
        <v>17</v>
      </c>
      <c r="I187" s="54">
        <v>29200</v>
      </c>
      <c r="J187" s="54">
        <v>18700</v>
      </c>
      <c r="K187" s="54">
        <v>10043</v>
      </c>
      <c r="L187" s="53">
        <v>68</v>
      </c>
      <c r="M187" s="55" t="s">
        <v>24</v>
      </c>
      <c r="N187" s="56" t="s">
        <v>105</v>
      </c>
    </row>
    <row r="188" spans="1:14" hidden="1" x14ac:dyDescent="0.3">
      <c r="A188" s="51" t="s">
        <v>294</v>
      </c>
      <c r="B188" s="52">
        <v>46218</v>
      </c>
      <c r="C188" s="53" t="s">
        <v>32</v>
      </c>
      <c r="D188" s="53" t="s">
        <v>20</v>
      </c>
      <c r="E188" s="53" t="s">
        <v>27</v>
      </c>
      <c r="F188" s="54">
        <v>58368</v>
      </c>
      <c r="G188" s="53" t="s">
        <v>16</v>
      </c>
      <c r="H188" s="54" t="s">
        <v>36</v>
      </c>
      <c r="I188" s="54">
        <v>63700</v>
      </c>
      <c r="J188" s="54">
        <v>28300</v>
      </c>
      <c r="K188" s="54">
        <v>30068</v>
      </c>
      <c r="L188" s="53">
        <v>95</v>
      </c>
      <c r="M188" s="55" t="s">
        <v>31</v>
      </c>
      <c r="N188" s="56" t="s">
        <v>624</v>
      </c>
    </row>
    <row r="189" spans="1:14" hidden="1" x14ac:dyDescent="0.3">
      <c r="A189" s="51" t="s">
        <v>295</v>
      </c>
      <c r="B189" s="52">
        <v>46218</v>
      </c>
      <c r="C189" s="53" t="s">
        <v>25</v>
      </c>
      <c r="D189" s="53" t="s">
        <v>20</v>
      </c>
      <c r="E189" s="53" t="s">
        <v>27</v>
      </c>
      <c r="F189" s="54">
        <v>147513</v>
      </c>
      <c r="G189" s="53" t="s">
        <v>35</v>
      </c>
      <c r="H189" s="54" t="s">
        <v>28</v>
      </c>
      <c r="I189" s="54">
        <v>162700</v>
      </c>
      <c r="J189" s="54">
        <v>124200</v>
      </c>
      <c r="K189" s="54">
        <v>23313</v>
      </c>
      <c r="L189" s="53">
        <v>75</v>
      </c>
      <c r="M189" s="55" t="s">
        <v>24</v>
      </c>
      <c r="N189" s="56" t="s">
        <v>105</v>
      </c>
    </row>
    <row r="190" spans="1:14" x14ac:dyDescent="0.3">
      <c r="A190" s="51" t="s">
        <v>296</v>
      </c>
      <c r="B190" s="52">
        <v>46229</v>
      </c>
      <c r="C190" s="53" t="s">
        <v>19</v>
      </c>
      <c r="D190" s="53" t="s">
        <v>38</v>
      </c>
      <c r="E190" s="53" t="s">
        <v>44</v>
      </c>
      <c r="F190" s="54">
        <v>129735</v>
      </c>
      <c r="G190" s="53" t="s">
        <v>22</v>
      </c>
      <c r="H190" s="54" t="s">
        <v>48</v>
      </c>
      <c r="I190" s="54">
        <v>141700</v>
      </c>
      <c r="J190" s="54">
        <v>76900</v>
      </c>
      <c r="K190" s="54">
        <v>52835</v>
      </c>
      <c r="L190" s="53">
        <v>60</v>
      </c>
      <c r="M190" s="55" t="s">
        <v>18</v>
      </c>
      <c r="N190" s="56" t="s">
        <v>103</v>
      </c>
    </row>
    <row r="191" spans="1:14" hidden="1" x14ac:dyDescent="0.3">
      <c r="A191" s="51" t="s">
        <v>297</v>
      </c>
      <c r="B191" s="52">
        <v>46245</v>
      </c>
      <c r="C191" s="53" t="s">
        <v>32</v>
      </c>
      <c r="D191" s="53" t="s">
        <v>47</v>
      </c>
      <c r="E191" s="53" t="s">
        <v>34</v>
      </c>
      <c r="F191" s="54">
        <v>129891</v>
      </c>
      <c r="G191" s="53" t="s">
        <v>16</v>
      </c>
      <c r="H191" s="54" t="s">
        <v>36</v>
      </c>
      <c r="I191" s="54">
        <v>116500</v>
      </c>
      <c r="J191" s="54">
        <v>86600</v>
      </c>
      <c r="K191" s="54">
        <v>43291</v>
      </c>
      <c r="L191" s="53">
        <v>25</v>
      </c>
      <c r="M191" s="55" t="s">
        <v>41</v>
      </c>
      <c r="N191" s="56" t="s">
        <v>114</v>
      </c>
    </row>
    <row r="192" spans="1:14" hidden="1" x14ac:dyDescent="0.3">
      <c r="A192" s="51" t="s">
        <v>298</v>
      </c>
      <c r="B192" s="52">
        <v>46263</v>
      </c>
      <c r="C192" s="53" t="s">
        <v>25</v>
      </c>
      <c r="D192" s="53" t="s">
        <v>50</v>
      </c>
      <c r="E192" s="53" t="s">
        <v>21</v>
      </c>
      <c r="F192" s="54">
        <v>117971</v>
      </c>
      <c r="G192" s="53" t="s">
        <v>35</v>
      </c>
      <c r="H192" s="54" t="s">
        <v>28</v>
      </c>
      <c r="I192" s="54">
        <v>112600</v>
      </c>
      <c r="J192" s="54">
        <v>93500</v>
      </c>
      <c r="K192" s="54">
        <v>24471</v>
      </c>
      <c r="L192" s="53">
        <v>18</v>
      </c>
      <c r="M192" s="55" t="s">
        <v>41</v>
      </c>
      <c r="N192" s="56" t="s">
        <v>114</v>
      </c>
    </row>
    <row r="193" spans="1:14" hidden="1" x14ac:dyDescent="0.3">
      <c r="A193" s="51" t="s">
        <v>299</v>
      </c>
      <c r="B193" s="52">
        <v>46216</v>
      </c>
      <c r="C193" s="53" t="s">
        <v>25</v>
      </c>
      <c r="D193" s="53" t="s">
        <v>42</v>
      </c>
      <c r="E193" s="53" t="s">
        <v>37</v>
      </c>
      <c r="F193" s="54">
        <v>22149</v>
      </c>
      <c r="G193" s="53" t="s">
        <v>22</v>
      </c>
      <c r="H193" s="54" t="s">
        <v>28</v>
      </c>
      <c r="I193" s="54">
        <v>21600</v>
      </c>
      <c r="J193" s="54">
        <v>13600</v>
      </c>
      <c r="K193" s="54">
        <v>8549</v>
      </c>
      <c r="L193" s="53">
        <v>45</v>
      </c>
      <c r="M193" s="55" t="s">
        <v>18</v>
      </c>
      <c r="N193" s="56" t="s">
        <v>103</v>
      </c>
    </row>
    <row r="194" spans="1:14" hidden="1" x14ac:dyDescent="0.3">
      <c r="A194" s="51" t="s">
        <v>300</v>
      </c>
      <c r="B194" s="52">
        <v>46254</v>
      </c>
      <c r="C194" s="53" t="s">
        <v>13</v>
      </c>
      <c r="D194" s="53" t="s">
        <v>14</v>
      </c>
      <c r="E194" s="53" t="s">
        <v>44</v>
      </c>
      <c r="F194" s="54">
        <v>110102</v>
      </c>
      <c r="G194" s="53" t="s">
        <v>40</v>
      </c>
      <c r="H194" s="54" t="s">
        <v>17</v>
      </c>
      <c r="I194" s="54">
        <v>124600</v>
      </c>
      <c r="J194" s="54">
        <v>52700</v>
      </c>
      <c r="K194" s="54">
        <v>57402</v>
      </c>
      <c r="L194" s="53">
        <v>52</v>
      </c>
      <c r="M194" s="55" t="s">
        <v>18</v>
      </c>
      <c r="N194" s="56" t="s">
        <v>103</v>
      </c>
    </row>
    <row r="195" spans="1:14" x14ac:dyDescent="0.3">
      <c r="A195" s="51" t="s">
        <v>301</v>
      </c>
      <c r="B195" s="52">
        <v>46235</v>
      </c>
      <c r="C195" s="53" t="s">
        <v>19</v>
      </c>
      <c r="D195" s="53" t="s">
        <v>38</v>
      </c>
      <c r="E195" s="53" t="s">
        <v>21</v>
      </c>
      <c r="F195" s="54">
        <v>69189</v>
      </c>
      <c r="G195" s="53" t="s">
        <v>22</v>
      </c>
      <c r="H195" s="54" t="s">
        <v>23</v>
      </c>
      <c r="I195" s="54">
        <v>65600</v>
      </c>
      <c r="J195" s="54">
        <v>44100</v>
      </c>
      <c r="K195" s="54">
        <v>25089</v>
      </c>
      <c r="L195" s="53">
        <v>75</v>
      </c>
      <c r="M195" s="55" t="s">
        <v>24</v>
      </c>
      <c r="N195" s="56" t="s">
        <v>105</v>
      </c>
    </row>
    <row r="196" spans="1:14" hidden="1" x14ac:dyDescent="0.3">
      <c r="A196" s="51" t="s">
        <v>302</v>
      </c>
      <c r="B196" s="52">
        <v>46242</v>
      </c>
      <c r="C196" s="53" t="s">
        <v>25</v>
      </c>
      <c r="D196" s="53" t="s">
        <v>50</v>
      </c>
      <c r="E196" s="53" t="s">
        <v>21</v>
      </c>
      <c r="F196" s="54">
        <v>81031</v>
      </c>
      <c r="G196" s="53" t="s">
        <v>30</v>
      </c>
      <c r="H196" s="54" t="s">
        <v>28</v>
      </c>
      <c r="I196" s="54">
        <v>74900</v>
      </c>
      <c r="J196" s="54">
        <v>74700</v>
      </c>
      <c r="K196" s="54">
        <v>6331</v>
      </c>
      <c r="L196" s="53">
        <v>105</v>
      </c>
      <c r="M196" s="55" t="s">
        <v>31</v>
      </c>
      <c r="N196" s="56" t="s">
        <v>108</v>
      </c>
    </row>
    <row r="197" spans="1:14" x14ac:dyDescent="0.3">
      <c r="A197" s="51" t="s">
        <v>303</v>
      </c>
      <c r="B197" s="52">
        <v>46252</v>
      </c>
      <c r="C197" s="53" t="s">
        <v>19</v>
      </c>
      <c r="D197" s="53" t="s">
        <v>45</v>
      </c>
      <c r="E197" s="53" t="s">
        <v>44</v>
      </c>
      <c r="F197" s="54">
        <v>52668</v>
      </c>
      <c r="G197" s="53" t="s">
        <v>30</v>
      </c>
      <c r="H197" s="54" t="s">
        <v>23</v>
      </c>
      <c r="I197" s="54">
        <v>62400</v>
      </c>
      <c r="J197" s="54">
        <v>40600</v>
      </c>
      <c r="K197" s="54">
        <v>12068</v>
      </c>
      <c r="L197" s="53">
        <v>12</v>
      </c>
      <c r="M197" s="55" t="s">
        <v>41</v>
      </c>
      <c r="N197" s="56" t="s">
        <v>114</v>
      </c>
    </row>
    <row r="198" spans="1:14" hidden="1" x14ac:dyDescent="0.3">
      <c r="A198" s="51" t="s">
        <v>304</v>
      </c>
      <c r="B198" s="52">
        <v>46255</v>
      </c>
      <c r="C198" s="53" t="s">
        <v>25</v>
      </c>
      <c r="D198" s="53" t="s">
        <v>42</v>
      </c>
      <c r="E198" s="53" t="s">
        <v>27</v>
      </c>
      <c r="F198" s="54">
        <v>98204</v>
      </c>
      <c r="G198" s="53" t="s">
        <v>40</v>
      </c>
      <c r="H198" s="54" t="s">
        <v>28</v>
      </c>
      <c r="I198" s="54">
        <v>83800</v>
      </c>
      <c r="J198" s="54">
        <v>77200</v>
      </c>
      <c r="K198" s="54">
        <v>21004</v>
      </c>
      <c r="L198" s="53">
        <v>45</v>
      </c>
      <c r="M198" s="55" t="s">
        <v>18</v>
      </c>
      <c r="N198" s="56" t="s">
        <v>103</v>
      </c>
    </row>
    <row r="199" spans="1:14" x14ac:dyDescent="0.3">
      <c r="A199" s="51" t="s">
        <v>305</v>
      </c>
      <c r="B199" s="52">
        <v>46264</v>
      </c>
      <c r="C199" s="53" t="s">
        <v>19</v>
      </c>
      <c r="D199" s="53" t="s">
        <v>42</v>
      </c>
      <c r="E199" s="53" t="s">
        <v>21</v>
      </c>
      <c r="F199" s="54">
        <v>47384</v>
      </c>
      <c r="G199" s="53" t="s">
        <v>16</v>
      </c>
      <c r="H199" s="54" t="s">
        <v>23</v>
      </c>
      <c r="I199" s="54">
        <v>56800</v>
      </c>
      <c r="J199" s="54">
        <v>36300</v>
      </c>
      <c r="K199" s="54">
        <v>11084</v>
      </c>
      <c r="L199" s="53">
        <v>85</v>
      </c>
      <c r="M199" s="55" t="s">
        <v>24</v>
      </c>
      <c r="N199" s="56" t="s">
        <v>105</v>
      </c>
    </row>
    <row r="200" spans="1:14" x14ac:dyDescent="0.3">
      <c r="A200" s="51" t="s">
        <v>306</v>
      </c>
      <c r="B200" s="52">
        <v>46235</v>
      </c>
      <c r="C200" s="53" t="s">
        <v>19</v>
      </c>
      <c r="D200" s="53" t="s">
        <v>39</v>
      </c>
      <c r="E200" s="53" t="s">
        <v>27</v>
      </c>
      <c r="F200" s="54">
        <v>91929</v>
      </c>
      <c r="G200" s="53" t="s">
        <v>35</v>
      </c>
      <c r="H200" s="54" t="s">
        <v>48</v>
      </c>
      <c r="I200" s="54">
        <v>99900</v>
      </c>
      <c r="J200" s="54">
        <v>50500</v>
      </c>
      <c r="K200" s="54">
        <v>41429</v>
      </c>
      <c r="L200" s="53">
        <v>30</v>
      </c>
      <c r="M200" s="55" t="s">
        <v>41</v>
      </c>
      <c r="N200" s="56" t="s">
        <v>103</v>
      </c>
    </row>
    <row r="201" spans="1:14" x14ac:dyDescent="0.3">
      <c r="A201" s="51" t="s">
        <v>307</v>
      </c>
      <c r="B201" s="52">
        <v>46207</v>
      </c>
      <c r="C201" s="53" t="s">
        <v>19</v>
      </c>
      <c r="D201" s="53" t="s">
        <v>49</v>
      </c>
      <c r="E201" s="53" t="s">
        <v>44</v>
      </c>
      <c r="F201" s="54">
        <v>137959</v>
      </c>
      <c r="G201" s="53" t="s">
        <v>22</v>
      </c>
      <c r="H201" s="54" t="s">
        <v>23</v>
      </c>
      <c r="I201" s="54">
        <v>157300</v>
      </c>
      <c r="J201" s="54">
        <v>90900</v>
      </c>
      <c r="K201" s="54">
        <v>47059</v>
      </c>
      <c r="L201" s="53">
        <v>120</v>
      </c>
      <c r="M201" s="55" t="s">
        <v>31</v>
      </c>
      <c r="N201" s="56" t="s">
        <v>108</v>
      </c>
    </row>
    <row r="202" spans="1:14" hidden="1" x14ac:dyDescent="0.3">
      <c r="A202" s="51" t="s">
        <v>308</v>
      </c>
      <c r="B202" s="52">
        <v>46233</v>
      </c>
      <c r="C202" s="53" t="s">
        <v>32</v>
      </c>
      <c r="D202" s="53" t="s">
        <v>14</v>
      </c>
      <c r="E202" s="53" t="s">
        <v>27</v>
      </c>
      <c r="F202" s="54">
        <v>86153</v>
      </c>
      <c r="G202" s="53" t="s">
        <v>30</v>
      </c>
      <c r="H202" s="54" t="s">
        <v>36</v>
      </c>
      <c r="I202" s="54">
        <v>82100</v>
      </c>
      <c r="J202" s="54">
        <v>71100</v>
      </c>
      <c r="K202" s="54">
        <v>15053</v>
      </c>
      <c r="L202" s="53">
        <v>75</v>
      </c>
      <c r="M202" s="55" t="s">
        <v>24</v>
      </c>
      <c r="N202" s="56" t="s">
        <v>105</v>
      </c>
    </row>
    <row r="203" spans="1:14" hidden="1" x14ac:dyDescent="0.3">
      <c r="A203" s="51" t="s">
        <v>309</v>
      </c>
      <c r="B203" s="52">
        <v>46240</v>
      </c>
      <c r="C203" s="53" t="s">
        <v>32</v>
      </c>
      <c r="D203" s="53" t="s">
        <v>42</v>
      </c>
      <c r="E203" s="53" t="s">
        <v>15</v>
      </c>
      <c r="F203" s="54">
        <v>85388</v>
      </c>
      <c r="G203" s="53" t="s">
        <v>16</v>
      </c>
      <c r="H203" s="54" t="s">
        <v>36</v>
      </c>
      <c r="I203" s="54">
        <v>73000</v>
      </c>
      <c r="J203" s="54">
        <v>42800</v>
      </c>
      <c r="K203" s="54">
        <v>42588</v>
      </c>
      <c r="L203" s="53">
        <v>30</v>
      </c>
      <c r="M203" s="55" t="s">
        <v>41</v>
      </c>
      <c r="N203" s="56" t="s">
        <v>103</v>
      </c>
    </row>
    <row r="204" spans="1:14" hidden="1" x14ac:dyDescent="0.3">
      <c r="A204" s="51" t="s">
        <v>310</v>
      </c>
      <c r="B204" s="52">
        <v>46226</v>
      </c>
      <c r="C204" s="53" t="s">
        <v>25</v>
      </c>
      <c r="D204" s="53" t="s">
        <v>38</v>
      </c>
      <c r="E204" s="53" t="s">
        <v>37</v>
      </c>
      <c r="F204" s="54">
        <v>41401</v>
      </c>
      <c r="G204" s="53" t="s">
        <v>40</v>
      </c>
      <c r="H204" s="54" t="s">
        <v>28</v>
      </c>
      <c r="I204" s="54">
        <v>45900</v>
      </c>
      <c r="J204" s="54">
        <v>24400</v>
      </c>
      <c r="K204" s="54">
        <v>17001</v>
      </c>
      <c r="L204" s="53">
        <v>18</v>
      </c>
      <c r="M204" s="55" t="s">
        <v>41</v>
      </c>
      <c r="N204" s="56" t="s">
        <v>114</v>
      </c>
    </row>
    <row r="205" spans="1:14" hidden="1" x14ac:dyDescent="0.3">
      <c r="A205" s="51" t="s">
        <v>311</v>
      </c>
      <c r="B205" s="52">
        <v>46242</v>
      </c>
      <c r="C205" s="53" t="s">
        <v>52</v>
      </c>
      <c r="D205" s="53" t="s">
        <v>39</v>
      </c>
      <c r="E205" s="53" t="s">
        <v>21</v>
      </c>
      <c r="F205" s="54">
        <v>129503</v>
      </c>
      <c r="G205" s="53" t="s">
        <v>30</v>
      </c>
      <c r="H205" s="54" t="s">
        <v>17</v>
      </c>
      <c r="I205" s="54">
        <v>147900</v>
      </c>
      <c r="J205" s="54">
        <v>76200</v>
      </c>
      <c r="K205" s="54">
        <v>53303</v>
      </c>
      <c r="L205" s="53">
        <v>30</v>
      </c>
      <c r="M205" s="55" t="s">
        <v>41</v>
      </c>
      <c r="N205" s="56" t="s">
        <v>103</v>
      </c>
    </row>
    <row r="206" spans="1:14" hidden="1" x14ac:dyDescent="0.3">
      <c r="A206" s="51" t="s">
        <v>312</v>
      </c>
      <c r="B206" s="52">
        <v>46248</v>
      </c>
      <c r="C206" s="53" t="s">
        <v>25</v>
      </c>
      <c r="D206" s="53" t="s">
        <v>50</v>
      </c>
      <c r="E206" s="53" t="s">
        <v>34</v>
      </c>
      <c r="F206" s="54">
        <v>137834</v>
      </c>
      <c r="G206" s="53" t="s">
        <v>40</v>
      </c>
      <c r="H206" s="54" t="s">
        <v>28</v>
      </c>
      <c r="I206" s="54">
        <v>152900</v>
      </c>
      <c r="J206" s="54">
        <v>91800</v>
      </c>
      <c r="K206" s="54">
        <v>46034</v>
      </c>
      <c r="L206" s="53">
        <v>85</v>
      </c>
      <c r="M206" s="55" t="s">
        <v>24</v>
      </c>
      <c r="N206" s="56" t="s">
        <v>105</v>
      </c>
    </row>
    <row r="207" spans="1:14" x14ac:dyDescent="0.3">
      <c r="A207" s="51" t="s">
        <v>313</v>
      </c>
      <c r="B207" s="52">
        <v>46218</v>
      </c>
      <c r="C207" s="53" t="s">
        <v>19</v>
      </c>
      <c r="D207" s="53" t="s">
        <v>45</v>
      </c>
      <c r="E207" s="53" t="s">
        <v>37</v>
      </c>
      <c r="F207" s="54">
        <v>44084</v>
      </c>
      <c r="G207" s="53" t="s">
        <v>22</v>
      </c>
      <c r="H207" s="54" t="s">
        <v>48</v>
      </c>
      <c r="I207" s="54">
        <v>39700</v>
      </c>
      <c r="J207" s="54">
        <v>41400</v>
      </c>
      <c r="K207" s="54">
        <v>2684</v>
      </c>
      <c r="L207" s="53">
        <v>12</v>
      </c>
      <c r="M207" s="55" t="s">
        <v>41</v>
      </c>
      <c r="N207" s="56" t="s">
        <v>114</v>
      </c>
    </row>
    <row r="208" spans="1:14" hidden="1" x14ac:dyDescent="0.3">
      <c r="A208" s="51" t="s">
        <v>314</v>
      </c>
      <c r="B208" s="52">
        <v>46246</v>
      </c>
      <c r="C208" s="53" t="s">
        <v>13</v>
      </c>
      <c r="D208" s="53" t="s">
        <v>46</v>
      </c>
      <c r="E208" s="53" t="s">
        <v>27</v>
      </c>
      <c r="F208" s="54">
        <v>120641</v>
      </c>
      <c r="G208" s="53" t="s">
        <v>35</v>
      </c>
      <c r="H208" s="54" t="s">
        <v>17</v>
      </c>
      <c r="I208" s="54">
        <v>134400</v>
      </c>
      <c r="J208" s="54">
        <v>58400</v>
      </c>
      <c r="K208" s="54">
        <v>62241</v>
      </c>
      <c r="L208" s="53">
        <v>25</v>
      </c>
      <c r="M208" s="55" t="s">
        <v>41</v>
      </c>
      <c r="N208" s="56" t="s">
        <v>114</v>
      </c>
    </row>
    <row r="209" spans="1:14" x14ac:dyDescent="0.3">
      <c r="A209" s="51" t="s">
        <v>315</v>
      </c>
      <c r="B209" s="52">
        <v>46232</v>
      </c>
      <c r="C209" s="53" t="s">
        <v>19</v>
      </c>
      <c r="D209" s="53" t="s">
        <v>14</v>
      </c>
      <c r="E209" s="53" t="s">
        <v>21</v>
      </c>
      <c r="F209" s="54">
        <v>115111</v>
      </c>
      <c r="G209" s="53" t="s">
        <v>30</v>
      </c>
      <c r="H209" s="54" t="s">
        <v>23</v>
      </c>
      <c r="I209" s="54">
        <v>128800</v>
      </c>
      <c r="J209" s="54">
        <v>81700</v>
      </c>
      <c r="K209" s="54">
        <v>33411</v>
      </c>
      <c r="L209" s="53">
        <v>35</v>
      </c>
      <c r="M209" s="55" t="s">
        <v>18</v>
      </c>
      <c r="N209" s="56" t="s">
        <v>103</v>
      </c>
    </row>
    <row r="210" spans="1:14" hidden="1" x14ac:dyDescent="0.3">
      <c r="A210" s="51" t="s">
        <v>316</v>
      </c>
      <c r="B210" s="52">
        <v>46239</v>
      </c>
      <c r="C210" s="53" t="s">
        <v>13</v>
      </c>
      <c r="D210" s="53" t="s">
        <v>47</v>
      </c>
      <c r="E210" s="53" t="s">
        <v>27</v>
      </c>
      <c r="F210" s="54">
        <v>148299</v>
      </c>
      <c r="G210" s="53" t="s">
        <v>30</v>
      </c>
      <c r="H210" s="54" t="s">
        <v>17</v>
      </c>
      <c r="I210" s="54">
        <v>160200</v>
      </c>
      <c r="J210" s="54">
        <v>80000</v>
      </c>
      <c r="K210" s="54">
        <v>68299</v>
      </c>
      <c r="L210" s="53">
        <v>5</v>
      </c>
      <c r="M210" s="55" t="s">
        <v>41</v>
      </c>
      <c r="N210" s="56" t="s">
        <v>114</v>
      </c>
    </row>
    <row r="211" spans="1:14" x14ac:dyDescent="0.3">
      <c r="A211" s="51" t="s">
        <v>317</v>
      </c>
      <c r="B211" s="52">
        <v>46216</v>
      </c>
      <c r="C211" s="53" t="s">
        <v>19</v>
      </c>
      <c r="D211" s="53" t="s">
        <v>20</v>
      </c>
      <c r="E211" s="53" t="s">
        <v>15</v>
      </c>
      <c r="F211" s="54">
        <v>46041</v>
      </c>
      <c r="G211" s="53" t="s">
        <v>22</v>
      </c>
      <c r="H211" s="54" t="s">
        <v>23</v>
      </c>
      <c r="I211" s="54">
        <v>51500</v>
      </c>
      <c r="J211" s="54">
        <v>43100</v>
      </c>
      <c r="K211" s="54">
        <v>2941</v>
      </c>
      <c r="L211" s="53">
        <v>68</v>
      </c>
      <c r="M211" s="55" t="s">
        <v>24</v>
      </c>
      <c r="N211" s="56" t="s">
        <v>105</v>
      </c>
    </row>
    <row r="212" spans="1:14" hidden="1" x14ac:dyDescent="0.3">
      <c r="A212" s="51" t="s">
        <v>318</v>
      </c>
      <c r="B212" s="52">
        <v>46235</v>
      </c>
      <c r="C212" s="53" t="s">
        <v>13</v>
      </c>
      <c r="D212" s="53" t="s">
        <v>33</v>
      </c>
      <c r="E212" s="53" t="s">
        <v>44</v>
      </c>
      <c r="F212" s="54">
        <v>98920</v>
      </c>
      <c r="G212" s="53" t="s">
        <v>16</v>
      </c>
      <c r="H212" s="54" t="s">
        <v>17</v>
      </c>
      <c r="I212" s="54">
        <v>113400</v>
      </c>
      <c r="J212" s="54">
        <v>50100</v>
      </c>
      <c r="K212" s="54">
        <v>48820</v>
      </c>
      <c r="L212" s="53">
        <v>25</v>
      </c>
      <c r="M212" s="55" t="s">
        <v>41</v>
      </c>
      <c r="N212" s="56" t="s">
        <v>114</v>
      </c>
    </row>
    <row r="213" spans="1:14" x14ac:dyDescent="0.3">
      <c r="A213" s="51" t="s">
        <v>319</v>
      </c>
      <c r="B213" s="52">
        <v>46210</v>
      </c>
      <c r="C213" s="53" t="s">
        <v>19</v>
      </c>
      <c r="D213" s="53" t="s">
        <v>33</v>
      </c>
      <c r="E213" s="53" t="s">
        <v>21</v>
      </c>
      <c r="F213" s="54">
        <v>75681</v>
      </c>
      <c r="G213" s="53" t="s">
        <v>35</v>
      </c>
      <c r="H213" s="54" t="s">
        <v>48</v>
      </c>
      <c r="I213" s="54">
        <v>80600</v>
      </c>
      <c r="J213" s="54">
        <v>49300</v>
      </c>
      <c r="K213" s="54">
        <v>26381</v>
      </c>
      <c r="L213" s="53">
        <v>35</v>
      </c>
      <c r="M213" s="55" t="s">
        <v>18</v>
      </c>
      <c r="N213" s="56" t="s">
        <v>103</v>
      </c>
    </row>
    <row r="214" spans="1:14" hidden="1" x14ac:dyDescent="0.3">
      <c r="A214" s="51" t="s">
        <v>320</v>
      </c>
      <c r="B214" s="52">
        <v>46262</v>
      </c>
      <c r="C214" s="53" t="s">
        <v>13</v>
      </c>
      <c r="D214" s="53" t="s">
        <v>50</v>
      </c>
      <c r="E214" s="53" t="s">
        <v>15</v>
      </c>
      <c r="F214" s="54">
        <v>91571</v>
      </c>
      <c r="G214" s="53" t="s">
        <v>30</v>
      </c>
      <c r="H214" s="54" t="s">
        <v>17</v>
      </c>
      <c r="I214" s="54">
        <v>80700</v>
      </c>
      <c r="J214" s="54">
        <v>75000</v>
      </c>
      <c r="K214" s="54">
        <v>16571</v>
      </c>
      <c r="L214" s="53">
        <v>60</v>
      </c>
      <c r="M214" s="55" t="s">
        <v>18</v>
      </c>
      <c r="N214" s="56" t="s">
        <v>103</v>
      </c>
    </row>
    <row r="215" spans="1:14" hidden="1" x14ac:dyDescent="0.3">
      <c r="A215" s="51" t="s">
        <v>321</v>
      </c>
      <c r="B215" s="52">
        <v>46254</v>
      </c>
      <c r="C215" s="53" t="s">
        <v>25</v>
      </c>
      <c r="D215" s="53" t="s">
        <v>43</v>
      </c>
      <c r="E215" s="53" t="s">
        <v>15</v>
      </c>
      <c r="F215" s="54">
        <v>137556</v>
      </c>
      <c r="G215" s="53" t="s">
        <v>35</v>
      </c>
      <c r="H215" s="54" t="s">
        <v>28</v>
      </c>
      <c r="I215" s="54">
        <v>140400</v>
      </c>
      <c r="J215" s="54">
        <v>110400</v>
      </c>
      <c r="K215" s="54">
        <v>27156</v>
      </c>
      <c r="L215" s="53">
        <v>105</v>
      </c>
      <c r="M215" s="55" t="s">
        <v>31</v>
      </c>
      <c r="N215" s="56" t="s">
        <v>108</v>
      </c>
    </row>
    <row r="216" spans="1:14" hidden="1" x14ac:dyDescent="0.3">
      <c r="A216" s="51" t="s">
        <v>322</v>
      </c>
      <c r="B216" s="52">
        <v>46225</v>
      </c>
      <c r="C216" s="53" t="s">
        <v>13</v>
      </c>
      <c r="D216" s="53" t="s">
        <v>43</v>
      </c>
      <c r="E216" s="53" t="s">
        <v>21</v>
      </c>
      <c r="F216" s="54">
        <v>36160</v>
      </c>
      <c r="G216" s="53" t="s">
        <v>30</v>
      </c>
      <c r="H216" s="54" t="s">
        <v>17</v>
      </c>
      <c r="I216" s="54">
        <v>31700</v>
      </c>
      <c r="J216" s="54">
        <v>23900</v>
      </c>
      <c r="K216" s="54">
        <v>12260</v>
      </c>
      <c r="L216" s="53">
        <v>75</v>
      </c>
      <c r="M216" s="55" t="s">
        <v>24</v>
      </c>
      <c r="N216" s="56" t="s">
        <v>105</v>
      </c>
    </row>
    <row r="217" spans="1:14" x14ac:dyDescent="0.3">
      <c r="A217" s="51" t="s">
        <v>323</v>
      </c>
      <c r="B217" s="52">
        <v>46231</v>
      </c>
      <c r="C217" s="53" t="s">
        <v>19</v>
      </c>
      <c r="D217" s="53" t="s">
        <v>50</v>
      </c>
      <c r="E217" s="53" t="s">
        <v>27</v>
      </c>
      <c r="F217" s="54">
        <v>27633</v>
      </c>
      <c r="G217" s="53" t="s">
        <v>35</v>
      </c>
      <c r="H217" s="54" t="s">
        <v>48</v>
      </c>
      <c r="I217" s="54">
        <v>27400</v>
      </c>
      <c r="J217" s="54">
        <v>17200</v>
      </c>
      <c r="K217" s="54">
        <v>10433</v>
      </c>
      <c r="L217" s="53">
        <v>75</v>
      </c>
      <c r="M217" s="55" t="s">
        <v>24</v>
      </c>
      <c r="N217" s="56" t="s">
        <v>105</v>
      </c>
    </row>
    <row r="218" spans="1:14" hidden="1" x14ac:dyDescent="0.3">
      <c r="A218" s="51" t="s">
        <v>325</v>
      </c>
      <c r="B218" s="52">
        <v>46205</v>
      </c>
      <c r="C218" s="53" t="s">
        <v>25</v>
      </c>
      <c r="D218" s="53" t="s">
        <v>38</v>
      </c>
      <c r="E218" s="53" t="s">
        <v>34</v>
      </c>
      <c r="F218" s="54">
        <v>27014</v>
      </c>
      <c r="G218" s="53" t="s">
        <v>40</v>
      </c>
      <c r="H218" s="54" t="s">
        <v>28</v>
      </c>
      <c r="I218" s="54">
        <v>26800</v>
      </c>
      <c r="J218" s="54">
        <v>17500</v>
      </c>
      <c r="K218" s="54">
        <v>9514</v>
      </c>
      <c r="L218" s="53">
        <v>95</v>
      </c>
      <c r="M218" s="55" t="s">
        <v>31</v>
      </c>
      <c r="N218" s="56" t="s">
        <v>624</v>
      </c>
    </row>
    <row r="219" spans="1:14" hidden="1" x14ac:dyDescent="0.3">
      <c r="A219" s="51" t="s">
        <v>326</v>
      </c>
      <c r="B219" s="52">
        <v>46245</v>
      </c>
      <c r="C219" s="53" t="s">
        <v>13</v>
      </c>
      <c r="D219" s="53" t="s">
        <v>42</v>
      </c>
      <c r="E219" s="53" t="s">
        <v>15</v>
      </c>
      <c r="F219" s="54">
        <v>90532</v>
      </c>
      <c r="G219" s="53" t="s">
        <v>30</v>
      </c>
      <c r="H219" s="54" t="s">
        <v>17</v>
      </c>
      <c r="I219" s="54">
        <v>79000</v>
      </c>
      <c r="J219" s="54">
        <v>52700</v>
      </c>
      <c r="K219" s="54">
        <v>37832</v>
      </c>
      <c r="L219" s="53">
        <v>12</v>
      </c>
      <c r="M219" s="55" t="s">
        <v>41</v>
      </c>
      <c r="N219" s="56" t="s">
        <v>114</v>
      </c>
    </row>
    <row r="220" spans="1:14" hidden="1" x14ac:dyDescent="0.3">
      <c r="A220" s="51" t="s">
        <v>327</v>
      </c>
      <c r="B220" s="52">
        <v>46248</v>
      </c>
      <c r="C220" s="53" t="s">
        <v>25</v>
      </c>
      <c r="D220" s="53" t="s">
        <v>49</v>
      </c>
      <c r="E220" s="53" t="s">
        <v>37</v>
      </c>
      <c r="F220" s="54">
        <v>59104</v>
      </c>
      <c r="G220" s="53" t="s">
        <v>35</v>
      </c>
      <c r="H220" s="54" t="s">
        <v>28</v>
      </c>
      <c r="I220" s="54">
        <v>57500</v>
      </c>
      <c r="J220" s="54">
        <v>32700</v>
      </c>
      <c r="K220" s="54">
        <v>26404</v>
      </c>
      <c r="L220" s="53">
        <v>75</v>
      </c>
      <c r="M220" s="55" t="s">
        <v>24</v>
      </c>
      <c r="N220" s="56" t="s">
        <v>105</v>
      </c>
    </row>
    <row r="221" spans="1:14" hidden="1" x14ac:dyDescent="0.3">
      <c r="A221" s="51" t="s">
        <v>328</v>
      </c>
      <c r="B221" s="52">
        <v>46265</v>
      </c>
      <c r="C221" s="53" t="s">
        <v>32</v>
      </c>
      <c r="D221" s="53" t="s">
        <v>14</v>
      </c>
      <c r="E221" s="53" t="s">
        <v>15</v>
      </c>
      <c r="F221" s="54">
        <v>87231</v>
      </c>
      <c r="G221" s="53" t="s">
        <v>16</v>
      </c>
      <c r="H221" s="54" t="s">
        <v>36</v>
      </c>
      <c r="I221" s="54">
        <v>77500</v>
      </c>
      <c r="J221" s="54">
        <v>60300</v>
      </c>
      <c r="K221" s="54">
        <v>26931</v>
      </c>
      <c r="L221" s="53">
        <v>45</v>
      </c>
      <c r="M221" s="55" t="s">
        <v>18</v>
      </c>
      <c r="N221" s="56" t="s">
        <v>103</v>
      </c>
    </row>
    <row r="222" spans="1:14" hidden="1" x14ac:dyDescent="0.3">
      <c r="A222" s="51" t="s">
        <v>329</v>
      </c>
      <c r="B222" s="52">
        <v>46260</v>
      </c>
      <c r="C222" s="53" t="s">
        <v>32</v>
      </c>
      <c r="D222" s="53" t="s">
        <v>33</v>
      </c>
      <c r="E222" s="53" t="s">
        <v>34</v>
      </c>
      <c r="F222" s="54">
        <v>78388</v>
      </c>
      <c r="G222" s="53" t="s">
        <v>40</v>
      </c>
      <c r="H222" s="54" t="s">
        <v>36</v>
      </c>
      <c r="I222" s="54">
        <v>88800</v>
      </c>
      <c r="J222" s="54">
        <v>45800</v>
      </c>
      <c r="K222" s="54">
        <v>32588</v>
      </c>
      <c r="L222" s="53">
        <v>35</v>
      </c>
      <c r="M222" s="55" t="s">
        <v>18</v>
      </c>
      <c r="N222" s="56" t="s">
        <v>103</v>
      </c>
    </row>
    <row r="223" spans="1:14" hidden="1" x14ac:dyDescent="0.3">
      <c r="A223" s="51" t="s">
        <v>330</v>
      </c>
      <c r="B223" s="52">
        <v>46256</v>
      </c>
      <c r="C223" s="53" t="s">
        <v>25</v>
      </c>
      <c r="D223" s="53" t="s">
        <v>33</v>
      </c>
      <c r="E223" s="53" t="s">
        <v>27</v>
      </c>
      <c r="F223" s="54">
        <v>26014</v>
      </c>
      <c r="G223" s="53" t="s">
        <v>40</v>
      </c>
      <c r="H223" s="54" t="s">
        <v>28</v>
      </c>
      <c r="I223" s="54">
        <v>30700</v>
      </c>
      <c r="J223" s="54">
        <v>15400</v>
      </c>
      <c r="K223" s="54">
        <v>10614</v>
      </c>
      <c r="L223" s="53">
        <v>12</v>
      </c>
      <c r="M223" s="55" t="s">
        <v>41</v>
      </c>
      <c r="N223" s="56" t="s">
        <v>114</v>
      </c>
    </row>
    <row r="224" spans="1:14" hidden="1" x14ac:dyDescent="0.3">
      <c r="A224" s="51" t="s">
        <v>331</v>
      </c>
      <c r="B224" s="52">
        <v>46209</v>
      </c>
      <c r="C224" s="53" t="s">
        <v>32</v>
      </c>
      <c r="D224" s="53" t="s">
        <v>49</v>
      </c>
      <c r="E224" s="53" t="s">
        <v>27</v>
      </c>
      <c r="F224" s="54">
        <v>102578</v>
      </c>
      <c r="G224" s="53" t="s">
        <v>16</v>
      </c>
      <c r="H224" s="54" t="s">
        <v>36</v>
      </c>
      <c r="I224" s="54">
        <v>89800</v>
      </c>
      <c r="J224" s="54">
        <v>79800</v>
      </c>
      <c r="K224" s="54">
        <v>22778</v>
      </c>
      <c r="L224" s="53">
        <v>52</v>
      </c>
      <c r="M224" s="55" t="s">
        <v>18</v>
      </c>
      <c r="N224" s="56" t="s">
        <v>103</v>
      </c>
    </row>
    <row r="225" spans="1:14" hidden="1" x14ac:dyDescent="0.3">
      <c r="A225" s="51" t="s">
        <v>332</v>
      </c>
      <c r="B225" s="52">
        <v>46231</v>
      </c>
      <c r="C225" s="53" t="s">
        <v>25</v>
      </c>
      <c r="D225" s="53" t="s">
        <v>42</v>
      </c>
      <c r="E225" s="53" t="s">
        <v>37</v>
      </c>
      <c r="F225" s="54">
        <v>50390</v>
      </c>
      <c r="G225" s="53" t="s">
        <v>35</v>
      </c>
      <c r="H225" s="54" t="s">
        <v>28</v>
      </c>
      <c r="I225" s="54">
        <v>59700</v>
      </c>
      <c r="J225" s="54">
        <v>47100</v>
      </c>
      <c r="K225" s="54">
        <v>3290</v>
      </c>
      <c r="L225" s="53">
        <v>45</v>
      </c>
      <c r="M225" s="55" t="s">
        <v>18</v>
      </c>
      <c r="N225" s="56" t="s">
        <v>103</v>
      </c>
    </row>
    <row r="226" spans="1:14" hidden="1" x14ac:dyDescent="0.3">
      <c r="A226" s="51" t="s">
        <v>333</v>
      </c>
      <c r="B226" s="52">
        <v>46231</v>
      </c>
      <c r="C226" s="53" t="s">
        <v>13</v>
      </c>
      <c r="D226" s="53" t="s">
        <v>33</v>
      </c>
      <c r="E226" s="53" t="s">
        <v>15</v>
      </c>
      <c r="F226" s="54">
        <v>33711</v>
      </c>
      <c r="G226" s="53" t="s">
        <v>22</v>
      </c>
      <c r="H226" s="54" t="s">
        <v>17</v>
      </c>
      <c r="I226" s="54">
        <v>34800</v>
      </c>
      <c r="J226" s="54">
        <v>25300</v>
      </c>
      <c r="K226" s="54">
        <v>8411</v>
      </c>
      <c r="L226" s="53">
        <v>75</v>
      </c>
      <c r="M226" s="55" t="s">
        <v>24</v>
      </c>
      <c r="N226" s="56" t="s">
        <v>105</v>
      </c>
    </row>
    <row r="227" spans="1:14" x14ac:dyDescent="0.3">
      <c r="A227" s="51" t="s">
        <v>334</v>
      </c>
      <c r="B227" s="52">
        <v>46247</v>
      </c>
      <c r="C227" s="53" t="s">
        <v>19</v>
      </c>
      <c r="D227" s="53" t="s">
        <v>20</v>
      </c>
      <c r="E227" s="53" t="s">
        <v>27</v>
      </c>
      <c r="F227" s="54">
        <v>101658</v>
      </c>
      <c r="G227" s="53" t="s">
        <v>16</v>
      </c>
      <c r="H227" s="54" t="s">
        <v>48</v>
      </c>
      <c r="I227" s="54">
        <v>97100</v>
      </c>
      <c r="J227" s="54">
        <v>49700</v>
      </c>
      <c r="K227" s="54">
        <v>51958</v>
      </c>
      <c r="L227" s="53">
        <v>30</v>
      </c>
      <c r="M227" s="55" t="s">
        <v>41</v>
      </c>
      <c r="N227" s="56" t="s">
        <v>103</v>
      </c>
    </row>
    <row r="228" spans="1:14" x14ac:dyDescent="0.3">
      <c r="A228" s="51" t="s">
        <v>335</v>
      </c>
      <c r="B228" s="52">
        <v>46247</v>
      </c>
      <c r="C228" s="53" t="s">
        <v>19</v>
      </c>
      <c r="D228" s="53" t="s">
        <v>47</v>
      </c>
      <c r="E228" s="53" t="s">
        <v>34</v>
      </c>
      <c r="F228" s="54">
        <v>67993</v>
      </c>
      <c r="G228" s="53" t="s">
        <v>35</v>
      </c>
      <c r="H228" s="54" t="s">
        <v>48</v>
      </c>
      <c r="I228" s="54">
        <v>59600</v>
      </c>
      <c r="J228" s="54">
        <v>33200</v>
      </c>
      <c r="K228" s="54">
        <v>34793</v>
      </c>
      <c r="L228" s="53">
        <v>85</v>
      </c>
      <c r="M228" s="55" t="s">
        <v>24</v>
      </c>
      <c r="N228" s="56" t="s">
        <v>105</v>
      </c>
    </row>
    <row r="229" spans="1:14" hidden="1" x14ac:dyDescent="0.3">
      <c r="A229" s="51" t="s">
        <v>336</v>
      </c>
      <c r="B229" s="52">
        <v>46223</v>
      </c>
      <c r="C229" s="53" t="s">
        <v>13</v>
      </c>
      <c r="D229" s="53" t="s">
        <v>14</v>
      </c>
      <c r="E229" s="53" t="s">
        <v>21</v>
      </c>
      <c r="F229" s="54">
        <v>17421</v>
      </c>
      <c r="G229" s="53" t="s">
        <v>16</v>
      </c>
      <c r="H229" s="54" t="s">
        <v>17</v>
      </c>
      <c r="I229" s="54">
        <v>17900</v>
      </c>
      <c r="J229" s="54">
        <v>16100</v>
      </c>
      <c r="K229" s="54">
        <v>1321</v>
      </c>
      <c r="L229" s="53">
        <v>30</v>
      </c>
      <c r="M229" s="55" t="s">
        <v>41</v>
      </c>
      <c r="N229" s="56" t="s">
        <v>103</v>
      </c>
    </row>
    <row r="230" spans="1:14" hidden="1" x14ac:dyDescent="0.3">
      <c r="A230" s="51" t="s">
        <v>337</v>
      </c>
      <c r="B230" s="52">
        <v>46233</v>
      </c>
      <c r="C230" s="53" t="s">
        <v>13</v>
      </c>
      <c r="D230" s="53" t="s">
        <v>51</v>
      </c>
      <c r="E230" s="53" t="s">
        <v>44</v>
      </c>
      <c r="F230" s="54">
        <v>27727</v>
      </c>
      <c r="G230" s="53" t="s">
        <v>16</v>
      </c>
      <c r="H230" s="54" t="s">
        <v>17</v>
      </c>
      <c r="I230" s="54">
        <v>31300</v>
      </c>
      <c r="J230" s="54">
        <v>16600</v>
      </c>
      <c r="K230" s="54">
        <v>11127</v>
      </c>
      <c r="L230" s="53">
        <v>45</v>
      </c>
      <c r="M230" s="55" t="s">
        <v>18</v>
      </c>
      <c r="N230" s="56" t="s">
        <v>103</v>
      </c>
    </row>
    <row r="231" spans="1:14" hidden="1" x14ac:dyDescent="0.3">
      <c r="A231" s="51" t="s">
        <v>338</v>
      </c>
      <c r="B231" s="52">
        <v>46265</v>
      </c>
      <c r="C231" s="53" t="s">
        <v>25</v>
      </c>
      <c r="D231" s="53" t="s">
        <v>33</v>
      </c>
      <c r="E231" s="53" t="s">
        <v>44</v>
      </c>
      <c r="F231" s="54">
        <v>122418</v>
      </c>
      <c r="G231" s="53" t="s">
        <v>30</v>
      </c>
      <c r="H231" s="54" t="s">
        <v>28</v>
      </c>
      <c r="I231" s="54">
        <v>134400</v>
      </c>
      <c r="J231" s="54">
        <v>60700</v>
      </c>
      <c r="K231" s="54">
        <v>61718</v>
      </c>
      <c r="L231" s="53">
        <v>60</v>
      </c>
      <c r="M231" s="55" t="s">
        <v>18</v>
      </c>
      <c r="N231" s="56" t="s">
        <v>103</v>
      </c>
    </row>
    <row r="232" spans="1:14" hidden="1" x14ac:dyDescent="0.3">
      <c r="A232" s="51" t="s">
        <v>339</v>
      </c>
      <c r="B232" s="52">
        <v>46214</v>
      </c>
      <c r="C232" s="53" t="s">
        <v>32</v>
      </c>
      <c r="D232" s="53" t="s">
        <v>50</v>
      </c>
      <c r="E232" s="53" t="s">
        <v>44</v>
      </c>
      <c r="F232" s="54">
        <v>14358</v>
      </c>
      <c r="G232" s="53" t="s">
        <v>35</v>
      </c>
      <c r="H232" s="54" t="s">
        <v>36</v>
      </c>
      <c r="I232" s="54">
        <v>12500</v>
      </c>
      <c r="J232" s="54">
        <v>10800</v>
      </c>
      <c r="K232" s="54">
        <v>3558</v>
      </c>
      <c r="L232" s="53">
        <v>75</v>
      </c>
      <c r="M232" s="55" t="s">
        <v>24</v>
      </c>
      <c r="N232" s="56" t="s">
        <v>105</v>
      </c>
    </row>
    <row r="233" spans="1:14" x14ac:dyDescent="0.3">
      <c r="A233" s="51" t="s">
        <v>340</v>
      </c>
      <c r="B233" s="52">
        <v>46261</v>
      </c>
      <c r="C233" s="53" t="s">
        <v>19</v>
      </c>
      <c r="D233" s="53" t="s">
        <v>47</v>
      </c>
      <c r="E233" s="53" t="s">
        <v>15</v>
      </c>
      <c r="F233" s="54">
        <v>75108</v>
      </c>
      <c r="G233" s="53" t="s">
        <v>22</v>
      </c>
      <c r="H233" s="54" t="s">
        <v>48</v>
      </c>
      <c r="I233" s="54">
        <v>65800</v>
      </c>
      <c r="J233" s="54">
        <v>57200</v>
      </c>
      <c r="K233" s="54">
        <v>17908</v>
      </c>
      <c r="L233" s="53">
        <v>120</v>
      </c>
      <c r="M233" s="55" t="s">
        <v>31</v>
      </c>
      <c r="N233" s="56" t="s">
        <v>108</v>
      </c>
    </row>
    <row r="234" spans="1:14" x14ac:dyDescent="0.3">
      <c r="A234" s="51" t="s">
        <v>341</v>
      </c>
      <c r="B234" s="52">
        <v>46258</v>
      </c>
      <c r="C234" s="53" t="s">
        <v>19</v>
      </c>
      <c r="D234" s="53" t="s">
        <v>33</v>
      </c>
      <c r="E234" s="53" t="s">
        <v>37</v>
      </c>
      <c r="F234" s="54">
        <v>104018</v>
      </c>
      <c r="G234" s="53" t="s">
        <v>30</v>
      </c>
      <c r="H234" s="54" t="s">
        <v>48</v>
      </c>
      <c r="I234" s="54">
        <v>103100</v>
      </c>
      <c r="J234" s="54">
        <v>80500</v>
      </c>
      <c r="K234" s="54">
        <v>23518</v>
      </c>
      <c r="L234" s="53">
        <v>60</v>
      </c>
      <c r="M234" s="55" t="s">
        <v>18</v>
      </c>
      <c r="N234" s="56" t="s">
        <v>103</v>
      </c>
    </row>
    <row r="235" spans="1:14" hidden="1" x14ac:dyDescent="0.3">
      <c r="A235" s="51" t="s">
        <v>342</v>
      </c>
      <c r="B235" s="52">
        <v>46231</v>
      </c>
      <c r="C235" s="53" t="s">
        <v>25</v>
      </c>
      <c r="D235" s="53" t="s">
        <v>29</v>
      </c>
      <c r="E235" s="53" t="s">
        <v>27</v>
      </c>
      <c r="F235" s="54">
        <v>134457</v>
      </c>
      <c r="G235" s="53" t="s">
        <v>16</v>
      </c>
      <c r="H235" s="54" t="s">
        <v>28</v>
      </c>
      <c r="I235" s="54">
        <v>128200</v>
      </c>
      <c r="J235" s="54">
        <v>78500</v>
      </c>
      <c r="K235" s="54">
        <v>55957</v>
      </c>
      <c r="L235" s="53">
        <v>60</v>
      </c>
      <c r="M235" s="55" t="s">
        <v>18</v>
      </c>
      <c r="N235" s="56" t="s">
        <v>103</v>
      </c>
    </row>
    <row r="236" spans="1:14" hidden="1" x14ac:dyDescent="0.3">
      <c r="A236" s="51" t="s">
        <v>343</v>
      </c>
      <c r="B236" s="52">
        <v>46228</v>
      </c>
      <c r="C236" s="53" t="s">
        <v>25</v>
      </c>
      <c r="D236" s="53" t="s">
        <v>45</v>
      </c>
      <c r="E236" s="53" t="s">
        <v>21</v>
      </c>
      <c r="F236" s="54">
        <v>41910</v>
      </c>
      <c r="G236" s="53" t="s">
        <v>16</v>
      </c>
      <c r="H236" s="54" t="s">
        <v>28</v>
      </c>
      <c r="I236" s="54">
        <v>39000</v>
      </c>
      <c r="J236" s="54">
        <v>19200</v>
      </c>
      <c r="K236" s="54">
        <v>22710</v>
      </c>
      <c r="L236" s="53">
        <v>35</v>
      </c>
      <c r="M236" s="55" t="s">
        <v>18</v>
      </c>
      <c r="N236" s="56" t="s">
        <v>103</v>
      </c>
    </row>
    <row r="237" spans="1:14" hidden="1" x14ac:dyDescent="0.3">
      <c r="A237" s="51" t="s">
        <v>344</v>
      </c>
      <c r="B237" s="52">
        <v>46242</v>
      </c>
      <c r="C237" s="53" t="s">
        <v>25</v>
      </c>
      <c r="D237" s="53" t="s">
        <v>20</v>
      </c>
      <c r="E237" s="53" t="s">
        <v>34</v>
      </c>
      <c r="F237" s="54">
        <v>136888</v>
      </c>
      <c r="G237" s="53" t="s">
        <v>16</v>
      </c>
      <c r="H237" s="54" t="s">
        <v>28</v>
      </c>
      <c r="I237" s="54">
        <v>129800</v>
      </c>
      <c r="J237" s="54">
        <v>127600</v>
      </c>
      <c r="K237" s="54">
        <v>9288</v>
      </c>
      <c r="L237" s="53">
        <v>68</v>
      </c>
      <c r="M237" s="55" t="s">
        <v>24</v>
      </c>
      <c r="N237" s="56" t="s">
        <v>105</v>
      </c>
    </row>
    <row r="238" spans="1:14" x14ac:dyDescent="0.3">
      <c r="A238" s="51" t="s">
        <v>345</v>
      </c>
      <c r="B238" s="52">
        <v>46265</v>
      </c>
      <c r="C238" s="53" t="s">
        <v>19</v>
      </c>
      <c r="D238" s="53" t="s">
        <v>47</v>
      </c>
      <c r="E238" s="53" t="s">
        <v>21</v>
      </c>
      <c r="F238" s="54">
        <v>65754</v>
      </c>
      <c r="G238" s="53" t="s">
        <v>35</v>
      </c>
      <c r="H238" s="54" t="s">
        <v>23</v>
      </c>
      <c r="I238" s="54">
        <v>74400</v>
      </c>
      <c r="J238" s="54">
        <v>37800</v>
      </c>
      <c r="K238" s="54">
        <v>27954</v>
      </c>
      <c r="L238" s="53">
        <v>35</v>
      </c>
      <c r="M238" s="55" t="s">
        <v>18</v>
      </c>
      <c r="N238" s="56" t="s">
        <v>103</v>
      </c>
    </row>
    <row r="239" spans="1:14" hidden="1" x14ac:dyDescent="0.3">
      <c r="A239" s="51" t="s">
        <v>346</v>
      </c>
      <c r="B239" s="52">
        <v>46236</v>
      </c>
      <c r="C239" s="53" t="s">
        <v>13</v>
      </c>
      <c r="D239" s="53" t="s">
        <v>39</v>
      </c>
      <c r="E239" s="53" t="s">
        <v>34</v>
      </c>
      <c r="F239" s="54">
        <v>119847</v>
      </c>
      <c r="G239" s="53" t="s">
        <v>35</v>
      </c>
      <c r="H239" s="54" t="s">
        <v>17</v>
      </c>
      <c r="I239" s="54">
        <v>140800</v>
      </c>
      <c r="J239" s="54">
        <v>94400</v>
      </c>
      <c r="K239" s="54">
        <v>25447</v>
      </c>
      <c r="L239" s="53">
        <v>18</v>
      </c>
      <c r="M239" s="55" t="s">
        <v>41</v>
      </c>
      <c r="N239" s="56" t="s">
        <v>114</v>
      </c>
    </row>
    <row r="240" spans="1:14" hidden="1" x14ac:dyDescent="0.3">
      <c r="A240" s="51" t="s">
        <v>347</v>
      </c>
      <c r="B240" s="52">
        <v>46204</v>
      </c>
      <c r="C240" s="53" t="s">
        <v>13</v>
      </c>
      <c r="D240" s="53" t="s">
        <v>51</v>
      </c>
      <c r="E240" s="53" t="s">
        <v>15</v>
      </c>
      <c r="F240" s="54">
        <v>48467</v>
      </c>
      <c r="G240" s="53" t="s">
        <v>30</v>
      </c>
      <c r="H240" s="54" t="s">
        <v>17</v>
      </c>
      <c r="I240" s="54">
        <v>48100</v>
      </c>
      <c r="J240" s="54">
        <v>38900</v>
      </c>
      <c r="K240" s="54">
        <v>9567</v>
      </c>
      <c r="L240" s="53">
        <v>5</v>
      </c>
      <c r="M240" s="55" t="s">
        <v>41</v>
      </c>
      <c r="N240" s="56" t="s">
        <v>114</v>
      </c>
    </row>
    <row r="241" spans="1:14" hidden="1" x14ac:dyDescent="0.3">
      <c r="A241" s="51" t="s">
        <v>348</v>
      </c>
      <c r="B241" s="52">
        <v>46260</v>
      </c>
      <c r="C241" s="53" t="s">
        <v>32</v>
      </c>
      <c r="D241" s="53" t="s">
        <v>45</v>
      </c>
      <c r="E241" s="53" t="s">
        <v>44</v>
      </c>
      <c r="F241" s="54">
        <v>43893</v>
      </c>
      <c r="G241" s="53" t="s">
        <v>22</v>
      </c>
      <c r="H241" s="54" t="s">
        <v>36</v>
      </c>
      <c r="I241" s="54">
        <v>51200</v>
      </c>
      <c r="J241" s="54">
        <v>33100</v>
      </c>
      <c r="K241" s="54">
        <v>10793</v>
      </c>
      <c r="L241" s="53">
        <v>45</v>
      </c>
      <c r="M241" s="55" t="s">
        <v>18</v>
      </c>
      <c r="N241" s="56" t="s">
        <v>103</v>
      </c>
    </row>
    <row r="242" spans="1:14" hidden="1" x14ac:dyDescent="0.3">
      <c r="A242" s="51" t="s">
        <v>349</v>
      </c>
      <c r="B242" s="52">
        <v>46230</v>
      </c>
      <c r="C242" s="53" t="s">
        <v>25</v>
      </c>
      <c r="D242" s="53" t="s">
        <v>26</v>
      </c>
      <c r="E242" s="53" t="s">
        <v>15</v>
      </c>
      <c r="F242" s="54">
        <v>86329</v>
      </c>
      <c r="G242" s="53" t="s">
        <v>30</v>
      </c>
      <c r="H242" s="54" t="s">
        <v>28</v>
      </c>
      <c r="I242" s="54">
        <v>83100</v>
      </c>
      <c r="J242" s="54">
        <v>52400</v>
      </c>
      <c r="K242" s="54">
        <v>33929</v>
      </c>
      <c r="L242" s="53">
        <v>25</v>
      </c>
      <c r="M242" s="55" t="s">
        <v>41</v>
      </c>
      <c r="N242" s="56" t="s">
        <v>114</v>
      </c>
    </row>
    <row r="243" spans="1:14" x14ac:dyDescent="0.3">
      <c r="A243" s="51" t="s">
        <v>350</v>
      </c>
      <c r="B243" s="52">
        <v>46265</v>
      </c>
      <c r="C243" s="53" t="s">
        <v>19</v>
      </c>
      <c r="D243" s="53" t="s">
        <v>50</v>
      </c>
      <c r="E243" s="53" t="s">
        <v>37</v>
      </c>
      <c r="F243" s="54">
        <v>41007</v>
      </c>
      <c r="G243" s="53" t="s">
        <v>40</v>
      </c>
      <c r="H243" s="54" t="s">
        <v>23</v>
      </c>
      <c r="I243" s="54">
        <v>41700</v>
      </c>
      <c r="J243" s="54">
        <v>24000</v>
      </c>
      <c r="K243" s="54">
        <v>17007</v>
      </c>
      <c r="L243" s="53">
        <v>5</v>
      </c>
      <c r="M243" s="55" t="s">
        <v>41</v>
      </c>
      <c r="N243" s="56" t="s">
        <v>114</v>
      </c>
    </row>
    <row r="244" spans="1:14" hidden="1" x14ac:dyDescent="0.3">
      <c r="A244" s="51" t="s">
        <v>351</v>
      </c>
      <c r="B244" s="52">
        <v>46260</v>
      </c>
      <c r="C244" s="53" t="s">
        <v>13</v>
      </c>
      <c r="D244" s="53" t="s">
        <v>50</v>
      </c>
      <c r="E244" s="53" t="s">
        <v>37</v>
      </c>
      <c r="F244" s="54">
        <v>64253</v>
      </c>
      <c r="G244" s="53" t="s">
        <v>16</v>
      </c>
      <c r="H244" s="54" t="s">
        <v>17</v>
      </c>
      <c r="I244" s="54">
        <v>59700</v>
      </c>
      <c r="J244" s="54">
        <v>48100</v>
      </c>
      <c r="K244" s="54">
        <v>16153</v>
      </c>
      <c r="L244" s="53">
        <v>120</v>
      </c>
      <c r="M244" s="55" t="s">
        <v>31</v>
      </c>
      <c r="N244" s="56" t="s">
        <v>108</v>
      </c>
    </row>
    <row r="245" spans="1:14" hidden="1" x14ac:dyDescent="0.3">
      <c r="A245" s="51" t="s">
        <v>352</v>
      </c>
      <c r="B245" s="52">
        <v>46255</v>
      </c>
      <c r="C245" s="53" t="s">
        <v>32</v>
      </c>
      <c r="D245" s="53" t="s">
        <v>14</v>
      </c>
      <c r="E245" s="53" t="s">
        <v>34</v>
      </c>
      <c r="F245" s="54">
        <v>22323</v>
      </c>
      <c r="G245" s="53" t="s">
        <v>16</v>
      </c>
      <c r="H245" s="54" t="s">
        <v>36</v>
      </c>
      <c r="I245" s="54">
        <v>24000</v>
      </c>
      <c r="J245" s="54">
        <v>19700</v>
      </c>
      <c r="K245" s="54">
        <v>2623</v>
      </c>
      <c r="L245" s="53">
        <v>52</v>
      </c>
      <c r="M245" s="55" t="s">
        <v>18</v>
      </c>
      <c r="N245" s="56" t="s">
        <v>103</v>
      </c>
    </row>
    <row r="246" spans="1:14" x14ac:dyDescent="0.3">
      <c r="A246" s="51" t="s">
        <v>353</v>
      </c>
      <c r="B246" s="52">
        <v>46216</v>
      </c>
      <c r="C246" s="53" t="s">
        <v>19</v>
      </c>
      <c r="D246" s="53" t="s">
        <v>49</v>
      </c>
      <c r="E246" s="53" t="s">
        <v>27</v>
      </c>
      <c r="F246" s="54">
        <v>121335</v>
      </c>
      <c r="G246" s="53" t="s">
        <v>16</v>
      </c>
      <c r="H246" s="54" t="s">
        <v>48</v>
      </c>
      <c r="I246" s="54">
        <v>144700</v>
      </c>
      <c r="J246" s="54">
        <v>112000</v>
      </c>
      <c r="K246" s="54">
        <v>9335</v>
      </c>
      <c r="L246" s="53">
        <v>85</v>
      </c>
      <c r="M246" s="55" t="s">
        <v>24</v>
      </c>
      <c r="N246" s="56" t="s">
        <v>105</v>
      </c>
    </row>
    <row r="247" spans="1:14" hidden="1" x14ac:dyDescent="0.3">
      <c r="A247" s="51" t="s">
        <v>354</v>
      </c>
      <c r="B247" s="52">
        <v>46244</v>
      </c>
      <c r="C247" s="53" t="s">
        <v>13</v>
      </c>
      <c r="D247" s="53" t="s">
        <v>45</v>
      </c>
      <c r="E247" s="53" t="s">
        <v>27</v>
      </c>
      <c r="F247" s="54">
        <v>122356</v>
      </c>
      <c r="G247" s="53" t="s">
        <v>30</v>
      </c>
      <c r="H247" s="54" t="s">
        <v>17</v>
      </c>
      <c r="I247" s="54">
        <v>129800</v>
      </c>
      <c r="J247" s="54">
        <v>61500</v>
      </c>
      <c r="K247" s="54">
        <v>60856</v>
      </c>
      <c r="L247" s="53">
        <v>35</v>
      </c>
      <c r="M247" s="55" t="s">
        <v>18</v>
      </c>
      <c r="N247" s="56" t="s">
        <v>103</v>
      </c>
    </row>
    <row r="248" spans="1:14" hidden="1" x14ac:dyDescent="0.3">
      <c r="A248" s="51" t="s">
        <v>355</v>
      </c>
      <c r="B248" s="52">
        <v>46206</v>
      </c>
      <c r="C248" s="53" t="s">
        <v>13</v>
      </c>
      <c r="D248" s="53" t="s">
        <v>47</v>
      </c>
      <c r="E248" s="53" t="s">
        <v>34</v>
      </c>
      <c r="F248" s="54">
        <v>120944</v>
      </c>
      <c r="G248" s="53" t="s">
        <v>30</v>
      </c>
      <c r="H248" s="54" t="s">
        <v>17</v>
      </c>
      <c r="I248" s="54">
        <v>117900</v>
      </c>
      <c r="J248" s="54">
        <v>63800</v>
      </c>
      <c r="K248" s="54">
        <v>57144</v>
      </c>
      <c r="L248" s="53">
        <v>35</v>
      </c>
      <c r="M248" s="55" t="s">
        <v>18</v>
      </c>
      <c r="N248" s="56" t="s">
        <v>103</v>
      </c>
    </row>
    <row r="249" spans="1:14" hidden="1" x14ac:dyDescent="0.3">
      <c r="A249" s="51" t="s">
        <v>356</v>
      </c>
      <c r="B249" s="52">
        <v>46242</v>
      </c>
      <c r="C249" s="53" t="s">
        <v>13</v>
      </c>
      <c r="D249" s="53" t="s">
        <v>42</v>
      </c>
      <c r="E249" s="53" t="s">
        <v>37</v>
      </c>
      <c r="F249" s="54">
        <v>26456</v>
      </c>
      <c r="G249" s="53" t="s">
        <v>16</v>
      </c>
      <c r="H249" s="54" t="s">
        <v>17</v>
      </c>
      <c r="I249" s="54">
        <v>28500</v>
      </c>
      <c r="J249" s="54">
        <v>24400</v>
      </c>
      <c r="K249" s="54">
        <v>2056</v>
      </c>
      <c r="L249" s="53">
        <v>12</v>
      </c>
      <c r="M249" s="55" t="s">
        <v>41</v>
      </c>
      <c r="N249" s="56" t="s">
        <v>114</v>
      </c>
    </row>
    <row r="250" spans="1:14" hidden="1" x14ac:dyDescent="0.3">
      <c r="A250" s="51" t="s">
        <v>357</v>
      </c>
      <c r="B250" s="52">
        <v>46209</v>
      </c>
      <c r="C250" s="53" t="s">
        <v>32</v>
      </c>
      <c r="D250" s="53" t="s">
        <v>50</v>
      </c>
      <c r="E250" s="53" t="s">
        <v>37</v>
      </c>
      <c r="F250" s="54">
        <v>41367</v>
      </c>
      <c r="G250" s="53" t="s">
        <v>30</v>
      </c>
      <c r="H250" s="54" t="s">
        <v>36</v>
      </c>
      <c r="I250" s="54">
        <v>36900</v>
      </c>
      <c r="J250" s="54">
        <v>33800</v>
      </c>
      <c r="K250" s="54">
        <v>7567</v>
      </c>
      <c r="L250" s="53">
        <v>120</v>
      </c>
      <c r="M250" s="55" t="s">
        <v>31</v>
      </c>
      <c r="N250" s="56" t="s">
        <v>108</v>
      </c>
    </row>
    <row r="251" spans="1:14" hidden="1" x14ac:dyDescent="0.3">
      <c r="A251" s="51" t="s">
        <v>358</v>
      </c>
      <c r="B251" s="52">
        <v>46211</v>
      </c>
      <c r="C251" s="53" t="s">
        <v>32</v>
      </c>
      <c r="D251" s="53" t="s">
        <v>47</v>
      </c>
      <c r="E251" s="53" t="s">
        <v>37</v>
      </c>
      <c r="F251" s="54">
        <v>64624</v>
      </c>
      <c r="G251" s="53" t="s">
        <v>35</v>
      </c>
      <c r="H251" s="54" t="s">
        <v>36</v>
      </c>
      <c r="I251" s="54">
        <v>75000</v>
      </c>
      <c r="J251" s="54">
        <v>57600</v>
      </c>
      <c r="K251" s="54">
        <v>7024</v>
      </c>
      <c r="L251" s="53">
        <v>5</v>
      </c>
      <c r="M251" s="55" t="s">
        <v>41</v>
      </c>
      <c r="N251" s="56" t="s">
        <v>114</v>
      </c>
    </row>
    <row r="252" spans="1:14" hidden="1" x14ac:dyDescent="0.3">
      <c r="A252" s="51" t="s">
        <v>359</v>
      </c>
      <c r="B252" s="52">
        <v>46230</v>
      </c>
      <c r="C252" s="53" t="s">
        <v>25</v>
      </c>
      <c r="D252" s="53" t="s">
        <v>38</v>
      </c>
      <c r="E252" s="53" t="s">
        <v>15</v>
      </c>
      <c r="F252" s="54">
        <v>78008</v>
      </c>
      <c r="G252" s="53" t="s">
        <v>35</v>
      </c>
      <c r="H252" s="54" t="s">
        <v>28</v>
      </c>
      <c r="I252" s="54">
        <v>80000</v>
      </c>
      <c r="J252" s="54">
        <v>43000</v>
      </c>
      <c r="K252" s="54">
        <v>35008</v>
      </c>
      <c r="L252" s="53">
        <v>95</v>
      </c>
      <c r="M252" s="55" t="s">
        <v>31</v>
      </c>
      <c r="N252" s="56" t="s">
        <v>624</v>
      </c>
    </row>
    <row r="253" spans="1:14" hidden="1" x14ac:dyDescent="0.3">
      <c r="A253" s="51" t="s">
        <v>360</v>
      </c>
      <c r="B253" s="52">
        <v>46212</v>
      </c>
      <c r="C253" s="53" t="s">
        <v>13</v>
      </c>
      <c r="D253" s="53" t="s">
        <v>47</v>
      </c>
      <c r="E253" s="53" t="s">
        <v>37</v>
      </c>
      <c r="F253" s="54">
        <v>135926</v>
      </c>
      <c r="G253" s="53" t="s">
        <v>30</v>
      </c>
      <c r="H253" s="54" t="s">
        <v>17</v>
      </c>
      <c r="I253" s="54">
        <v>136900</v>
      </c>
      <c r="J253" s="54">
        <v>101100</v>
      </c>
      <c r="K253" s="54">
        <v>34826</v>
      </c>
      <c r="L253" s="53">
        <v>105</v>
      </c>
      <c r="M253" s="55" t="s">
        <v>31</v>
      </c>
      <c r="N253" s="56" t="s">
        <v>108</v>
      </c>
    </row>
    <row r="254" spans="1:14" hidden="1" x14ac:dyDescent="0.3">
      <c r="A254" s="51" t="s">
        <v>361</v>
      </c>
      <c r="B254" s="52">
        <v>46265</v>
      </c>
      <c r="C254" s="53" t="s">
        <v>13</v>
      </c>
      <c r="D254" s="53" t="s">
        <v>38</v>
      </c>
      <c r="E254" s="53" t="s">
        <v>21</v>
      </c>
      <c r="F254" s="54">
        <v>125395</v>
      </c>
      <c r="G254" s="53" t="s">
        <v>16</v>
      </c>
      <c r="H254" s="54" t="s">
        <v>17</v>
      </c>
      <c r="I254" s="54">
        <v>132300</v>
      </c>
      <c r="J254" s="54">
        <v>100400</v>
      </c>
      <c r="K254" s="54">
        <v>24995</v>
      </c>
      <c r="L254" s="53">
        <v>105</v>
      </c>
      <c r="M254" s="55" t="s">
        <v>31</v>
      </c>
      <c r="N254" s="56" t="s">
        <v>108</v>
      </c>
    </row>
    <row r="255" spans="1:14" x14ac:dyDescent="0.3">
      <c r="A255" s="51" t="s">
        <v>362</v>
      </c>
      <c r="B255" s="52">
        <v>46240</v>
      </c>
      <c r="C255" s="53" t="s">
        <v>19</v>
      </c>
      <c r="D255" s="53" t="s">
        <v>29</v>
      </c>
      <c r="E255" s="53" t="s">
        <v>44</v>
      </c>
      <c r="F255" s="54">
        <v>126492</v>
      </c>
      <c r="G255" s="53" t="s">
        <v>30</v>
      </c>
      <c r="H255" s="54" t="s">
        <v>23</v>
      </c>
      <c r="I255" s="54">
        <v>135200</v>
      </c>
      <c r="J255" s="54">
        <v>99900</v>
      </c>
      <c r="K255" s="54">
        <v>26592</v>
      </c>
      <c r="L255" s="53">
        <v>12</v>
      </c>
      <c r="M255" s="55" t="s">
        <v>41</v>
      </c>
      <c r="N255" s="56" t="s">
        <v>114</v>
      </c>
    </row>
    <row r="256" spans="1:14" x14ac:dyDescent="0.3">
      <c r="A256" s="51" t="s">
        <v>363</v>
      </c>
      <c r="B256" s="52">
        <v>46236</v>
      </c>
      <c r="C256" s="53" t="s">
        <v>19</v>
      </c>
      <c r="D256" s="53" t="s">
        <v>46</v>
      </c>
      <c r="E256" s="53" t="s">
        <v>37</v>
      </c>
      <c r="F256" s="54">
        <v>82240</v>
      </c>
      <c r="G256" s="53" t="s">
        <v>30</v>
      </c>
      <c r="H256" s="54" t="s">
        <v>48</v>
      </c>
      <c r="I256" s="54">
        <v>72000</v>
      </c>
      <c r="J256" s="54">
        <v>53800</v>
      </c>
      <c r="K256" s="54">
        <v>28440</v>
      </c>
      <c r="L256" s="53">
        <v>25</v>
      </c>
      <c r="M256" s="55" t="s">
        <v>41</v>
      </c>
      <c r="N256" s="56" t="s">
        <v>114</v>
      </c>
    </row>
    <row r="257" spans="1:14" hidden="1" x14ac:dyDescent="0.3">
      <c r="A257" s="51" t="s">
        <v>364</v>
      </c>
      <c r="B257" s="52">
        <v>46254</v>
      </c>
      <c r="C257" s="53" t="s">
        <v>25</v>
      </c>
      <c r="D257" s="53" t="s">
        <v>46</v>
      </c>
      <c r="E257" s="53" t="s">
        <v>34</v>
      </c>
      <c r="F257" s="54">
        <v>74315</v>
      </c>
      <c r="G257" s="53" t="s">
        <v>30</v>
      </c>
      <c r="H257" s="54" t="s">
        <v>28</v>
      </c>
      <c r="I257" s="54">
        <v>80900</v>
      </c>
      <c r="J257" s="54">
        <v>34000</v>
      </c>
      <c r="K257" s="54">
        <v>40315</v>
      </c>
      <c r="L257" s="53">
        <v>12</v>
      </c>
      <c r="M257" s="55" t="s">
        <v>41</v>
      </c>
      <c r="N257" s="56" t="s">
        <v>114</v>
      </c>
    </row>
    <row r="258" spans="1:14" hidden="1" x14ac:dyDescent="0.3">
      <c r="A258" s="51" t="s">
        <v>365</v>
      </c>
      <c r="B258" s="52">
        <v>46245</v>
      </c>
      <c r="C258" s="53" t="s">
        <v>13</v>
      </c>
      <c r="D258" s="53" t="s">
        <v>26</v>
      </c>
      <c r="E258" s="53" t="s">
        <v>44</v>
      </c>
      <c r="F258" s="54">
        <v>20756</v>
      </c>
      <c r="G258" s="53" t="s">
        <v>40</v>
      </c>
      <c r="H258" s="54" t="s">
        <v>17</v>
      </c>
      <c r="I258" s="54">
        <v>19400</v>
      </c>
      <c r="J258" s="54">
        <v>15400</v>
      </c>
      <c r="K258" s="54">
        <v>5356</v>
      </c>
      <c r="L258" s="53">
        <v>5</v>
      </c>
      <c r="M258" s="55" t="s">
        <v>41</v>
      </c>
      <c r="N258" s="56" t="s">
        <v>114</v>
      </c>
    </row>
    <row r="259" spans="1:14" hidden="1" x14ac:dyDescent="0.3">
      <c r="A259" s="51" t="s">
        <v>366</v>
      </c>
      <c r="B259" s="52">
        <v>46247</v>
      </c>
      <c r="C259" s="53" t="s">
        <v>13</v>
      </c>
      <c r="D259" s="53" t="s">
        <v>39</v>
      </c>
      <c r="E259" s="53" t="s">
        <v>15</v>
      </c>
      <c r="F259" s="54">
        <v>46378</v>
      </c>
      <c r="G259" s="53" t="s">
        <v>35</v>
      </c>
      <c r="H259" s="54" t="s">
        <v>17</v>
      </c>
      <c r="I259" s="54">
        <v>51000</v>
      </c>
      <c r="J259" s="54">
        <v>26700</v>
      </c>
      <c r="K259" s="54">
        <v>19678</v>
      </c>
      <c r="L259" s="53">
        <v>45</v>
      </c>
      <c r="M259" s="55" t="s">
        <v>18</v>
      </c>
      <c r="N259" s="56" t="s">
        <v>103</v>
      </c>
    </row>
    <row r="260" spans="1:14" x14ac:dyDescent="0.3">
      <c r="A260" s="51" t="s">
        <v>367</v>
      </c>
      <c r="B260" s="52">
        <v>46227</v>
      </c>
      <c r="C260" s="53" t="s">
        <v>19</v>
      </c>
      <c r="D260" s="53" t="s">
        <v>26</v>
      </c>
      <c r="E260" s="53" t="s">
        <v>34</v>
      </c>
      <c r="F260" s="54">
        <v>145327</v>
      </c>
      <c r="G260" s="53" t="s">
        <v>22</v>
      </c>
      <c r="H260" s="54" t="s">
        <v>23</v>
      </c>
      <c r="I260" s="54">
        <v>165400</v>
      </c>
      <c r="J260" s="54">
        <v>98100</v>
      </c>
      <c r="K260" s="54">
        <v>47227</v>
      </c>
      <c r="L260" s="53">
        <v>75</v>
      </c>
      <c r="M260" s="55" t="s">
        <v>24</v>
      </c>
      <c r="N260" s="56" t="s">
        <v>105</v>
      </c>
    </row>
    <row r="261" spans="1:14" hidden="1" x14ac:dyDescent="0.3">
      <c r="A261" s="51" t="s">
        <v>368</v>
      </c>
      <c r="B261" s="52">
        <v>46218</v>
      </c>
      <c r="C261" s="53" t="s">
        <v>25</v>
      </c>
      <c r="D261" s="53" t="s">
        <v>38</v>
      </c>
      <c r="E261" s="53" t="s">
        <v>44</v>
      </c>
      <c r="F261" s="54">
        <v>135703</v>
      </c>
      <c r="G261" s="53" t="s">
        <v>22</v>
      </c>
      <c r="H261" s="54" t="s">
        <v>28</v>
      </c>
      <c r="I261" s="54">
        <v>153500</v>
      </c>
      <c r="J261" s="54">
        <v>126000</v>
      </c>
      <c r="K261" s="54">
        <v>9703</v>
      </c>
      <c r="L261" s="53">
        <v>75</v>
      </c>
      <c r="M261" s="55" t="s">
        <v>24</v>
      </c>
      <c r="N261" s="56" t="s">
        <v>105</v>
      </c>
    </row>
    <row r="262" spans="1:14" hidden="1" x14ac:dyDescent="0.3">
      <c r="A262" s="51" t="s">
        <v>369</v>
      </c>
      <c r="B262" s="52">
        <v>46262</v>
      </c>
      <c r="C262" s="53" t="s">
        <v>25</v>
      </c>
      <c r="D262" s="53" t="s">
        <v>45</v>
      </c>
      <c r="E262" s="53" t="s">
        <v>34</v>
      </c>
      <c r="F262" s="54">
        <v>66549</v>
      </c>
      <c r="G262" s="53" t="s">
        <v>40</v>
      </c>
      <c r="H262" s="54" t="s">
        <v>28</v>
      </c>
      <c r="I262" s="54">
        <v>69400</v>
      </c>
      <c r="J262" s="54">
        <v>43200</v>
      </c>
      <c r="K262" s="54">
        <v>23349</v>
      </c>
      <c r="L262" s="53">
        <v>120</v>
      </c>
      <c r="M262" s="55" t="s">
        <v>31</v>
      </c>
      <c r="N262" s="56" t="s">
        <v>108</v>
      </c>
    </row>
    <row r="263" spans="1:14" hidden="1" x14ac:dyDescent="0.3">
      <c r="A263" s="51" t="s">
        <v>370</v>
      </c>
      <c r="B263" s="52">
        <v>46257</v>
      </c>
      <c r="C263" s="53" t="s">
        <v>13</v>
      </c>
      <c r="D263" s="53" t="s">
        <v>33</v>
      </c>
      <c r="E263" s="53" t="s">
        <v>15</v>
      </c>
      <c r="F263" s="54">
        <v>83794</v>
      </c>
      <c r="G263" s="53" t="s">
        <v>30</v>
      </c>
      <c r="H263" s="54" t="s">
        <v>17</v>
      </c>
      <c r="I263" s="54">
        <v>86500</v>
      </c>
      <c r="J263" s="54">
        <v>72900</v>
      </c>
      <c r="K263" s="54">
        <v>10894</v>
      </c>
      <c r="L263" s="53">
        <v>85</v>
      </c>
      <c r="M263" s="55" t="s">
        <v>24</v>
      </c>
      <c r="N263" s="56" t="s">
        <v>105</v>
      </c>
    </row>
    <row r="264" spans="1:14" hidden="1" x14ac:dyDescent="0.3">
      <c r="A264" s="51" t="s">
        <v>371</v>
      </c>
      <c r="B264" s="52">
        <v>46235</v>
      </c>
      <c r="C264" s="53" t="s">
        <v>13</v>
      </c>
      <c r="D264" s="53" t="s">
        <v>42</v>
      </c>
      <c r="E264" s="53" t="s">
        <v>21</v>
      </c>
      <c r="F264" s="54">
        <v>55113</v>
      </c>
      <c r="G264" s="53" t="s">
        <v>40</v>
      </c>
      <c r="H264" s="54" t="s">
        <v>17</v>
      </c>
      <c r="I264" s="54">
        <v>49600</v>
      </c>
      <c r="J264" s="54">
        <v>30000</v>
      </c>
      <c r="K264" s="54">
        <v>25113</v>
      </c>
      <c r="L264" s="53">
        <v>52</v>
      </c>
      <c r="M264" s="55" t="s">
        <v>18</v>
      </c>
      <c r="N264" s="56" t="s">
        <v>103</v>
      </c>
    </row>
    <row r="265" spans="1:14" hidden="1" x14ac:dyDescent="0.3">
      <c r="A265" s="51" t="s">
        <v>372</v>
      </c>
      <c r="B265" s="52">
        <v>46235</v>
      </c>
      <c r="C265" s="53" t="s">
        <v>13</v>
      </c>
      <c r="D265" s="53" t="s">
        <v>33</v>
      </c>
      <c r="E265" s="53" t="s">
        <v>15</v>
      </c>
      <c r="F265" s="54">
        <v>84069</v>
      </c>
      <c r="G265" s="53" t="s">
        <v>40</v>
      </c>
      <c r="H265" s="54" t="s">
        <v>17</v>
      </c>
      <c r="I265" s="54">
        <v>94300</v>
      </c>
      <c r="J265" s="54">
        <v>66100</v>
      </c>
      <c r="K265" s="54">
        <v>17969</v>
      </c>
      <c r="L265" s="53">
        <v>35</v>
      </c>
      <c r="M265" s="55" t="s">
        <v>18</v>
      </c>
      <c r="N265" s="56" t="s">
        <v>103</v>
      </c>
    </row>
    <row r="266" spans="1:14" hidden="1" x14ac:dyDescent="0.3">
      <c r="A266" s="51" t="s">
        <v>373</v>
      </c>
      <c r="B266" s="52">
        <v>46227</v>
      </c>
      <c r="C266" s="53" t="s">
        <v>25</v>
      </c>
      <c r="D266" s="53" t="s">
        <v>43</v>
      </c>
      <c r="E266" s="53" t="s">
        <v>15</v>
      </c>
      <c r="F266" s="54">
        <v>146321</v>
      </c>
      <c r="G266" s="53" t="s">
        <v>16</v>
      </c>
      <c r="H266" s="54" t="s">
        <v>28</v>
      </c>
      <c r="I266" s="54">
        <v>138300</v>
      </c>
      <c r="J266" s="54">
        <v>137300</v>
      </c>
      <c r="K266" s="54">
        <v>9021</v>
      </c>
      <c r="L266" s="53">
        <v>25</v>
      </c>
      <c r="M266" s="55" t="s">
        <v>41</v>
      </c>
      <c r="N266" s="56" t="s">
        <v>114</v>
      </c>
    </row>
    <row r="267" spans="1:14" hidden="1" x14ac:dyDescent="0.3">
      <c r="A267" s="51" t="s">
        <v>374</v>
      </c>
      <c r="B267" s="52">
        <v>46244</v>
      </c>
      <c r="C267" s="53" t="s">
        <v>25</v>
      </c>
      <c r="D267" s="53" t="s">
        <v>33</v>
      </c>
      <c r="E267" s="53" t="s">
        <v>34</v>
      </c>
      <c r="F267" s="54">
        <v>135541</v>
      </c>
      <c r="G267" s="53" t="s">
        <v>35</v>
      </c>
      <c r="H267" s="54" t="s">
        <v>28</v>
      </c>
      <c r="I267" s="54">
        <v>138800</v>
      </c>
      <c r="J267" s="54">
        <v>67900</v>
      </c>
      <c r="K267" s="54">
        <v>67641</v>
      </c>
      <c r="L267" s="53">
        <v>105</v>
      </c>
      <c r="M267" s="55" t="s">
        <v>31</v>
      </c>
      <c r="N267" s="56" t="s">
        <v>108</v>
      </c>
    </row>
    <row r="268" spans="1:14" x14ac:dyDescent="0.3">
      <c r="A268" s="51" t="s">
        <v>375</v>
      </c>
      <c r="B268" s="52">
        <v>46255</v>
      </c>
      <c r="C268" s="53" t="s">
        <v>19</v>
      </c>
      <c r="D268" s="53" t="s">
        <v>14</v>
      </c>
      <c r="E268" s="53" t="s">
        <v>27</v>
      </c>
      <c r="F268" s="54">
        <v>19686</v>
      </c>
      <c r="G268" s="53" t="s">
        <v>22</v>
      </c>
      <c r="H268" s="54" t="s">
        <v>23</v>
      </c>
      <c r="I268" s="54">
        <v>18700</v>
      </c>
      <c r="J268" s="54">
        <v>8900</v>
      </c>
      <c r="K268" s="54">
        <v>10786</v>
      </c>
      <c r="L268" s="53">
        <v>35</v>
      </c>
      <c r="M268" s="55" t="s">
        <v>18</v>
      </c>
      <c r="N268" s="56" t="s">
        <v>103</v>
      </c>
    </row>
    <row r="269" spans="1:14" x14ac:dyDescent="0.3">
      <c r="A269" s="51" t="s">
        <v>376</v>
      </c>
      <c r="B269" s="52">
        <v>46252</v>
      </c>
      <c r="C269" s="53" t="s">
        <v>19</v>
      </c>
      <c r="D269" s="53" t="s">
        <v>33</v>
      </c>
      <c r="E269" s="53" t="s">
        <v>37</v>
      </c>
      <c r="F269" s="54">
        <v>63363</v>
      </c>
      <c r="G269" s="53" t="s">
        <v>30</v>
      </c>
      <c r="H269" s="54" t="s">
        <v>48</v>
      </c>
      <c r="I269" s="54">
        <v>56800</v>
      </c>
      <c r="J269" s="54">
        <v>42200</v>
      </c>
      <c r="K269" s="54">
        <v>21163</v>
      </c>
      <c r="L269" s="53">
        <v>18</v>
      </c>
      <c r="M269" s="55" t="s">
        <v>41</v>
      </c>
      <c r="N269" s="56" t="s">
        <v>114</v>
      </c>
    </row>
    <row r="270" spans="1:14" hidden="1" x14ac:dyDescent="0.3">
      <c r="A270" s="51" t="s">
        <v>377</v>
      </c>
      <c r="B270" s="52">
        <v>46265</v>
      </c>
      <c r="C270" s="53" t="s">
        <v>13</v>
      </c>
      <c r="D270" s="53" t="s">
        <v>26</v>
      </c>
      <c r="E270" s="53" t="s">
        <v>37</v>
      </c>
      <c r="F270" s="54">
        <v>107543</v>
      </c>
      <c r="G270" s="53" t="s">
        <v>22</v>
      </c>
      <c r="H270" s="54" t="s">
        <v>17</v>
      </c>
      <c r="I270" s="54">
        <v>115100</v>
      </c>
      <c r="J270" s="54">
        <v>53400</v>
      </c>
      <c r="K270" s="54">
        <v>54143</v>
      </c>
      <c r="L270" s="53">
        <v>85</v>
      </c>
      <c r="M270" s="55" t="s">
        <v>24</v>
      </c>
      <c r="N270" s="56" t="s">
        <v>105</v>
      </c>
    </row>
    <row r="271" spans="1:14" hidden="1" x14ac:dyDescent="0.3">
      <c r="A271" s="51" t="s">
        <v>378</v>
      </c>
      <c r="B271" s="52">
        <v>46252</v>
      </c>
      <c r="C271" s="53" t="s">
        <v>13</v>
      </c>
      <c r="D271" s="53" t="s">
        <v>50</v>
      </c>
      <c r="E271" s="53" t="s">
        <v>21</v>
      </c>
      <c r="F271" s="54">
        <v>141733</v>
      </c>
      <c r="G271" s="53" t="s">
        <v>22</v>
      </c>
      <c r="H271" s="54" t="s">
        <v>17</v>
      </c>
      <c r="I271" s="54">
        <v>123200</v>
      </c>
      <c r="J271" s="54">
        <v>116800</v>
      </c>
      <c r="K271" s="54">
        <v>24933</v>
      </c>
      <c r="L271" s="53">
        <v>52</v>
      </c>
      <c r="M271" s="55" t="s">
        <v>18</v>
      </c>
      <c r="N271" s="56" t="s">
        <v>103</v>
      </c>
    </row>
    <row r="272" spans="1:14" hidden="1" x14ac:dyDescent="0.3">
      <c r="A272" s="51" t="s">
        <v>379</v>
      </c>
      <c r="B272" s="52">
        <v>46261</v>
      </c>
      <c r="C272" s="53" t="s">
        <v>13</v>
      </c>
      <c r="D272" s="53" t="s">
        <v>20</v>
      </c>
      <c r="E272" s="53" t="s">
        <v>21</v>
      </c>
      <c r="F272" s="54">
        <v>105673</v>
      </c>
      <c r="G272" s="53" t="s">
        <v>35</v>
      </c>
      <c r="H272" s="54" t="s">
        <v>17</v>
      </c>
      <c r="I272" s="54">
        <v>117500</v>
      </c>
      <c r="J272" s="54">
        <v>95900</v>
      </c>
      <c r="K272" s="54">
        <v>9773</v>
      </c>
      <c r="L272" s="53">
        <v>68</v>
      </c>
      <c r="M272" s="55" t="s">
        <v>24</v>
      </c>
      <c r="N272" s="56" t="s">
        <v>105</v>
      </c>
    </row>
    <row r="273" spans="1:14" hidden="1" x14ac:dyDescent="0.3">
      <c r="A273" s="51" t="s">
        <v>380</v>
      </c>
      <c r="B273" s="52">
        <v>46255</v>
      </c>
      <c r="C273" s="53" t="s">
        <v>13</v>
      </c>
      <c r="D273" s="53" t="s">
        <v>50</v>
      </c>
      <c r="E273" s="53" t="s">
        <v>37</v>
      </c>
      <c r="F273" s="54">
        <v>52828</v>
      </c>
      <c r="G273" s="53" t="s">
        <v>22</v>
      </c>
      <c r="H273" s="54" t="s">
        <v>17</v>
      </c>
      <c r="I273" s="54">
        <v>50800</v>
      </c>
      <c r="J273" s="54">
        <v>35200</v>
      </c>
      <c r="K273" s="54">
        <v>17628</v>
      </c>
      <c r="L273" s="53">
        <v>105</v>
      </c>
      <c r="M273" s="55" t="s">
        <v>31</v>
      </c>
      <c r="N273" s="56" t="s">
        <v>108</v>
      </c>
    </row>
    <row r="274" spans="1:14" hidden="1" x14ac:dyDescent="0.3">
      <c r="A274" s="51" t="s">
        <v>381</v>
      </c>
      <c r="B274" s="52">
        <v>46215</v>
      </c>
      <c r="C274" s="53" t="s">
        <v>25</v>
      </c>
      <c r="D274" s="53" t="s">
        <v>46</v>
      </c>
      <c r="E274" s="53" t="s">
        <v>27</v>
      </c>
      <c r="F274" s="54">
        <v>58604</v>
      </c>
      <c r="G274" s="53" t="s">
        <v>22</v>
      </c>
      <c r="H274" s="54" t="s">
        <v>28</v>
      </c>
      <c r="I274" s="54">
        <v>49800</v>
      </c>
      <c r="J274" s="54">
        <v>34000</v>
      </c>
      <c r="K274" s="54">
        <v>24604</v>
      </c>
      <c r="L274" s="53">
        <v>95</v>
      </c>
      <c r="M274" s="55" t="s">
        <v>31</v>
      </c>
      <c r="N274" s="56" t="s">
        <v>624</v>
      </c>
    </row>
    <row r="275" spans="1:14" hidden="1" x14ac:dyDescent="0.3">
      <c r="A275" s="51" t="s">
        <v>382</v>
      </c>
      <c r="B275" s="52">
        <v>46265</v>
      </c>
      <c r="C275" s="53" t="s">
        <v>32</v>
      </c>
      <c r="D275" s="53" t="s">
        <v>20</v>
      </c>
      <c r="E275" s="53" t="s">
        <v>37</v>
      </c>
      <c r="F275" s="54">
        <v>20526</v>
      </c>
      <c r="G275" s="53" t="s">
        <v>40</v>
      </c>
      <c r="H275" s="54" t="s">
        <v>36</v>
      </c>
      <c r="I275" s="54">
        <v>21100</v>
      </c>
      <c r="J275" s="54">
        <v>13700</v>
      </c>
      <c r="K275" s="54">
        <v>6826</v>
      </c>
      <c r="L275" s="53">
        <v>95</v>
      </c>
      <c r="M275" s="55" t="s">
        <v>31</v>
      </c>
      <c r="N275" s="56" t="s">
        <v>624</v>
      </c>
    </row>
    <row r="276" spans="1:14" hidden="1" x14ac:dyDescent="0.3">
      <c r="A276" s="51" t="s">
        <v>383</v>
      </c>
      <c r="B276" s="52">
        <v>46242</v>
      </c>
      <c r="C276" s="53" t="s">
        <v>13</v>
      </c>
      <c r="D276" s="53" t="s">
        <v>49</v>
      </c>
      <c r="E276" s="53" t="s">
        <v>27</v>
      </c>
      <c r="F276" s="54">
        <v>78910</v>
      </c>
      <c r="G276" s="53" t="s">
        <v>35</v>
      </c>
      <c r="H276" s="54" t="s">
        <v>17</v>
      </c>
      <c r="I276" s="54">
        <v>68400</v>
      </c>
      <c r="J276" s="54">
        <v>64100</v>
      </c>
      <c r="K276" s="54">
        <v>14810</v>
      </c>
      <c r="L276" s="53">
        <v>12</v>
      </c>
      <c r="M276" s="55" t="s">
        <v>41</v>
      </c>
      <c r="N276" s="56" t="s">
        <v>114</v>
      </c>
    </row>
    <row r="277" spans="1:14" hidden="1" x14ac:dyDescent="0.3">
      <c r="A277" s="51" t="s">
        <v>384</v>
      </c>
      <c r="B277" s="52">
        <v>46205</v>
      </c>
      <c r="C277" s="53" t="s">
        <v>13</v>
      </c>
      <c r="D277" s="53" t="s">
        <v>42</v>
      </c>
      <c r="E277" s="53" t="s">
        <v>21</v>
      </c>
      <c r="F277" s="54">
        <v>35592</v>
      </c>
      <c r="G277" s="53" t="s">
        <v>16</v>
      </c>
      <c r="H277" s="54" t="s">
        <v>17</v>
      </c>
      <c r="I277" s="54">
        <v>33700</v>
      </c>
      <c r="J277" s="54">
        <v>16200</v>
      </c>
      <c r="K277" s="54">
        <v>19392</v>
      </c>
      <c r="L277" s="53">
        <v>30</v>
      </c>
      <c r="M277" s="55" t="s">
        <v>41</v>
      </c>
      <c r="N277" s="56" t="s">
        <v>103</v>
      </c>
    </row>
    <row r="278" spans="1:14" x14ac:dyDescent="0.3">
      <c r="A278" s="51" t="s">
        <v>385</v>
      </c>
      <c r="B278" s="52">
        <v>46206</v>
      </c>
      <c r="C278" s="53" t="s">
        <v>19</v>
      </c>
      <c r="D278" s="53" t="s">
        <v>42</v>
      </c>
      <c r="E278" s="53" t="s">
        <v>44</v>
      </c>
      <c r="F278" s="54">
        <v>38982</v>
      </c>
      <c r="G278" s="53" t="s">
        <v>30</v>
      </c>
      <c r="H278" s="54" t="s">
        <v>48</v>
      </c>
      <c r="I278" s="54">
        <v>42800</v>
      </c>
      <c r="J278" s="54">
        <v>29000</v>
      </c>
      <c r="K278" s="54">
        <v>9982</v>
      </c>
      <c r="L278" s="53">
        <v>5</v>
      </c>
      <c r="M278" s="55" t="s">
        <v>41</v>
      </c>
      <c r="N278" s="56" t="s">
        <v>114</v>
      </c>
    </row>
    <row r="279" spans="1:14" hidden="1" x14ac:dyDescent="0.3">
      <c r="A279" s="51" t="s">
        <v>386</v>
      </c>
      <c r="B279" s="52">
        <v>46252</v>
      </c>
      <c r="C279" s="53" t="s">
        <v>25</v>
      </c>
      <c r="D279" s="53" t="s">
        <v>14</v>
      </c>
      <c r="E279" s="53" t="s">
        <v>34</v>
      </c>
      <c r="F279" s="54">
        <v>10207</v>
      </c>
      <c r="G279" s="53" t="s">
        <v>22</v>
      </c>
      <c r="H279" s="54" t="s">
        <v>28</v>
      </c>
      <c r="I279" s="54">
        <v>8900</v>
      </c>
      <c r="J279" s="54">
        <v>7700</v>
      </c>
      <c r="K279" s="54">
        <v>2507</v>
      </c>
      <c r="L279" s="53">
        <v>35</v>
      </c>
      <c r="M279" s="55" t="s">
        <v>18</v>
      </c>
      <c r="N279" s="56" t="s">
        <v>103</v>
      </c>
    </row>
    <row r="280" spans="1:14" x14ac:dyDescent="0.3">
      <c r="A280" s="51" t="s">
        <v>387</v>
      </c>
      <c r="B280" s="52">
        <v>46240</v>
      </c>
      <c r="C280" s="53" t="s">
        <v>19</v>
      </c>
      <c r="D280" s="53" t="s">
        <v>45</v>
      </c>
      <c r="E280" s="53" t="s">
        <v>21</v>
      </c>
      <c r="F280" s="54">
        <v>98733</v>
      </c>
      <c r="G280" s="53" t="s">
        <v>30</v>
      </c>
      <c r="H280" s="54" t="s">
        <v>48</v>
      </c>
      <c r="I280" s="54">
        <v>112900</v>
      </c>
      <c r="J280" s="54">
        <v>75900</v>
      </c>
      <c r="K280" s="54">
        <v>22833</v>
      </c>
      <c r="L280" s="53">
        <v>12</v>
      </c>
      <c r="M280" s="55" t="s">
        <v>41</v>
      </c>
      <c r="N280" s="56" t="s">
        <v>114</v>
      </c>
    </row>
    <row r="281" spans="1:14" hidden="1" x14ac:dyDescent="0.3">
      <c r="A281" s="51" t="s">
        <v>388</v>
      </c>
      <c r="B281" s="52">
        <v>46252</v>
      </c>
      <c r="C281" s="53" t="s">
        <v>13</v>
      </c>
      <c r="D281" s="53" t="s">
        <v>26</v>
      </c>
      <c r="E281" s="53" t="s">
        <v>21</v>
      </c>
      <c r="F281" s="54">
        <v>134982</v>
      </c>
      <c r="G281" s="53" t="s">
        <v>16</v>
      </c>
      <c r="H281" s="54" t="s">
        <v>17</v>
      </c>
      <c r="I281" s="54">
        <v>114900</v>
      </c>
      <c r="J281" s="54">
        <v>77100</v>
      </c>
      <c r="K281" s="54">
        <v>57882</v>
      </c>
      <c r="L281" s="53">
        <v>25</v>
      </c>
      <c r="M281" s="55" t="s">
        <v>41</v>
      </c>
      <c r="N281" s="56" t="s">
        <v>114</v>
      </c>
    </row>
    <row r="282" spans="1:14" hidden="1" x14ac:dyDescent="0.3">
      <c r="A282" s="51" t="s">
        <v>170</v>
      </c>
      <c r="B282" s="52">
        <v>46259</v>
      </c>
      <c r="C282" s="53" t="s">
        <v>32</v>
      </c>
      <c r="D282" s="53" t="s">
        <v>46</v>
      </c>
      <c r="E282" s="53" t="s">
        <v>15</v>
      </c>
      <c r="F282" s="54">
        <v>78619</v>
      </c>
      <c r="G282" s="53" t="s">
        <v>30</v>
      </c>
      <c r="H282" s="54" t="s">
        <v>36</v>
      </c>
      <c r="I282" s="54">
        <v>73600</v>
      </c>
      <c r="J282" s="54">
        <v>63400</v>
      </c>
      <c r="K282" s="54">
        <v>15219</v>
      </c>
      <c r="L282" s="53">
        <v>35</v>
      </c>
      <c r="M282" s="55" t="s">
        <v>18</v>
      </c>
      <c r="N282" s="56" t="s">
        <v>103</v>
      </c>
    </row>
    <row r="283" spans="1:14" x14ac:dyDescent="0.3">
      <c r="A283" s="51" t="s">
        <v>389</v>
      </c>
      <c r="B283" s="52">
        <v>46220</v>
      </c>
      <c r="C283" s="53" t="s">
        <v>19</v>
      </c>
      <c r="D283" s="53" t="s">
        <v>29</v>
      </c>
      <c r="E283" s="53" t="s">
        <v>15</v>
      </c>
      <c r="F283" s="54">
        <v>56479</v>
      </c>
      <c r="G283" s="53" t="s">
        <v>16</v>
      </c>
      <c r="H283" s="54" t="s">
        <v>23</v>
      </c>
      <c r="I283" s="54">
        <v>62700</v>
      </c>
      <c r="J283" s="54">
        <v>28000</v>
      </c>
      <c r="K283" s="54">
        <v>28479</v>
      </c>
      <c r="L283" s="53">
        <v>68</v>
      </c>
      <c r="M283" s="55" t="s">
        <v>24</v>
      </c>
      <c r="N283" s="56" t="s">
        <v>105</v>
      </c>
    </row>
    <row r="284" spans="1:14" hidden="1" x14ac:dyDescent="0.3">
      <c r="A284" s="51" t="s">
        <v>390</v>
      </c>
      <c r="B284" s="52">
        <v>46262</v>
      </c>
      <c r="C284" s="53" t="s">
        <v>32</v>
      </c>
      <c r="D284" s="53" t="s">
        <v>43</v>
      </c>
      <c r="E284" s="53" t="s">
        <v>15</v>
      </c>
      <c r="F284" s="54">
        <v>91437</v>
      </c>
      <c r="G284" s="53" t="s">
        <v>40</v>
      </c>
      <c r="H284" s="54" t="s">
        <v>36</v>
      </c>
      <c r="I284" s="54">
        <v>87800</v>
      </c>
      <c r="J284" s="54">
        <v>50300</v>
      </c>
      <c r="K284" s="54">
        <v>41137</v>
      </c>
      <c r="L284" s="53">
        <v>75</v>
      </c>
      <c r="M284" s="55" t="s">
        <v>24</v>
      </c>
      <c r="N284" s="56" t="s">
        <v>105</v>
      </c>
    </row>
    <row r="285" spans="1:14" hidden="1" x14ac:dyDescent="0.3">
      <c r="A285" s="51" t="s">
        <v>391</v>
      </c>
      <c r="B285" s="52">
        <v>46252</v>
      </c>
      <c r="C285" s="53" t="s">
        <v>32</v>
      </c>
      <c r="D285" s="53" t="s">
        <v>45</v>
      </c>
      <c r="E285" s="53" t="s">
        <v>34</v>
      </c>
      <c r="F285" s="54">
        <v>108540</v>
      </c>
      <c r="G285" s="53" t="s">
        <v>22</v>
      </c>
      <c r="H285" s="54" t="s">
        <v>36</v>
      </c>
      <c r="I285" s="54">
        <v>96100</v>
      </c>
      <c r="J285" s="54">
        <v>96500</v>
      </c>
      <c r="K285" s="54">
        <v>12040</v>
      </c>
      <c r="L285" s="53">
        <v>52</v>
      </c>
      <c r="M285" s="55" t="s">
        <v>18</v>
      </c>
      <c r="N285" s="56" t="s">
        <v>103</v>
      </c>
    </row>
    <row r="286" spans="1:14" hidden="1" x14ac:dyDescent="0.3">
      <c r="A286" s="51" t="s">
        <v>392</v>
      </c>
      <c r="B286" s="52">
        <v>46205</v>
      </c>
      <c r="C286" s="53" t="s">
        <v>25</v>
      </c>
      <c r="D286" s="53" t="s">
        <v>42</v>
      </c>
      <c r="E286" s="53" t="s">
        <v>15</v>
      </c>
      <c r="F286" s="54">
        <v>82982</v>
      </c>
      <c r="G286" s="53" t="s">
        <v>16</v>
      </c>
      <c r="H286" s="54" t="s">
        <v>28</v>
      </c>
      <c r="I286" s="54">
        <v>81000</v>
      </c>
      <c r="J286" s="54">
        <v>68000</v>
      </c>
      <c r="K286" s="54">
        <v>14982</v>
      </c>
      <c r="L286" s="53">
        <v>85</v>
      </c>
      <c r="M286" s="55" t="s">
        <v>24</v>
      </c>
      <c r="N286" s="56" t="s">
        <v>105</v>
      </c>
    </row>
    <row r="287" spans="1:14" x14ac:dyDescent="0.3">
      <c r="A287" s="51" t="s">
        <v>393</v>
      </c>
      <c r="B287" s="52">
        <v>46205</v>
      </c>
      <c r="C287" s="53" t="s">
        <v>19</v>
      </c>
      <c r="D287" s="53" t="s">
        <v>50</v>
      </c>
      <c r="E287" s="53" t="s">
        <v>27</v>
      </c>
      <c r="F287" s="54">
        <v>112747</v>
      </c>
      <c r="G287" s="53" t="s">
        <v>30</v>
      </c>
      <c r="H287" s="54" t="s">
        <v>48</v>
      </c>
      <c r="I287" s="54">
        <v>106500</v>
      </c>
      <c r="J287" s="54">
        <v>51500</v>
      </c>
      <c r="K287" s="54">
        <v>61247</v>
      </c>
      <c r="L287" s="53">
        <v>52</v>
      </c>
      <c r="M287" s="55" t="s">
        <v>18</v>
      </c>
      <c r="N287" s="56" t="s">
        <v>103</v>
      </c>
    </row>
    <row r="288" spans="1:14" hidden="1" x14ac:dyDescent="0.3">
      <c r="A288" s="51" t="s">
        <v>394</v>
      </c>
      <c r="B288" s="52">
        <v>46231</v>
      </c>
      <c r="C288" s="53" t="s">
        <v>32</v>
      </c>
      <c r="D288" s="53" t="s">
        <v>33</v>
      </c>
      <c r="E288" s="53" t="s">
        <v>37</v>
      </c>
      <c r="F288" s="54">
        <v>58231</v>
      </c>
      <c r="G288" s="53" t="s">
        <v>22</v>
      </c>
      <c r="H288" s="54" t="s">
        <v>36</v>
      </c>
      <c r="I288" s="54">
        <v>66700</v>
      </c>
      <c r="J288" s="54">
        <v>33400</v>
      </c>
      <c r="K288" s="54">
        <v>24831</v>
      </c>
      <c r="L288" s="53">
        <v>75</v>
      </c>
      <c r="M288" s="55" t="s">
        <v>24</v>
      </c>
      <c r="N288" s="56" t="s">
        <v>105</v>
      </c>
    </row>
    <row r="289" spans="1:14" hidden="1" x14ac:dyDescent="0.3">
      <c r="A289" s="51" t="s">
        <v>395</v>
      </c>
      <c r="B289" s="52">
        <v>46257</v>
      </c>
      <c r="C289" s="53" t="s">
        <v>25</v>
      </c>
      <c r="D289" s="53" t="s">
        <v>33</v>
      </c>
      <c r="E289" s="53" t="s">
        <v>44</v>
      </c>
      <c r="F289" s="54">
        <v>39301</v>
      </c>
      <c r="G289" s="53" t="s">
        <v>40</v>
      </c>
      <c r="H289" s="54" t="s">
        <v>28</v>
      </c>
      <c r="I289" s="54">
        <v>37700</v>
      </c>
      <c r="J289" s="54">
        <v>21900</v>
      </c>
      <c r="K289" s="54">
        <v>17401</v>
      </c>
      <c r="L289" s="53">
        <v>35</v>
      </c>
      <c r="M289" s="55" t="s">
        <v>18</v>
      </c>
      <c r="N289" s="56" t="s">
        <v>103</v>
      </c>
    </row>
    <row r="290" spans="1:14" hidden="1" x14ac:dyDescent="0.3">
      <c r="A290" s="51" t="s">
        <v>396</v>
      </c>
      <c r="B290" s="52">
        <v>46226</v>
      </c>
      <c r="C290" s="53" t="s">
        <v>32</v>
      </c>
      <c r="D290" s="53" t="s">
        <v>49</v>
      </c>
      <c r="E290" s="53" t="s">
        <v>21</v>
      </c>
      <c r="F290" s="54">
        <v>28752</v>
      </c>
      <c r="G290" s="53" t="s">
        <v>22</v>
      </c>
      <c r="H290" s="54" t="s">
        <v>36</v>
      </c>
      <c r="I290" s="54">
        <v>32400</v>
      </c>
      <c r="J290" s="54">
        <v>16800</v>
      </c>
      <c r="K290" s="54">
        <v>11952</v>
      </c>
      <c r="L290" s="53">
        <v>25</v>
      </c>
      <c r="M290" s="55" t="s">
        <v>41</v>
      </c>
      <c r="N290" s="56" t="s">
        <v>114</v>
      </c>
    </row>
    <row r="291" spans="1:14" hidden="1" x14ac:dyDescent="0.3">
      <c r="A291" s="51" t="s">
        <v>397</v>
      </c>
      <c r="B291" s="52">
        <v>46240</v>
      </c>
      <c r="C291" s="53" t="s">
        <v>25</v>
      </c>
      <c r="D291" s="53" t="s">
        <v>46</v>
      </c>
      <c r="E291" s="53" t="s">
        <v>27</v>
      </c>
      <c r="F291" s="54">
        <v>108452</v>
      </c>
      <c r="G291" s="53" t="s">
        <v>16</v>
      </c>
      <c r="H291" s="54" t="s">
        <v>28</v>
      </c>
      <c r="I291" s="54">
        <v>126000</v>
      </c>
      <c r="J291" s="54">
        <v>62200</v>
      </c>
      <c r="K291" s="54">
        <v>46252</v>
      </c>
      <c r="L291" s="53">
        <v>52</v>
      </c>
      <c r="M291" s="55" t="s">
        <v>18</v>
      </c>
      <c r="N291" s="56" t="s">
        <v>103</v>
      </c>
    </row>
    <row r="292" spans="1:14" hidden="1" x14ac:dyDescent="0.3">
      <c r="A292" s="51" t="s">
        <v>398</v>
      </c>
      <c r="B292" s="52">
        <v>46235</v>
      </c>
      <c r="C292" s="53" t="s">
        <v>13</v>
      </c>
      <c r="D292" s="53" t="s">
        <v>26</v>
      </c>
      <c r="E292" s="53" t="s">
        <v>44</v>
      </c>
      <c r="F292" s="54">
        <v>131237</v>
      </c>
      <c r="G292" s="53" t="s">
        <v>40</v>
      </c>
      <c r="H292" s="54" t="s">
        <v>17</v>
      </c>
      <c r="I292" s="54">
        <v>131500</v>
      </c>
      <c r="J292" s="54">
        <v>63200</v>
      </c>
      <c r="K292" s="54">
        <v>68037</v>
      </c>
      <c r="L292" s="53">
        <v>95</v>
      </c>
      <c r="M292" s="55" t="s">
        <v>31</v>
      </c>
      <c r="N292" s="56" t="s">
        <v>624</v>
      </c>
    </row>
    <row r="293" spans="1:14" hidden="1" x14ac:dyDescent="0.3">
      <c r="A293" s="51" t="s">
        <v>399</v>
      </c>
      <c r="B293" s="52">
        <v>46236</v>
      </c>
      <c r="C293" s="53" t="s">
        <v>25</v>
      </c>
      <c r="D293" s="53" t="s">
        <v>26</v>
      </c>
      <c r="E293" s="53" t="s">
        <v>27</v>
      </c>
      <c r="F293" s="54">
        <v>66273</v>
      </c>
      <c r="G293" s="53" t="s">
        <v>30</v>
      </c>
      <c r="H293" s="54" t="s">
        <v>28</v>
      </c>
      <c r="I293" s="54">
        <v>77400</v>
      </c>
      <c r="J293" s="54">
        <v>45000</v>
      </c>
      <c r="K293" s="54">
        <v>21273</v>
      </c>
      <c r="L293" s="53">
        <v>52</v>
      </c>
      <c r="M293" s="55" t="s">
        <v>18</v>
      </c>
      <c r="N293" s="56" t="s">
        <v>103</v>
      </c>
    </row>
    <row r="294" spans="1:14" hidden="1" x14ac:dyDescent="0.3">
      <c r="A294" s="51" t="s">
        <v>400</v>
      </c>
      <c r="B294" s="52">
        <v>46204</v>
      </c>
      <c r="C294" s="53" t="s">
        <v>25</v>
      </c>
      <c r="D294" s="53" t="s">
        <v>39</v>
      </c>
      <c r="E294" s="53" t="s">
        <v>27</v>
      </c>
      <c r="F294" s="54">
        <v>101878</v>
      </c>
      <c r="G294" s="53" t="s">
        <v>40</v>
      </c>
      <c r="H294" s="54" t="s">
        <v>28</v>
      </c>
      <c r="I294" s="54">
        <v>100100</v>
      </c>
      <c r="J294" s="54">
        <v>83200</v>
      </c>
      <c r="K294" s="54">
        <v>18678</v>
      </c>
      <c r="L294" s="53">
        <v>68</v>
      </c>
      <c r="M294" s="55" t="s">
        <v>24</v>
      </c>
      <c r="N294" s="56" t="s">
        <v>105</v>
      </c>
    </row>
    <row r="295" spans="1:14" hidden="1" x14ac:dyDescent="0.3">
      <c r="A295" s="51" t="s">
        <v>401</v>
      </c>
      <c r="B295" s="52">
        <v>46222</v>
      </c>
      <c r="C295" s="53" t="s">
        <v>13</v>
      </c>
      <c r="D295" s="53" t="s">
        <v>38</v>
      </c>
      <c r="E295" s="53" t="s">
        <v>21</v>
      </c>
      <c r="F295" s="54">
        <v>14895</v>
      </c>
      <c r="G295" s="53" t="s">
        <v>40</v>
      </c>
      <c r="H295" s="54" t="s">
        <v>17</v>
      </c>
      <c r="I295" s="54">
        <v>17700</v>
      </c>
      <c r="J295" s="54">
        <v>11200</v>
      </c>
      <c r="K295" s="54">
        <v>3695</v>
      </c>
      <c r="L295" s="53">
        <v>105</v>
      </c>
      <c r="M295" s="55" t="s">
        <v>31</v>
      </c>
      <c r="N295" s="56" t="s">
        <v>108</v>
      </c>
    </row>
    <row r="296" spans="1:14" hidden="1" x14ac:dyDescent="0.3">
      <c r="A296" s="51" t="s">
        <v>402</v>
      </c>
      <c r="B296" s="52">
        <v>46265</v>
      </c>
      <c r="C296" s="53" t="s">
        <v>25</v>
      </c>
      <c r="D296" s="53" t="s">
        <v>51</v>
      </c>
      <c r="E296" s="53" t="s">
        <v>37</v>
      </c>
      <c r="F296" s="54">
        <v>129968</v>
      </c>
      <c r="G296" s="53" t="s">
        <v>35</v>
      </c>
      <c r="H296" s="54" t="s">
        <v>28</v>
      </c>
      <c r="I296" s="54">
        <v>114500</v>
      </c>
      <c r="J296" s="54">
        <v>102200</v>
      </c>
      <c r="K296" s="54">
        <v>27768</v>
      </c>
      <c r="L296" s="53">
        <v>5</v>
      </c>
      <c r="M296" s="55" t="s">
        <v>41</v>
      </c>
      <c r="N296" s="56" t="s">
        <v>114</v>
      </c>
    </row>
    <row r="297" spans="1:14" x14ac:dyDescent="0.3">
      <c r="A297" s="51" t="s">
        <v>403</v>
      </c>
      <c r="B297" s="52">
        <v>46205</v>
      </c>
      <c r="C297" s="53" t="s">
        <v>19</v>
      </c>
      <c r="D297" s="53" t="s">
        <v>42</v>
      </c>
      <c r="E297" s="53" t="s">
        <v>15</v>
      </c>
      <c r="F297" s="54">
        <v>125700</v>
      </c>
      <c r="G297" s="53" t="s">
        <v>40</v>
      </c>
      <c r="H297" s="54" t="s">
        <v>23</v>
      </c>
      <c r="I297" s="54">
        <v>137100</v>
      </c>
      <c r="J297" s="54">
        <v>61700</v>
      </c>
      <c r="K297" s="54">
        <v>64000</v>
      </c>
      <c r="L297" s="53">
        <v>25</v>
      </c>
      <c r="M297" s="55" t="s">
        <v>41</v>
      </c>
      <c r="N297" s="56" t="s">
        <v>114</v>
      </c>
    </row>
    <row r="298" spans="1:14" x14ac:dyDescent="0.3">
      <c r="A298" s="51" t="s">
        <v>404</v>
      </c>
      <c r="B298" s="52">
        <v>46256</v>
      </c>
      <c r="C298" s="53" t="s">
        <v>19</v>
      </c>
      <c r="D298" s="53" t="s">
        <v>26</v>
      </c>
      <c r="E298" s="53" t="s">
        <v>34</v>
      </c>
      <c r="F298" s="54">
        <v>86559</v>
      </c>
      <c r="G298" s="53" t="s">
        <v>40</v>
      </c>
      <c r="H298" s="54" t="s">
        <v>48</v>
      </c>
      <c r="I298" s="54">
        <v>88500</v>
      </c>
      <c r="J298" s="54">
        <v>80100</v>
      </c>
      <c r="K298" s="54">
        <v>6459</v>
      </c>
      <c r="L298" s="53">
        <v>25</v>
      </c>
      <c r="M298" s="55" t="s">
        <v>41</v>
      </c>
      <c r="N298" s="56" t="s">
        <v>114</v>
      </c>
    </row>
    <row r="299" spans="1:14" hidden="1" x14ac:dyDescent="0.3">
      <c r="A299" s="51" t="s">
        <v>405</v>
      </c>
      <c r="B299" s="52">
        <v>46247</v>
      </c>
      <c r="C299" s="53" t="s">
        <v>32</v>
      </c>
      <c r="D299" s="53" t="s">
        <v>49</v>
      </c>
      <c r="E299" s="53" t="s">
        <v>37</v>
      </c>
      <c r="F299" s="54">
        <v>20699</v>
      </c>
      <c r="G299" s="53" t="s">
        <v>22</v>
      </c>
      <c r="H299" s="54" t="s">
        <v>36</v>
      </c>
      <c r="I299" s="54">
        <v>20400</v>
      </c>
      <c r="J299" s="54">
        <v>18000</v>
      </c>
      <c r="K299" s="54">
        <v>2699</v>
      </c>
      <c r="L299" s="53">
        <v>45</v>
      </c>
      <c r="M299" s="55" t="s">
        <v>18</v>
      </c>
      <c r="N299" s="56" t="s">
        <v>103</v>
      </c>
    </row>
    <row r="300" spans="1:14" hidden="1" x14ac:dyDescent="0.3">
      <c r="A300" s="51" t="s">
        <v>406</v>
      </c>
      <c r="B300" s="52">
        <v>46229</v>
      </c>
      <c r="C300" s="53" t="s">
        <v>32</v>
      </c>
      <c r="D300" s="53" t="s">
        <v>50</v>
      </c>
      <c r="E300" s="53" t="s">
        <v>34</v>
      </c>
      <c r="F300" s="54">
        <v>19715</v>
      </c>
      <c r="G300" s="53" t="s">
        <v>30</v>
      </c>
      <c r="H300" s="54" t="s">
        <v>36</v>
      </c>
      <c r="I300" s="54">
        <v>21100</v>
      </c>
      <c r="J300" s="54">
        <v>16800</v>
      </c>
      <c r="K300" s="54">
        <v>2915</v>
      </c>
      <c r="L300" s="53">
        <v>105</v>
      </c>
      <c r="M300" s="55" t="s">
        <v>31</v>
      </c>
      <c r="N300" s="56" t="s">
        <v>108</v>
      </c>
    </row>
    <row r="301" spans="1:14" hidden="1" x14ac:dyDescent="0.3">
      <c r="A301" s="51" t="s">
        <v>407</v>
      </c>
      <c r="B301" s="52">
        <v>46235</v>
      </c>
      <c r="C301" s="53" t="s">
        <v>32</v>
      </c>
      <c r="D301" s="53" t="s">
        <v>46</v>
      </c>
      <c r="E301" s="53" t="s">
        <v>21</v>
      </c>
      <c r="F301" s="54">
        <v>29169</v>
      </c>
      <c r="G301" s="53" t="s">
        <v>22</v>
      </c>
      <c r="H301" s="54" t="s">
        <v>36</v>
      </c>
      <c r="I301" s="54">
        <v>32000</v>
      </c>
      <c r="J301" s="54">
        <v>25100</v>
      </c>
      <c r="K301" s="54">
        <v>4069</v>
      </c>
      <c r="L301" s="53">
        <v>105</v>
      </c>
      <c r="M301" s="55" t="s">
        <v>31</v>
      </c>
      <c r="N301" s="56" t="s">
        <v>108</v>
      </c>
    </row>
    <row r="302" spans="1:14" x14ac:dyDescent="0.3">
      <c r="A302" s="51" t="s">
        <v>408</v>
      </c>
      <c r="B302" s="52">
        <v>46209</v>
      </c>
      <c r="C302" s="53" t="s">
        <v>19</v>
      </c>
      <c r="D302" s="53" t="s">
        <v>43</v>
      </c>
      <c r="E302" s="53" t="s">
        <v>21</v>
      </c>
      <c r="F302" s="54">
        <v>128413</v>
      </c>
      <c r="G302" s="53" t="s">
        <v>22</v>
      </c>
      <c r="H302" s="54" t="s">
        <v>23</v>
      </c>
      <c r="I302" s="54">
        <v>109300</v>
      </c>
      <c r="J302" s="54">
        <v>117700</v>
      </c>
      <c r="K302" s="54">
        <v>10713</v>
      </c>
      <c r="L302" s="53">
        <v>75</v>
      </c>
      <c r="M302" s="55" t="s">
        <v>24</v>
      </c>
      <c r="N302" s="56" t="s">
        <v>105</v>
      </c>
    </row>
    <row r="303" spans="1:14" x14ac:dyDescent="0.3">
      <c r="A303" s="51" t="s">
        <v>409</v>
      </c>
      <c r="B303" s="52">
        <v>46235</v>
      </c>
      <c r="C303" s="53" t="s">
        <v>19</v>
      </c>
      <c r="D303" s="53" t="s">
        <v>39</v>
      </c>
      <c r="E303" s="53" t="s">
        <v>21</v>
      </c>
      <c r="F303" s="54">
        <v>129264</v>
      </c>
      <c r="G303" s="53" t="s">
        <v>16</v>
      </c>
      <c r="H303" s="54" t="s">
        <v>23</v>
      </c>
      <c r="I303" s="54">
        <v>117400</v>
      </c>
      <c r="J303" s="54">
        <v>93300</v>
      </c>
      <c r="K303" s="54">
        <v>35964</v>
      </c>
      <c r="L303" s="53">
        <v>45</v>
      </c>
      <c r="M303" s="55" t="s">
        <v>18</v>
      </c>
      <c r="N303" s="56" t="s">
        <v>103</v>
      </c>
    </row>
    <row r="304" spans="1:14" x14ac:dyDescent="0.3">
      <c r="A304" s="51" t="s">
        <v>410</v>
      </c>
      <c r="B304" s="52">
        <v>46258</v>
      </c>
      <c r="C304" s="53" t="s">
        <v>19</v>
      </c>
      <c r="D304" s="53" t="s">
        <v>49</v>
      </c>
      <c r="E304" s="53" t="s">
        <v>44</v>
      </c>
      <c r="F304" s="54">
        <v>15782</v>
      </c>
      <c r="G304" s="53" t="s">
        <v>22</v>
      </c>
      <c r="H304" s="54" t="s">
        <v>48</v>
      </c>
      <c r="I304" s="54">
        <v>17400</v>
      </c>
      <c r="J304" s="54">
        <v>8700</v>
      </c>
      <c r="K304" s="54">
        <v>7082</v>
      </c>
      <c r="L304" s="53">
        <v>95</v>
      </c>
      <c r="M304" s="55" t="s">
        <v>31</v>
      </c>
      <c r="N304" s="56" t="s">
        <v>624</v>
      </c>
    </row>
    <row r="305" spans="1:14" hidden="1" x14ac:dyDescent="0.3">
      <c r="A305" s="51" t="s">
        <v>411</v>
      </c>
      <c r="B305" s="52">
        <v>46207</v>
      </c>
      <c r="C305" s="53" t="s">
        <v>25</v>
      </c>
      <c r="D305" s="53" t="s">
        <v>47</v>
      </c>
      <c r="E305" s="53" t="s">
        <v>34</v>
      </c>
      <c r="F305" s="54">
        <v>134481</v>
      </c>
      <c r="G305" s="53" t="s">
        <v>35</v>
      </c>
      <c r="H305" s="54" t="s">
        <v>28</v>
      </c>
      <c r="I305" s="54">
        <v>145700</v>
      </c>
      <c r="J305" s="54">
        <v>102000</v>
      </c>
      <c r="K305" s="54">
        <v>32481</v>
      </c>
      <c r="L305" s="53">
        <v>75</v>
      </c>
      <c r="M305" s="55" t="s">
        <v>24</v>
      </c>
      <c r="N305" s="56" t="s">
        <v>105</v>
      </c>
    </row>
    <row r="306" spans="1:14" hidden="1" x14ac:dyDescent="0.3">
      <c r="A306" s="51" t="s">
        <v>412</v>
      </c>
      <c r="B306" s="52">
        <v>46258</v>
      </c>
      <c r="C306" s="53" t="s">
        <v>25</v>
      </c>
      <c r="D306" s="53" t="s">
        <v>14</v>
      </c>
      <c r="E306" s="53" t="s">
        <v>37</v>
      </c>
      <c r="F306" s="54">
        <v>45585</v>
      </c>
      <c r="G306" s="53" t="s">
        <v>35</v>
      </c>
      <c r="H306" s="54" t="s">
        <v>28</v>
      </c>
      <c r="I306" s="54">
        <v>54200</v>
      </c>
      <c r="J306" s="54">
        <v>37400</v>
      </c>
      <c r="K306" s="54">
        <v>8185</v>
      </c>
      <c r="L306" s="53">
        <v>120</v>
      </c>
      <c r="M306" s="55" t="s">
        <v>31</v>
      </c>
      <c r="N306" s="56" t="s">
        <v>108</v>
      </c>
    </row>
    <row r="307" spans="1:14" hidden="1" x14ac:dyDescent="0.3">
      <c r="A307" s="51" t="s">
        <v>413</v>
      </c>
      <c r="B307" s="52">
        <v>46214</v>
      </c>
      <c r="C307" s="53" t="s">
        <v>25</v>
      </c>
      <c r="D307" s="53" t="s">
        <v>43</v>
      </c>
      <c r="E307" s="53" t="s">
        <v>37</v>
      </c>
      <c r="F307" s="54">
        <v>40682</v>
      </c>
      <c r="G307" s="53" t="s">
        <v>16</v>
      </c>
      <c r="H307" s="54" t="s">
        <v>28</v>
      </c>
      <c r="I307" s="54">
        <v>45400</v>
      </c>
      <c r="J307" s="54">
        <v>33300</v>
      </c>
      <c r="K307" s="54">
        <v>7382</v>
      </c>
      <c r="L307" s="53">
        <v>52</v>
      </c>
      <c r="M307" s="55" t="s">
        <v>18</v>
      </c>
      <c r="N307" s="56" t="s">
        <v>103</v>
      </c>
    </row>
    <row r="308" spans="1:14" hidden="1" x14ac:dyDescent="0.3">
      <c r="A308" s="51" t="s">
        <v>414</v>
      </c>
      <c r="B308" s="52">
        <v>46259</v>
      </c>
      <c r="C308" s="53" t="s">
        <v>25</v>
      </c>
      <c r="D308" s="53" t="s">
        <v>38</v>
      </c>
      <c r="E308" s="53" t="s">
        <v>27</v>
      </c>
      <c r="F308" s="54">
        <v>139992</v>
      </c>
      <c r="G308" s="53" t="s">
        <v>30</v>
      </c>
      <c r="H308" s="54" t="s">
        <v>28</v>
      </c>
      <c r="I308" s="54">
        <v>165600</v>
      </c>
      <c r="J308" s="54">
        <v>99500</v>
      </c>
      <c r="K308" s="54">
        <v>40492</v>
      </c>
      <c r="L308" s="53">
        <v>75</v>
      </c>
      <c r="M308" s="55" t="s">
        <v>24</v>
      </c>
      <c r="N308" s="56" t="s">
        <v>105</v>
      </c>
    </row>
    <row r="309" spans="1:14" hidden="1" x14ac:dyDescent="0.3">
      <c r="A309" s="51" t="s">
        <v>415</v>
      </c>
      <c r="B309" s="52">
        <v>46262</v>
      </c>
      <c r="C309" s="53" t="s">
        <v>13</v>
      </c>
      <c r="D309" s="53" t="s">
        <v>47</v>
      </c>
      <c r="E309" s="53" t="s">
        <v>27</v>
      </c>
      <c r="F309" s="54">
        <v>94416</v>
      </c>
      <c r="G309" s="53" t="s">
        <v>30</v>
      </c>
      <c r="H309" s="54" t="s">
        <v>17</v>
      </c>
      <c r="I309" s="54">
        <v>103500</v>
      </c>
      <c r="J309" s="54">
        <v>45700</v>
      </c>
      <c r="K309" s="54">
        <v>48716</v>
      </c>
      <c r="L309" s="53">
        <v>30</v>
      </c>
      <c r="M309" s="55" t="s">
        <v>41</v>
      </c>
      <c r="N309" s="56" t="s">
        <v>103</v>
      </c>
    </row>
    <row r="310" spans="1:14" hidden="1" x14ac:dyDescent="0.3">
      <c r="A310" s="51" t="s">
        <v>416</v>
      </c>
      <c r="B310" s="52">
        <v>46220</v>
      </c>
      <c r="C310" s="53" t="s">
        <v>25</v>
      </c>
      <c r="D310" s="53" t="s">
        <v>29</v>
      </c>
      <c r="E310" s="53" t="s">
        <v>27</v>
      </c>
      <c r="F310" s="54">
        <v>137810</v>
      </c>
      <c r="G310" s="53" t="s">
        <v>22</v>
      </c>
      <c r="H310" s="54" t="s">
        <v>28</v>
      </c>
      <c r="I310" s="54">
        <v>131500</v>
      </c>
      <c r="J310" s="54">
        <v>87600</v>
      </c>
      <c r="K310" s="54">
        <v>50210</v>
      </c>
      <c r="L310" s="53">
        <v>45</v>
      </c>
      <c r="M310" s="55" t="s">
        <v>18</v>
      </c>
      <c r="N310" s="56" t="s">
        <v>103</v>
      </c>
    </row>
    <row r="311" spans="1:14" hidden="1" x14ac:dyDescent="0.3">
      <c r="A311" s="51" t="s">
        <v>417</v>
      </c>
      <c r="B311" s="52">
        <v>46241</v>
      </c>
      <c r="C311" s="53" t="s">
        <v>25</v>
      </c>
      <c r="D311" s="53" t="s">
        <v>38</v>
      </c>
      <c r="E311" s="53" t="s">
        <v>21</v>
      </c>
      <c r="F311" s="54">
        <v>48067</v>
      </c>
      <c r="G311" s="53" t="s">
        <v>22</v>
      </c>
      <c r="H311" s="54" t="s">
        <v>28</v>
      </c>
      <c r="I311" s="54">
        <v>42600</v>
      </c>
      <c r="J311" s="54">
        <v>43800</v>
      </c>
      <c r="K311" s="54">
        <v>4267</v>
      </c>
      <c r="L311" s="53">
        <v>52</v>
      </c>
      <c r="M311" s="55" t="s">
        <v>18</v>
      </c>
      <c r="N311" s="56" t="s">
        <v>103</v>
      </c>
    </row>
    <row r="312" spans="1:14" hidden="1" x14ac:dyDescent="0.3">
      <c r="A312" s="51" t="s">
        <v>418</v>
      </c>
      <c r="B312" s="52">
        <v>46227</v>
      </c>
      <c r="C312" s="53" t="s">
        <v>32</v>
      </c>
      <c r="D312" s="53" t="s">
        <v>33</v>
      </c>
      <c r="E312" s="53" t="s">
        <v>37</v>
      </c>
      <c r="F312" s="54">
        <v>28073</v>
      </c>
      <c r="G312" s="53" t="s">
        <v>22</v>
      </c>
      <c r="H312" s="54" t="s">
        <v>36</v>
      </c>
      <c r="I312" s="54">
        <v>31500</v>
      </c>
      <c r="J312" s="54">
        <v>20800</v>
      </c>
      <c r="K312" s="54">
        <v>7273</v>
      </c>
      <c r="L312" s="53">
        <v>120</v>
      </c>
      <c r="M312" s="55" t="s">
        <v>31</v>
      </c>
      <c r="N312" s="56" t="s">
        <v>108</v>
      </c>
    </row>
    <row r="313" spans="1:14" hidden="1" x14ac:dyDescent="0.3">
      <c r="A313" s="51" t="s">
        <v>419</v>
      </c>
      <c r="B313" s="52">
        <v>46208</v>
      </c>
      <c r="C313" s="53" t="s">
        <v>25</v>
      </c>
      <c r="D313" s="53" t="s">
        <v>14</v>
      </c>
      <c r="E313" s="53" t="s">
        <v>34</v>
      </c>
      <c r="F313" s="54">
        <v>46035</v>
      </c>
      <c r="G313" s="53" t="s">
        <v>30</v>
      </c>
      <c r="H313" s="54" t="s">
        <v>28</v>
      </c>
      <c r="I313" s="54">
        <v>49500</v>
      </c>
      <c r="J313" s="54">
        <v>33100</v>
      </c>
      <c r="K313" s="54">
        <v>12935</v>
      </c>
      <c r="L313" s="53">
        <v>60</v>
      </c>
      <c r="M313" s="55" t="s">
        <v>18</v>
      </c>
      <c r="N313" s="56" t="s">
        <v>103</v>
      </c>
    </row>
    <row r="314" spans="1:14" hidden="1" x14ac:dyDescent="0.3">
      <c r="A314" s="51" t="s">
        <v>420</v>
      </c>
      <c r="B314" s="52">
        <v>46255</v>
      </c>
      <c r="C314" s="53" t="s">
        <v>32</v>
      </c>
      <c r="D314" s="53" t="s">
        <v>42</v>
      </c>
      <c r="E314" s="53" t="s">
        <v>21</v>
      </c>
      <c r="F314" s="54">
        <v>100373</v>
      </c>
      <c r="G314" s="53" t="s">
        <v>40</v>
      </c>
      <c r="H314" s="54" t="s">
        <v>36</v>
      </c>
      <c r="I314" s="54">
        <v>87000</v>
      </c>
      <c r="J314" s="54">
        <v>58700</v>
      </c>
      <c r="K314" s="54">
        <v>41673</v>
      </c>
      <c r="L314" s="53">
        <v>18</v>
      </c>
      <c r="M314" s="55" t="s">
        <v>41</v>
      </c>
      <c r="N314" s="56" t="s">
        <v>114</v>
      </c>
    </row>
    <row r="315" spans="1:14" hidden="1" x14ac:dyDescent="0.3">
      <c r="A315" s="51" t="s">
        <v>421</v>
      </c>
      <c r="B315" s="52">
        <v>46237</v>
      </c>
      <c r="C315" s="53" t="s">
        <v>13</v>
      </c>
      <c r="D315" s="53" t="s">
        <v>50</v>
      </c>
      <c r="E315" s="53" t="s">
        <v>44</v>
      </c>
      <c r="F315" s="54">
        <v>93362</v>
      </c>
      <c r="G315" s="53" t="s">
        <v>35</v>
      </c>
      <c r="H315" s="54" t="s">
        <v>17</v>
      </c>
      <c r="I315" s="54">
        <v>91100</v>
      </c>
      <c r="J315" s="54">
        <v>59200</v>
      </c>
      <c r="K315" s="54">
        <v>34162</v>
      </c>
      <c r="L315" s="53">
        <v>18</v>
      </c>
      <c r="M315" s="55" t="s">
        <v>41</v>
      </c>
      <c r="N315" s="56" t="s">
        <v>114</v>
      </c>
    </row>
    <row r="316" spans="1:14" hidden="1" x14ac:dyDescent="0.3">
      <c r="A316" s="51" t="s">
        <v>422</v>
      </c>
      <c r="B316" s="52">
        <v>46209</v>
      </c>
      <c r="C316" s="53" t="s">
        <v>13</v>
      </c>
      <c r="D316" s="53" t="s">
        <v>14</v>
      </c>
      <c r="E316" s="53" t="s">
        <v>27</v>
      </c>
      <c r="F316" s="54">
        <v>100517</v>
      </c>
      <c r="G316" s="53" t="s">
        <v>40</v>
      </c>
      <c r="H316" s="54" t="s">
        <v>17</v>
      </c>
      <c r="I316" s="54">
        <v>119100</v>
      </c>
      <c r="J316" s="54">
        <v>90200</v>
      </c>
      <c r="K316" s="54">
        <v>10317</v>
      </c>
      <c r="L316" s="53">
        <v>25</v>
      </c>
      <c r="M316" s="55" t="s">
        <v>41</v>
      </c>
      <c r="N316" s="56" t="s">
        <v>114</v>
      </c>
    </row>
    <row r="317" spans="1:14" x14ac:dyDescent="0.3">
      <c r="A317" s="51" t="s">
        <v>424</v>
      </c>
      <c r="B317" s="52">
        <v>46225</v>
      </c>
      <c r="C317" s="53" t="s">
        <v>19</v>
      </c>
      <c r="D317" s="53" t="s">
        <v>38</v>
      </c>
      <c r="E317" s="53" t="s">
        <v>21</v>
      </c>
      <c r="F317" s="54">
        <v>75450</v>
      </c>
      <c r="G317" s="53" t="s">
        <v>40</v>
      </c>
      <c r="H317" s="54" t="s">
        <v>23</v>
      </c>
      <c r="I317" s="54">
        <v>77300</v>
      </c>
      <c r="J317" s="54">
        <v>59100</v>
      </c>
      <c r="K317" s="54">
        <v>16350</v>
      </c>
      <c r="L317" s="53">
        <v>30</v>
      </c>
      <c r="M317" s="55" t="s">
        <v>41</v>
      </c>
      <c r="N317" s="56" t="s">
        <v>103</v>
      </c>
    </row>
    <row r="318" spans="1:14" hidden="1" x14ac:dyDescent="0.3">
      <c r="A318" s="51" t="s">
        <v>423</v>
      </c>
      <c r="B318" s="52">
        <v>46214</v>
      </c>
      <c r="C318" s="53" t="s">
        <v>13</v>
      </c>
      <c r="D318" s="53" t="s">
        <v>51</v>
      </c>
      <c r="E318" s="53" t="s">
        <v>21</v>
      </c>
      <c r="F318" s="54">
        <v>20382</v>
      </c>
      <c r="G318" s="53" t="s">
        <v>30</v>
      </c>
      <c r="H318" s="54" t="s">
        <v>17</v>
      </c>
      <c r="I318" s="54">
        <v>20400</v>
      </c>
      <c r="J318" s="54">
        <v>17200</v>
      </c>
      <c r="K318" s="54">
        <v>3182</v>
      </c>
      <c r="L318" s="53">
        <v>68</v>
      </c>
      <c r="M318" s="55" t="s">
        <v>24</v>
      </c>
      <c r="N318" s="56" t="s">
        <v>105</v>
      </c>
    </row>
    <row r="319" spans="1:14" hidden="1" x14ac:dyDescent="0.3">
      <c r="A319" s="51" t="s">
        <v>425</v>
      </c>
      <c r="B319" s="52">
        <v>46251</v>
      </c>
      <c r="C319" s="53" t="s">
        <v>25</v>
      </c>
      <c r="D319" s="53" t="s">
        <v>47</v>
      </c>
      <c r="E319" s="53" t="s">
        <v>44</v>
      </c>
      <c r="F319" s="54">
        <v>145509</v>
      </c>
      <c r="G319" s="53" t="s">
        <v>40</v>
      </c>
      <c r="H319" s="54" t="s">
        <v>28</v>
      </c>
      <c r="I319" s="54">
        <v>147000</v>
      </c>
      <c r="J319" s="54">
        <v>98500</v>
      </c>
      <c r="K319" s="54">
        <v>47009</v>
      </c>
      <c r="L319" s="53">
        <v>5</v>
      </c>
      <c r="M319" s="55" t="s">
        <v>41</v>
      </c>
      <c r="N319" s="56" t="s">
        <v>114</v>
      </c>
    </row>
    <row r="320" spans="1:14" x14ac:dyDescent="0.3">
      <c r="A320" s="51" t="s">
        <v>426</v>
      </c>
      <c r="B320" s="52">
        <v>46219</v>
      </c>
      <c r="C320" s="53" t="s">
        <v>19</v>
      </c>
      <c r="D320" s="53" t="s">
        <v>42</v>
      </c>
      <c r="E320" s="53" t="s">
        <v>15</v>
      </c>
      <c r="F320" s="54">
        <v>71929</v>
      </c>
      <c r="G320" s="53" t="s">
        <v>16</v>
      </c>
      <c r="H320" s="54" t="s">
        <v>23</v>
      </c>
      <c r="I320" s="54">
        <v>66400</v>
      </c>
      <c r="J320" s="54">
        <v>55000</v>
      </c>
      <c r="K320" s="54">
        <v>16929</v>
      </c>
      <c r="L320" s="53">
        <v>120</v>
      </c>
      <c r="M320" s="55" t="s">
        <v>31</v>
      </c>
      <c r="N320" s="56" t="s">
        <v>108</v>
      </c>
    </row>
    <row r="321" spans="1:14" hidden="1" x14ac:dyDescent="0.3">
      <c r="A321" s="51" t="s">
        <v>427</v>
      </c>
      <c r="B321" s="52">
        <v>46236</v>
      </c>
      <c r="C321" s="53" t="s">
        <v>25</v>
      </c>
      <c r="D321" s="53" t="s">
        <v>20</v>
      </c>
      <c r="E321" s="53" t="s">
        <v>37</v>
      </c>
      <c r="F321" s="54">
        <v>108864</v>
      </c>
      <c r="G321" s="53" t="s">
        <v>22</v>
      </c>
      <c r="H321" s="54" t="s">
        <v>28</v>
      </c>
      <c r="I321" s="54">
        <v>106600</v>
      </c>
      <c r="J321" s="54">
        <v>62500</v>
      </c>
      <c r="K321" s="54">
        <v>46364</v>
      </c>
      <c r="L321" s="53">
        <v>120</v>
      </c>
      <c r="M321" s="55" t="s">
        <v>31</v>
      </c>
      <c r="N321" s="56" t="s">
        <v>108</v>
      </c>
    </row>
    <row r="322" spans="1:14" hidden="1" x14ac:dyDescent="0.3">
      <c r="A322" s="51" t="s">
        <v>428</v>
      </c>
      <c r="B322" s="52">
        <v>46212</v>
      </c>
      <c r="C322" s="53" t="s">
        <v>13</v>
      </c>
      <c r="D322" s="53" t="s">
        <v>51</v>
      </c>
      <c r="E322" s="53" t="s">
        <v>34</v>
      </c>
      <c r="F322" s="54">
        <v>35169</v>
      </c>
      <c r="G322" s="53" t="s">
        <v>16</v>
      </c>
      <c r="H322" s="54" t="s">
        <v>17</v>
      </c>
      <c r="I322" s="54">
        <v>34400</v>
      </c>
      <c r="J322" s="54">
        <v>28200</v>
      </c>
      <c r="K322" s="54">
        <v>6969</v>
      </c>
      <c r="L322" s="53">
        <v>45</v>
      </c>
      <c r="M322" s="55" t="s">
        <v>18</v>
      </c>
      <c r="N322" s="56" t="s">
        <v>103</v>
      </c>
    </row>
    <row r="323" spans="1:14" hidden="1" x14ac:dyDescent="0.3">
      <c r="A323" s="51" t="s">
        <v>429</v>
      </c>
      <c r="B323" s="52">
        <v>46263</v>
      </c>
      <c r="C323" s="53" t="s">
        <v>25</v>
      </c>
      <c r="D323" s="53" t="s">
        <v>33</v>
      </c>
      <c r="E323" s="53" t="s">
        <v>15</v>
      </c>
      <c r="F323" s="54">
        <v>97468</v>
      </c>
      <c r="G323" s="53" t="s">
        <v>35</v>
      </c>
      <c r="H323" s="54" t="s">
        <v>28</v>
      </c>
      <c r="I323" s="54">
        <v>84600</v>
      </c>
      <c r="J323" s="54">
        <v>64700</v>
      </c>
      <c r="K323" s="54">
        <v>32768</v>
      </c>
      <c r="L323" s="53">
        <v>60</v>
      </c>
      <c r="M323" s="55" t="s">
        <v>18</v>
      </c>
      <c r="N323" s="56" t="s">
        <v>103</v>
      </c>
    </row>
    <row r="324" spans="1:14" hidden="1" x14ac:dyDescent="0.3">
      <c r="A324" s="51" t="s">
        <v>430</v>
      </c>
      <c r="B324" s="52">
        <v>46262</v>
      </c>
      <c r="C324" s="53" t="s">
        <v>25</v>
      </c>
      <c r="D324" s="53" t="s">
        <v>51</v>
      </c>
      <c r="E324" s="53" t="s">
        <v>27</v>
      </c>
      <c r="F324" s="54">
        <v>44594</v>
      </c>
      <c r="G324" s="53" t="s">
        <v>22</v>
      </c>
      <c r="H324" s="54" t="s">
        <v>28</v>
      </c>
      <c r="I324" s="54">
        <v>49900</v>
      </c>
      <c r="J324" s="54">
        <v>29900</v>
      </c>
      <c r="K324" s="54">
        <v>14694</v>
      </c>
      <c r="L324" s="53">
        <v>52</v>
      </c>
      <c r="M324" s="55" t="s">
        <v>18</v>
      </c>
      <c r="N324" s="56" t="s">
        <v>103</v>
      </c>
    </row>
    <row r="325" spans="1:14" hidden="1" x14ac:dyDescent="0.3">
      <c r="A325" s="51" t="s">
        <v>431</v>
      </c>
      <c r="B325" s="52">
        <v>46209</v>
      </c>
      <c r="C325" s="53" t="s">
        <v>32</v>
      </c>
      <c r="D325" s="53" t="s">
        <v>39</v>
      </c>
      <c r="E325" s="53" t="s">
        <v>21</v>
      </c>
      <c r="F325" s="54">
        <v>55033</v>
      </c>
      <c r="G325" s="53" t="s">
        <v>40</v>
      </c>
      <c r="H325" s="54" t="s">
        <v>36</v>
      </c>
      <c r="I325" s="54">
        <v>54800</v>
      </c>
      <c r="J325" s="54">
        <v>42600</v>
      </c>
      <c r="K325" s="54">
        <v>12433</v>
      </c>
      <c r="L325" s="53">
        <v>120</v>
      </c>
      <c r="M325" s="55" t="s">
        <v>31</v>
      </c>
      <c r="N325" s="56" t="s">
        <v>108</v>
      </c>
    </row>
    <row r="326" spans="1:14" x14ac:dyDescent="0.3">
      <c r="A326" s="51" t="s">
        <v>432</v>
      </c>
      <c r="B326" s="52">
        <v>46219</v>
      </c>
      <c r="C326" s="53" t="s">
        <v>19</v>
      </c>
      <c r="D326" s="53" t="s">
        <v>39</v>
      </c>
      <c r="E326" s="53" t="s">
        <v>44</v>
      </c>
      <c r="F326" s="54">
        <v>73133</v>
      </c>
      <c r="G326" s="53" t="s">
        <v>35</v>
      </c>
      <c r="H326" s="54" t="s">
        <v>48</v>
      </c>
      <c r="I326" s="54">
        <v>83200</v>
      </c>
      <c r="J326" s="54">
        <v>67100</v>
      </c>
      <c r="K326" s="54">
        <v>6033</v>
      </c>
      <c r="L326" s="53">
        <v>120</v>
      </c>
      <c r="M326" s="55" t="s">
        <v>31</v>
      </c>
      <c r="N326" s="56" t="s">
        <v>108</v>
      </c>
    </row>
    <row r="327" spans="1:14" x14ac:dyDescent="0.3">
      <c r="A327" s="51" t="s">
        <v>433</v>
      </c>
      <c r="B327" s="52">
        <v>46232</v>
      </c>
      <c r="C327" s="53" t="s">
        <v>19</v>
      </c>
      <c r="D327" s="53" t="s">
        <v>29</v>
      </c>
      <c r="E327" s="53" t="s">
        <v>44</v>
      </c>
      <c r="F327" s="54">
        <v>83861</v>
      </c>
      <c r="G327" s="53" t="s">
        <v>22</v>
      </c>
      <c r="H327" s="54" t="s">
        <v>23</v>
      </c>
      <c r="I327" s="54">
        <v>96200</v>
      </c>
      <c r="J327" s="54">
        <v>40400</v>
      </c>
      <c r="K327" s="54">
        <v>43461</v>
      </c>
      <c r="L327" s="53">
        <v>30</v>
      </c>
      <c r="M327" s="55" t="s">
        <v>41</v>
      </c>
      <c r="N327" s="56" t="s">
        <v>103</v>
      </c>
    </row>
    <row r="328" spans="1:14" x14ac:dyDescent="0.3">
      <c r="A328" s="51" t="s">
        <v>434</v>
      </c>
      <c r="B328" s="52">
        <v>46206</v>
      </c>
      <c r="C328" s="53" t="s">
        <v>19</v>
      </c>
      <c r="D328" s="53" t="s">
        <v>38</v>
      </c>
      <c r="E328" s="53" t="s">
        <v>37</v>
      </c>
      <c r="F328" s="54">
        <v>41750</v>
      </c>
      <c r="G328" s="53" t="s">
        <v>40</v>
      </c>
      <c r="H328" s="54" t="s">
        <v>48</v>
      </c>
      <c r="I328" s="54">
        <v>38600</v>
      </c>
      <c r="J328" s="54">
        <v>36000</v>
      </c>
      <c r="K328" s="54">
        <v>5750</v>
      </c>
      <c r="L328" s="53">
        <v>105</v>
      </c>
      <c r="M328" s="55" t="s">
        <v>31</v>
      </c>
      <c r="N328" s="56" t="s">
        <v>108</v>
      </c>
    </row>
    <row r="329" spans="1:14" x14ac:dyDescent="0.3">
      <c r="A329" s="51" t="s">
        <v>435</v>
      </c>
      <c r="B329" s="52">
        <v>46223</v>
      </c>
      <c r="C329" s="53" t="s">
        <v>19</v>
      </c>
      <c r="D329" s="53" t="s">
        <v>46</v>
      </c>
      <c r="E329" s="53" t="s">
        <v>15</v>
      </c>
      <c r="F329" s="54">
        <v>50461</v>
      </c>
      <c r="G329" s="53" t="s">
        <v>16</v>
      </c>
      <c r="H329" s="54" t="s">
        <v>48</v>
      </c>
      <c r="I329" s="54">
        <v>54500</v>
      </c>
      <c r="J329" s="54">
        <v>30100</v>
      </c>
      <c r="K329" s="54">
        <v>20361</v>
      </c>
      <c r="L329" s="53">
        <v>105</v>
      </c>
      <c r="M329" s="55" t="s">
        <v>31</v>
      </c>
      <c r="N329" s="56" t="s">
        <v>108</v>
      </c>
    </row>
    <row r="330" spans="1:14" x14ac:dyDescent="0.3">
      <c r="A330" s="51" t="s">
        <v>436</v>
      </c>
      <c r="B330" s="52">
        <v>46263</v>
      </c>
      <c r="C330" s="53" t="s">
        <v>19</v>
      </c>
      <c r="D330" s="53" t="s">
        <v>43</v>
      </c>
      <c r="E330" s="53" t="s">
        <v>37</v>
      </c>
      <c r="F330" s="54">
        <v>88222</v>
      </c>
      <c r="G330" s="53" t="s">
        <v>22</v>
      </c>
      <c r="H330" s="54" t="s">
        <v>48</v>
      </c>
      <c r="I330" s="54">
        <v>89600</v>
      </c>
      <c r="J330" s="54">
        <v>59300</v>
      </c>
      <c r="K330" s="54">
        <v>28922</v>
      </c>
      <c r="L330" s="53">
        <v>25</v>
      </c>
      <c r="M330" s="55" t="s">
        <v>41</v>
      </c>
      <c r="N330" s="56" t="s">
        <v>114</v>
      </c>
    </row>
    <row r="331" spans="1:14" x14ac:dyDescent="0.3">
      <c r="A331" s="51" t="s">
        <v>437</v>
      </c>
      <c r="B331" s="52">
        <v>46262</v>
      </c>
      <c r="C331" s="53" t="s">
        <v>19</v>
      </c>
      <c r="D331" s="53" t="s">
        <v>43</v>
      </c>
      <c r="E331" s="53" t="s">
        <v>21</v>
      </c>
      <c r="F331" s="54">
        <v>122020</v>
      </c>
      <c r="G331" s="53" t="s">
        <v>40</v>
      </c>
      <c r="H331" s="54" t="s">
        <v>48</v>
      </c>
      <c r="I331" s="54">
        <v>141300</v>
      </c>
      <c r="J331" s="54">
        <v>56200</v>
      </c>
      <c r="K331" s="54">
        <v>65820</v>
      </c>
      <c r="L331" s="53">
        <v>85</v>
      </c>
      <c r="M331" s="55" t="s">
        <v>24</v>
      </c>
      <c r="N331" s="56" t="s">
        <v>105</v>
      </c>
    </row>
    <row r="332" spans="1:14" hidden="1" x14ac:dyDescent="0.3">
      <c r="A332" s="51" t="s">
        <v>438</v>
      </c>
      <c r="B332" s="52">
        <v>46239</v>
      </c>
      <c r="C332" s="53" t="s">
        <v>32</v>
      </c>
      <c r="D332" s="53" t="s">
        <v>20</v>
      </c>
      <c r="E332" s="53" t="s">
        <v>37</v>
      </c>
      <c r="F332" s="54">
        <v>34226</v>
      </c>
      <c r="G332" s="53" t="s">
        <v>16</v>
      </c>
      <c r="H332" s="54" t="s">
        <v>36</v>
      </c>
      <c r="I332" s="54">
        <v>31700</v>
      </c>
      <c r="J332" s="54">
        <v>20600</v>
      </c>
      <c r="K332" s="54">
        <v>13626</v>
      </c>
      <c r="L332" s="53">
        <v>45</v>
      </c>
      <c r="M332" s="55" t="s">
        <v>18</v>
      </c>
      <c r="N332" s="56" t="s">
        <v>103</v>
      </c>
    </row>
    <row r="333" spans="1:14" x14ac:dyDescent="0.3">
      <c r="A333" s="51" t="s">
        <v>439</v>
      </c>
      <c r="B333" s="52">
        <v>46222</v>
      </c>
      <c r="C333" s="53" t="s">
        <v>19</v>
      </c>
      <c r="D333" s="53" t="s">
        <v>20</v>
      </c>
      <c r="E333" s="53" t="s">
        <v>34</v>
      </c>
      <c r="F333" s="54">
        <v>16721</v>
      </c>
      <c r="G333" s="53" t="s">
        <v>35</v>
      </c>
      <c r="H333" s="54" t="s">
        <v>23</v>
      </c>
      <c r="I333" s="54">
        <v>18200</v>
      </c>
      <c r="J333" s="54">
        <v>11700</v>
      </c>
      <c r="K333" s="54">
        <v>5021</v>
      </c>
      <c r="L333" s="53">
        <v>30</v>
      </c>
      <c r="M333" s="55" t="s">
        <v>41</v>
      </c>
      <c r="N333" s="56" t="s">
        <v>103</v>
      </c>
    </row>
    <row r="334" spans="1:14" hidden="1" x14ac:dyDescent="0.3">
      <c r="A334" s="51" t="s">
        <v>440</v>
      </c>
      <c r="B334" s="52">
        <v>46229</v>
      </c>
      <c r="C334" s="53" t="s">
        <v>25</v>
      </c>
      <c r="D334" s="53" t="s">
        <v>42</v>
      </c>
      <c r="E334" s="53" t="s">
        <v>44</v>
      </c>
      <c r="F334" s="54">
        <v>30609</v>
      </c>
      <c r="G334" s="53" t="s">
        <v>35</v>
      </c>
      <c r="H334" s="54" t="s">
        <v>28</v>
      </c>
      <c r="I334" s="54">
        <v>32500</v>
      </c>
      <c r="J334" s="54">
        <v>14600</v>
      </c>
      <c r="K334" s="54">
        <v>16009</v>
      </c>
      <c r="L334" s="53">
        <v>45</v>
      </c>
      <c r="M334" s="55" t="s">
        <v>18</v>
      </c>
      <c r="N334" s="56" t="s">
        <v>103</v>
      </c>
    </row>
    <row r="335" spans="1:14" hidden="1" x14ac:dyDescent="0.3">
      <c r="A335" s="51" t="s">
        <v>441</v>
      </c>
      <c r="B335" s="52">
        <v>46206</v>
      </c>
      <c r="C335" s="53" t="s">
        <v>13</v>
      </c>
      <c r="D335" s="53" t="s">
        <v>33</v>
      </c>
      <c r="E335" s="53" t="s">
        <v>44</v>
      </c>
      <c r="F335" s="54">
        <v>140513</v>
      </c>
      <c r="G335" s="53" t="s">
        <v>35</v>
      </c>
      <c r="H335" s="54" t="s">
        <v>17</v>
      </c>
      <c r="I335" s="54">
        <v>134000</v>
      </c>
      <c r="J335" s="54">
        <v>97700</v>
      </c>
      <c r="K335" s="54">
        <v>42813</v>
      </c>
      <c r="L335" s="53">
        <v>85</v>
      </c>
      <c r="M335" s="55" t="s">
        <v>24</v>
      </c>
      <c r="N335" s="56" t="s">
        <v>105</v>
      </c>
    </row>
    <row r="336" spans="1:14" hidden="1" x14ac:dyDescent="0.3">
      <c r="A336" s="51" t="s">
        <v>442</v>
      </c>
      <c r="B336" s="52">
        <v>46222</v>
      </c>
      <c r="C336" s="53" t="s">
        <v>25</v>
      </c>
      <c r="D336" s="53" t="s">
        <v>26</v>
      </c>
      <c r="E336" s="53" t="s">
        <v>27</v>
      </c>
      <c r="F336" s="54">
        <v>114211</v>
      </c>
      <c r="G336" s="53" t="s">
        <v>35</v>
      </c>
      <c r="H336" s="54" t="s">
        <v>28</v>
      </c>
      <c r="I336" s="54">
        <v>102500</v>
      </c>
      <c r="J336" s="54">
        <v>104300</v>
      </c>
      <c r="K336" s="54">
        <v>9911</v>
      </c>
      <c r="L336" s="53">
        <v>5</v>
      </c>
      <c r="M336" s="55" t="s">
        <v>41</v>
      </c>
      <c r="N336" s="56" t="s">
        <v>114</v>
      </c>
    </row>
    <row r="337" spans="1:14" hidden="1" x14ac:dyDescent="0.3">
      <c r="A337" s="51" t="s">
        <v>443</v>
      </c>
      <c r="B337" s="52">
        <v>46223</v>
      </c>
      <c r="C337" s="53" t="s">
        <v>32</v>
      </c>
      <c r="D337" s="53" t="s">
        <v>29</v>
      </c>
      <c r="E337" s="53" t="s">
        <v>27</v>
      </c>
      <c r="F337" s="54">
        <v>146728</v>
      </c>
      <c r="G337" s="53" t="s">
        <v>30</v>
      </c>
      <c r="H337" s="54" t="s">
        <v>36</v>
      </c>
      <c r="I337" s="54">
        <v>158200</v>
      </c>
      <c r="J337" s="54">
        <v>73800</v>
      </c>
      <c r="K337" s="54">
        <v>72928</v>
      </c>
      <c r="L337" s="53">
        <v>5</v>
      </c>
      <c r="M337" s="55" t="s">
        <v>41</v>
      </c>
      <c r="N337" s="56" t="s">
        <v>114</v>
      </c>
    </row>
    <row r="338" spans="1:14" x14ac:dyDescent="0.3">
      <c r="A338" s="51" t="s">
        <v>444</v>
      </c>
      <c r="B338" s="52">
        <v>46235</v>
      </c>
      <c r="C338" s="53" t="s">
        <v>19</v>
      </c>
      <c r="D338" s="53" t="s">
        <v>39</v>
      </c>
      <c r="E338" s="53" t="s">
        <v>21</v>
      </c>
      <c r="F338" s="54">
        <v>134865</v>
      </c>
      <c r="G338" s="53" t="s">
        <v>22</v>
      </c>
      <c r="H338" s="54" t="s">
        <v>23</v>
      </c>
      <c r="I338" s="54">
        <v>149500</v>
      </c>
      <c r="J338" s="54">
        <v>112200</v>
      </c>
      <c r="K338" s="54">
        <v>22665</v>
      </c>
      <c r="L338" s="53">
        <v>68</v>
      </c>
      <c r="M338" s="55" t="s">
        <v>24</v>
      </c>
      <c r="N338" s="56" t="s">
        <v>105</v>
      </c>
    </row>
    <row r="339" spans="1:14" x14ac:dyDescent="0.3">
      <c r="A339" s="51" t="s">
        <v>445</v>
      </c>
      <c r="B339" s="52">
        <v>46210</v>
      </c>
      <c r="C339" s="53" t="s">
        <v>19</v>
      </c>
      <c r="D339" s="53" t="s">
        <v>42</v>
      </c>
      <c r="E339" s="53" t="s">
        <v>34</v>
      </c>
      <c r="F339" s="54">
        <v>84520</v>
      </c>
      <c r="G339" s="53" t="s">
        <v>22</v>
      </c>
      <c r="H339" s="54" t="s">
        <v>23</v>
      </c>
      <c r="I339" s="54">
        <v>81200</v>
      </c>
      <c r="J339" s="54">
        <v>55300</v>
      </c>
      <c r="K339" s="54">
        <v>29220</v>
      </c>
      <c r="L339" s="53">
        <v>105</v>
      </c>
      <c r="M339" s="55" t="s">
        <v>31</v>
      </c>
      <c r="N339" s="56" t="s">
        <v>108</v>
      </c>
    </row>
    <row r="340" spans="1:14" x14ac:dyDescent="0.3">
      <c r="A340" s="51" t="s">
        <v>446</v>
      </c>
      <c r="B340" s="52">
        <v>46255</v>
      </c>
      <c r="C340" s="53" t="s">
        <v>19</v>
      </c>
      <c r="D340" s="53" t="s">
        <v>26</v>
      </c>
      <c r="E340" s="53" t="s">
        <v>15</v>
      </c>
      <c r="F340" s="54">
        <v>74309</v>
      </c>
      <c r="G340" s="53" t="s">
        <v>30</v>
      </c>
      <c r="H340" s="54" t="s">
        <v>48</v>
      </c>
      <c r="I340" s="54">
        <v>79900</v>
      </c>
      <c r="J340" s="54">
        <v>57800</v>
      </c>
      <c r="K340" s="54">
        <v>16509</v>
      </c>
      <c r="L340" s="53">
        <v>95</v>
      </c>
      <c r="M340" s="55" t="s">
        <v>31</v>
      </c>
      <c r="N340" s="56" t="s">
        <v>624</v>
      </c>
    </row>
    <row r="341" spans="1:14" x14ac:dyDescent="0.3">
      <c r="A341" s="51" t="s">
        <v>447</v>
      </c>
      <c r="B341" s="52">
        <v>46244</v>
      </c>
      <c r="C341" s="53" t="s">
        <v>19</v>
      </c>
      <c r="D341" s="53" t="s">
        <v>43</v>
      </c>
      <c r="E341" s="53" t="s">
        <v>37</v>
      </c>
      <c r="F341" s="54">
        <v>39984</v>
      </c>
      <c r="G341" s="53" t="s">
        <v>40</v>
      </c>
      <c r="H341" s="54" t="s">
        <v>23</v>
      </c>
      <c r="I341" s="54">
        <v>39500</v>
      </c>
      <c r="J341" s="54">
        <v>23200</v>
      </c>
      <c r="K341" s="54">
        <v>16784</v>
      </c>
      <c r="L341" s="53">
        <v>18</v>
      </c>
      <c r="M341" s="55" t="s">
        <v>41</v>
      </c>
      <c r="N341" s="56" t="s">
        <v>114</v>
      </c>
    </row>
    <row r="342" spans="1:14" x14ac:dyDescent="0.3">
      <c r="A342" s="51" t="s">
        <v>448</v>
      </c>
      <c r="B342" s="52">
        <v>46236</v>
      </c>
      <c r="C342" s="53" t="s">
        <v>19</v>
      </c>
      <c r="D342" s="53" t="s">
        <v>46</v>
      </c>
      <c r="E342" s="53" t="s">
        <v>21</v>
      </c>
      <c r="F342" s="54">
        <v>128947</v>
      </c>
      <c r="G342" s="53" t="s">
        <v>40</v>
      </c>
      <c r="H342" s="54" t="s">
        <v>23</v>
      </c>
      <c r="I342" s="54">
        <v>141800</v>
      </c>
      <c r="J342" s="54">
        <v>68300</v>
      </c>
      <c r="K342" s="54">
        <v>60647</v>
      </c>
      <c r="L342" s="53">
        <v>105</v>
      </c>
      <c r="M342" s="55" t="s">
        <v>31</v>
      </c>
      <c r="N342" s="56" t="s">
        <v>108</v>
      </c>
    </row>
    <row r="343" spans="1:14" x14ac:dyDescent="0.3">
      <c r="A343" s="51" t="s">
        <v>449</v>
      </c>
      <c r="B343" s="52">
        <v>46243</v>
      </c>
      <c r="C343" s="53" t="s">
        <v>19</v>
      </c>
      <c r="D343" s="53" t="s">
        <v>50</v>
      </c>
      <c r="E343" s="53" t="s">
        <v>27</v>
      </c>
      <c r="F343" s="54">
        <v>15901</v>
      </c>
      <c r="G343" s="53" t="s">
        <v>35</v>
      </c>
      <c r="H343" s="54" t="s">
        <v>48</v>
      </c>
      <c r="I343" s="54">
        <v>14600</v>
      </c>
      <c r="J343" s="54">
        <v>8400</v>
      </c>
      <c r="K343" s="54">
        <v>7501</v>
      </c>
      <c r="L343" s="53">
        <v>75</v>
      </c>
      <c r="M343" s="55" t="s">
        <v>24</v>
      </c>
      <c r="N343" s="56" t="s">
        <v>105</v>
      </c>
    </row>
    <row r="344" spans="1:14" x14ac:dyDescent="0.3">
      <c r="A344" s="51" t="s">
        <v>450</v>
      </c>
      <c r="B344" s="52">
        <v>46242</v>
      </c>
      <c r="C344" s="53" t="s">
        <v>19</v>
      </c>
      <c r="D344" s="53" t="s">
        <v>39</v>
      </c>
      <c r="E344" s="53" t="s">
        <v>37</v>
      </c>
      <c r="F344" s="54">
        <v>41055</v>
      </c>
      <c r="G344" s="53" t="s">
        <v>16</v>
      </c>
      <c r="H344" s="54" t="s">
        <v>48</v>
      </c>
      <c r="I344" s="54">
        <v>47700</v>
      </c>
      <c r="J344" s="54">
        <v>19900</v>
      </c>
      <c r="K344" s="54">
        <v>21155</v>
      </c>
      <c r="L344" s="53">
        <v>12</v>
      </c>
      <c r="M344" s="55" t="s">
        <v>41</v>
      </c>
      <c r="N344" s="56" t="s">
        <v>114</v>
      </c>
    </row>
    <row r="345" spans="1:14" x14ac:dyDescent="0.3">
      <c r="A345" s="51" t="s">
        <v>225</v>
      </c>
      <c r="B345" s="52">
        <v>46221</v>
      </c>
      <c r="C345" s="53" t="s">
        <v>19</v>
      </c>
      <c r="D345" s="53" t="s">
        <v>42</v>
      </c>
      <c r="E345" s="53" t="s">
        <v>27</v>
      </c>
      <c r="F345" s="54">
        <v>124099</v>
      </c>
      <c r="G345" s="53" t="s">
        <v>40</v>
      </c>
      <c r="H345" s="54" t="s">
        <v>23</v>
      </c>
      <c r="I345" s="54">
        <v>118000</v>
      </c>
      <c r="J345" s="54">
        <v>67400</v>
      </c>
      <c r="K345" s="54">
        <v>56699</v>
      </c>
      <c r="L345" s="53">
        <v>12</v>
      </c>
      <c r="M345" s="55" t="s">
        <v>41</v>
      </c>
      <c r="N345" s="56" t="s">
        <v>114</v>
      </c>
    </row>
    <row r="346" spans="1:14" hidden="1" x14ac:dyDescent="0.3">
      <c r="A346" s="51" t="s">
        <v>451</v>
      </c>
      <c r="B346" s="52">
        <v>46243</v>
      </c>
      <c r="C346" s="53" t="s">
        <v>25</v>
      </c>
      <c r="D346" s="53" t="s">
        <v>14</v>
      </c>
      <c r="E346" s="53" t="s">
        <v>37</v>
      </c>
      <c r="F346" s="54">
        <v>21138</v>
      </c>
      <c r="G346" s="53" t="s">
        <v>16</v>
      </c>
      <c r="H346" s="54" t="s">
        <v>28</v>
      </c>
      <c r="I346" s="54">
        <v>20700</v>
      </c>
      <c r="J346" s="54">
        <v>16500</v>
      </c>
      <c r="K346" s="54">
        <v>4638</v>
      </c>
      <c r="L346" s="53">
        <v>45</v>
      </c>
      <c r="M346" s="55" t="s">
        <v>18</v>
      </c>
      <c r="N346" s="56" t="s">
        <v>103</v>
      </c>
    </row>
    <row r="347" spans="1:14" x14ac:dyDescent="0.3">
      <c r="A347" s="51" t="s">
        <v>452</v>
      </c>
      <c r="B347" s="52">
        <v>46204</v>
      </c>
      <c r="C347" s="53" t="s">
        <v>19</v>
      </c>
      <c r="D347" s="53" t="s">
        <v>26</v>
      </c>
      <c r="E347" s="53" t="s">
        <v>15</v>
      </c>
      <c r="F347" s="54">
        <v>33429</v>
      </c>
      <c r="G347" s="53" t="s">
        <v>22</v>
      </c>
      <c r="H347" s="54" t="s">
        <v>48</v>
      </c>
      <c r="I347" s="54">
        <v>29100</v>
      </c>
      <c r="J347" s="54">
        <v>29800</v>
      </c>
      <c r="K347" s="54">
        <v>3629</v>
      </c>
      <c r="L347" s="53">
        <v>85</v>
      </c>
      <c r="M347" s="55" t="s">
        <v>24</v>
      </c>
      <c r="N347" s="56" t="s">
        <v>105</v>
      </c>
    </row>
    <row r="348" spans="1:14" hidden="1" x14ac:dyDescent="0.3">
      <c r="A348" s="51" t="s">
        <v>453</v>
      </c>
      <c r="B348" s="52">
        <v>46214</v>
      </c>
      <c r="C348" s="53" t="s">
        <v>25</v>
      </c>
      <c r="D348" s="53" t="s">
        <v>51</v>
      </c>
      <c r="E348" s="53" t="s">
        <v>21</v>
      </c>
      <c r="F348" s="54">
        <v>60200</v>
      </c>
      <c r="G348" s="53" t="s">
        <v>16</v>
      </c>
      <c r="H348" s="54" t="s">
        <v>28</v>
      </c>
      <c r="I348" s="54">
        <v>53500</v>
      </c>
      <c r="J348" s="54">
        <v>51600</v>
      </c>
      <c r="K348" s="54">
        <v>8600</v>
      </c>
      <c r="L348" s="53">
        <v>68</v>
      </c>
      <c r="M348" s="55" t="s">
        <v>24</v>
      </c>
      <c r="N348" s="56" t="s">
        <v>105</v>
      </c>
    </row>
    <row r="349" spans="1:14" hidden="1" x14ac:dyDescent="0.3">
      <c r="A349" s="51" t="s">
        <v>454</v>
      </c>
      <c r="B349" s="52">
        <v>46231</v>
      </c>
      <c r="C349" s="53" t="s">
        <v>25</v>
      </c>
      <c r="D349" s="53" t="s">
        <v>39</v>
      </c>
      <c r="E349" s="53" t="s">
        <v>37</v>
      </c>
      <c r="F349" s="54">
        <v>111268</v>
      </c>
      <c r="G349" s="53" t="s">
        <v>22</v>
      </c>
      <c r="H349" s="54" t="s">
        <v>28</v>
      </c>
      <c r="I349" s="54">
        <v>114700</v>
      </c>
      <c r="J349" s="54">
        <v>88200</v>
      </c>
      <c r="K349" s="54">
        <v>23068</v>
      </c>
      <c r="L349" s="53">
        <v>12</v>
      </c>
      <c r="M349" s="55" t="s">
        <v>41</v>
      </c>
      <c r="N349" s="56" t="s">
        <v>114</v>
      </c>
    </row>
    <row r="350" spans="1:14" hidden="1" x14ac:dyDescent="0.3">
      <c r="A350" s="51" t="s">
        <v>455</v>
      </c>
      <c r="B350" s="52">
        <v>46260</v>
      </c>
      <c r="C350" s="53" t="s">
        <v>32</v>
      </c>
      <c r="D350" s="53" t="s">
        <v>43</v>
      </c>
      <c r="E350" s="53" t="s">
        <v>34</v>
      </c>
      <c r="F350" s="54">
        <v>27347</v>
      </c>
      <c r="G350" s="53" t="s">
        <v>30</v>
      </c>
      <c r="H350" s="54" t="s">
        <v>36</v>
      </c>
      <c r="I350" s="54">
        <v>25800</v>
      </c>
      <c r="J350" s="54">
        <v>13800</v>
      </c>
      <c r="K350" s="54">
        <v>13547</v>
      </c>
      <c r="L350" s="53">
        <v>75</v>
      </c>
      <c r="M350" s="55" t="s">
        <v>24</v>
      </c>
      <c r="N350" s="56" t="s">
        <v>105</v>
      </c>
    </row>
    <row r="351" spans="1:14" x14ac:dyDescent="0.3">
      <c r="A351" s="51" t="s">
        <v>456</v>
      </c>
      <c r="B351" s="52">
        <v>46228</v>
      </c>
      <c r="C351" s="53" t="s">
        <v>19</v>
      </c>
      <c r="D351" s="53" t="s">
        <v>49</v>
      </c>
      <c r="E351" s="53" t="s">
        <v>44</v>
      </c>
      <c r="F351" s="54">
        <v>41822</v>
      </c>
      <c r="G351" s="53" t="s">
        <v>30</v>
      </c>
      <c r="H351" s="54" t="s">
        <v>48</v>
      </c>
      <c r="I351" s="54">
        <v>47800</v>
      </c>
      <c r="J351" s="54">
        <v>24900</v>
      </c>
      <c r="K351" s="54">
        <v>16922</v>
      </c>
      <c r="L351" s="53">
        <v>25</v>
      </c>
      <c r="M351" s="55" t="s">
        <v>41</v>
      </c>
      <c r="N351" s="56" t="s">
        <v>114</v>
      </c>
    </row>
    <row r="352" spans="1:14" hidden="1" x14ac:dyDescent="0.3">
      <c r="A352" s="51" t="s">
        <v>457</v>
      </c>
      <c r="B352" s="52">
        <v>46253</v>
      </c>
      <c r="C352" s="53" t="s">
        <v>32</v>
      </c>
      <c r="D352" s="53" t="s">
        <v>33</v>
      </c>
      <c r="E352" s="53" t="s">
        <v>34</v>
      </c>
      <c r="F352" s="54">
        <v>50108</v>
      </c>
      <c r="G352" s="53" t="s">
        <v>35</v>
      </c>
      <c r="H352" s="54" t="s">
        <v>36</v>
      </c>
      <c r="I352" s="54">
        <v>42800</v>
      </c>
      <c r="J352" s="54">
        <v>30300</v>
      </c>
      <c r="K352" s="54">
        <v>19808</v>
      </c>
      <c r="L352" s="53">
        <v>12</v>
      </c>
      <c r="M352" s="55" t="s">
        <v>41</v>
      </c>
      <c r="N352" s="56" t="s">
        <v>114</v>
      </c>
    </row>
    <row r="353" spans="1:14" hidden="1" x14ac:dyDescent="0.3">
      <c r="A353" s="51" t="s">
        <v>458</v>
      </c>
      <c r="B353" s="52">
        <v>46226</v>
      </c>
      <c r="C353" s="53" t="s">
        <v>32</v>
      </c>
      <c r="D353" s="53" t="s">
        <v>26</v>
      </c>
      <c r="E353" s="53" t="s">
        <v>34</v>
      </c>
      <c r="F353" s="54">
        <v>138955</v>
      </c>
      <c r="G353" s="53" t="s">
        <v>40</v>
      </c>
      <c r="H353" s="54" t="s">
        <v>36</v>
      </c>
      <c r="I353" s="54">
        <v>136500</v>
      </c>
      <c r="J353" s="54">
        <v>79900</v>
      </c>
      <c r="K353" s="54">
        <v>59055</v>
      </c>
      <c r="L353" s="53">
        <v>35</v>
      </c>
      <c r="M353" s="55" t="s">
        <v>18</v>
      </c>
      <c r="N353" s="56" t="s">
        <v>103</v>
      </c>
    </row>
    <row r="354" spans="1:14" x14ac:dyDescent="0.3">
      <c r="A354" s="51" t="s">
        <v>459</v>
      </c>
      <c r="B354" s="52">
        <v>46234</v>
      </c>
      <c r="C354" s="53" t="s">
        <v>19</v>
      </c>
      <c r="D354" s="53" t="s">
        <v>43</v>
      </c>
      <c r="E354" s="53" t="s">
        <v>44</v>
      </c>
      <c r="F354" s="54">
        <v>17967</v>
      </c>
      <c r="G354" s="53" t="s">
        <v>35</v>
      </c>
      <c r="H354" s="54" t="s">
        <v>48</v>
      </c>
      <c r="I354" s="54">
        <v>17400</v>
      </c>
      <c r="J354" s="54">
        <v>12700</v>
      </c>
      <c r="K354" s="54">
        <v>5267</v>
      </c>
      <c r="L354" s="53">
        <v>52</v>
      </c>
      <c r="M354" s="55" t="s">
        <v>18</v>
      </c>
      <c r="N354" s="56" t="s">
        <v>103</v>
      </c>
    </row>
    <row r="355" spans="1:14" hidden="1" x14ac:dyDescent="0.3">
      <c r="A355" s="51" t="s">
        <v>460</v>
      </c>
      <c r="B355" s="52">
        <v>46233</v>
      </c>
      <c r="C355" s="53" t="s">
        <v>13</v>
      </c>
      <c r="D355" s="53" t="s">
        <v>39</v>
      </c>
      <c r="E355" s="53" t="s">
        <v>34</v>
      </c>
      <c r="F355" s="54">
        <v>120719</v>
      </c>
      <c r="G355" s="53" t="s">
        <v>22</v>
      </c>
      <c r="H355" s="54" t="s">
        <v>17</v>
      </c>
      <c r="I355" s="54">
        <v>103400</v>
      </c>
      <c r="J355" s="54">
        <v>86600</v>
      </c>
      <c r="K355" s="54">
        <v>34119</v>
      </c>
      <c r="L355" s="53">
        <v>68</v>
      </c>
      <c r="M355" s="55" t="s">
        <v>24</v>
      </c>
      <c r="N355" s="56" t="s">
        <v>105</v>
      </c>
    </row>
    <row r="356" spans="1:14" hidden="1" x14ac:dyDescent="0.3">
      <c r="A356" s="51" t="s">
        <v>461</v>
      </c>
      <c r="B356" s="52">
        <v>46245</v>
      </c>
      <c r="C356" s="53" t="s">
        <v>13</v>
      </c>
      <c r="D356" s="53" t="s">
        <v>26</v>
      </c>
      <c r="E356" s="53" t="s">
        <v>37</v>
      </c>
      <c r="F356" s="54">
        <v>21871</v>
      </c>
      <c r="G356" s="53" t="s">
        <v>35</v>
      </c>
      <c r="H356" s="54" t="s">
        <v>17</v>
      </c>
      <c r="I356" s="54">
        <v>19500</v>
      </c>
      <c r="J356" s="54">
        <v>13700</v>
      </c>
      <c r="K356" s="54">
        <v>8171</v>
      </c>
      <c r="L356" s="53">
        <v>25</v>
      </c>
      <c r="M356" s="55" t="s">
        <v>41</v>
      </c>
      <c r="N356" s="56" t="s">
        <v>114</v>
      </c>
    </row>
    <row r="357" spans="1:14" x14ac:dyDescent="0.3">
      <c r="A357" s="51" t="s">
        <v>462</v>
      </c>
      <c r="B357" s="52">
        <v>46238</v>
      </c>
      <c r="C357" s="53" t="s">
        <v>19</v>
      </c>
      <c r="D357" s="53" t="s">
        <v>29</v>
      </c>
      <c r="E357" s="53" t="s">
        <v>37</v>
      </c>
      <c r="F357" s="54">
        <v>38179</v>
      </c>
      <c r="G357" s="53" t="s">
        <v>16</v>
      </c>
      <c r="H357" s="54" t="s">
        <v>48</v>
      </c>
      <c r="I357" s="54">
        <v>38000</v>
      </c>
      <c r="J357" s="54">
        <v>23900</v>
      </c>
      <c r="K357" s="54">
        <v>14279</v>
      </c>
      <c r="L357" s="53">
        <v>120</v>
      </c>
      <c r="M357" s="55" t="s">
        <v>31</v>
      </c>
      <c r="N357" s="56" t="s">
        <v>108</v>
      </c>
    </row>
    <row r="358" spans="1:14" x14ac:dyDescent="0.3">
      <c r="A358" s="51" t="s">
        <v>463</v>
      </c>
      <c r="B358" s="52">
        <v>46210</v>
      </c>
      <c r="C358" s="53" t="s">
        <v>19</v>
      </c>
      <c r="D358" s="53" t="s">
        <v>51</v>
      </c>
      <c r="E358" s="53" t="s">
        <v>37</v>
      </c>
      <c r="F358" s="54">
        <v>65099</v>
      </c>
      <c r="G358" s="53" t="s">
        <v>22</v>
      </c>
      <c r="H358" s="54" t="s">
        <v>23</v>
      </c>
      <c r="I358" s="54">
        <v>66600</v>
      </c>
      <c r="J358" s="54">
        <v>56300</v>
      </c>
      <c r="K358" s="54">
        <v>8799</v>
      </c>
      <c r="L358" s="53">
        <v>30</v>
      </c>
      <c r="M358" s="55" t="s">
        <v>41</v>
      </c>
      <c r="N358" s="56" t="s">
        <v>103</v>
      </c>
    </row>
    <row r="359" spans="1:14" hidden="1" x14ac:dyDescent="0.3">
      <c r="A359" s="51" t="s">
        <v>464</v>
      </c>
      <c r="B359" s="52">
        <v>46263</v>
      </c>
      <c r="C359" s="53" t="s">
        <v>13</v>
      </c>
      <c r="D359" s="53" t="s">
        <v>45</v>
      </c>
      <c r="E359" s="53" t="s">
        <v>44</v>
      </c>
      <c r="F359" s="54">
        <v>45262</v>
      </c>
      <c r="G359" s="53" t="s">
        <v>30</v>
      </c>
      <c r="H359" s="54" t="s">
        <v>17</v>
      </c>
      <c r="I359" s="54">
        <v>44900</v>
      </c>
      <c r="J359" s="54">
        <v>38200</v>
      </c>
      <c r="K359" s="54">
        <v>7062</v>
      </c>
      <c r="L359" s="53">
        <v>25</v>
      </c>
      <c r="M359" s="55" t="s">
        <v>41</v>
      </c>
      <c r="N359" s="56" t="s">
        <v>114</v>
      </c>
    </row>
    <row r="360" spans="1:14" hidden="1" x14ac:dyDescent="0.3">
      <c r="A360" s="51" t="s">
        <v>465</v>
      </c>
      <c r="B360" s="52">
        <v>46219</v>
      </c>
      <c r="C360" s="53" t="s">
        <v>32</v>
      </c>
      <c r="D360" s="53" t="s">
        <v>39</v>
      </c>
      <c r="E360" s="53" t="s">
        <v>34</v>
      </c>
      <c r="F360" s="54">
        <v>88213</v>
      </c>
      <c r="G360" s="53" t="s">
        <v>40</v>
      </c>
      <c r="H360" s="54" t="s">
        <v>36</v>
      </c>
      <c r="I360" s="54">
        <v>91400</v>
      </c>
      <c r="J360" s="54">
        <v>53300</v>
      </c>
      <c r="K360" s="54">
        <v>34913</v>
      </c>
      <c r="L360" s="53">
        <v>18</v>
      </c>
      <c r="M360" s="55" t="s">
        <v>41</v>
      </c>
      <c r="N360" s="56" t="s">
        <v>114</v>
      </c>
    </row>
    <row r="361" spans="1:14" x14ac:dyDescent="0.3">
      <c r="A361" s="51" t="s">
        <v>466</v>
      </c>
      <c r="B361" s="52">
        <v>46229</v>
      </c>
      <c r="C361" s="53" t="s">
        <v>19</v>
      </c>
      <c r="D361" s="53" t="s">
        <v>29</v>
      </c>
      <c r="E361" s="53" t="s">
        <v>44</v>
      </c>
      <c r="F361" s="54">
        <v>127407</v>
      </c>
      <c r="G361" s="53" t="s">
        <v>22</v>
      </c>
      <c r="H361" s="54" t="s">
        <v>48</v>
      </c>
      <c r="I361" s="54">
        <v>134800</v>
      </c>
      <c r="J361" s="54">
        <v>115500</v>
      </c>
      <c r="K361" s="54">
        <v>11907</v>
      </c>
      <c r="L361" s="53">
        <v>30</v>
      </c>
      <c r="M361" s="55" t="s">
        <v>41</v>
      </c>
      <c r="N361" s="56" t="s">
        <v>103</v>
      </c>
    </row>
    <row r="362" spans="1:14" x14ac:dyDescent="0.3">
      <c r="A362" s="51" t="s">
        <v>467</v>
      </c>
      <c r="B362" s="52">
        <v>46251</v>
      </c>
      <c r="C362" s="53" t="s">
        <v>19</v>
      </c>
      <c r="D362" s="53" t="s">
        <v>47</v>
      </c>
      <c r="E362" s="53" t="s">
        <v>37</v>
      </c>
      <c r="F362" s="54">
        <v>96269</v>
      </c>
      <c r="G362" s="53" t="s">
        <v>22</v>
      </c>
      <c r="H362" s="54" t="s">
        <v>48</v>
      </c>
      <c r="I362" s="54">
        <v>82200</v>
      </c>
      <c r="J362" s="54">
        <v>89200</v>
      </c>
      <c r="K362" s="54">
        <v>7069</v>
      </c>
      <c r="L362" s="53">
        <v>105</v>
      </c>
      <c r="M362" s="55" t="s">
        <v>31</v>
      </c>
      <c r="N362" s="56" t="s">
        <v>108</v>
      </c>
    </row>
    <row r="363" spans="1:14" hidden="1" x14ac:dyDescent="0.3">
      <c r="A363" s="51" t="s">
        <v>468</v>
      </c>
      <c r="B363" s="52">
        <v>46260</v>
      </c>
      <c r="C363" s="53" t="s">
        <v>25</v>
      </c>
      <c r="D363" s="53" t="s">
        <v>42</v>
      </c>
      <c r="E363" s="53" t="s">
        <v>34</v>
      </c>
      <c r="F363" s="54">
        <v>70545</v>
      </c>
      <c r="G363" s="53" t="s">
        <v>16</v>
      </c>
      <c r="H363" s="54" t="s">
        <v>28</v>
      </c>
      <c r="I363" s="54">
        <v>71400</v>
      </c>
      <c r="J363" s="54">
        <v>43300</v>
      </c>
      <c r="K363" s="54">
        <v>27245</v>
      </c>
      <c r="L363" s="53">
        <v>60</v>
      </c>
      <c r="M363" s="55" t="s">
        <v>18</v>
      </c>
      <c r="N363" s="56" t="s">
        <v>103</v>
      </c>
    </row>
    <row r="364" spans="1:14" hidden="1" x14ac:dyDescent="0.3">
      <c r="A364" s="51" t="s">
        <v>469</v>
      </c>
      <c r="B364" s="52">
        <v>46255</v>
      </c>
      <c r="C364" s="53" t="s">
        <v>25</v>
      </c>
      <c r="D364" s="53" t="s">
        <v>49</v>
      </c>
      <c r="E364" s="53" t="s">
        <v>34</v>
      </c>
      <c r="F364" s="54">
        <v>49922</v>
      </c>
      <c r="G364" s="53" t="s">
        <v>40</v>
      </c>
      <c r="H364" s="54" t="s">
        <v>28</v>
      </c>
      <c r="I364" s="54">
        <v>59300</v>
      </c>
      <c r="J364" s="54">
        <v>31300</v>
      </c>
      <c r="K364" s="54">
        <v>18622</v>
      </c>
      <c r="L364" s="53">
        <v>52</v>
      </c>
      <c r="M364" s="55" t="s">
        <v>18</v>
      </c>
      <c r="N364" s="56" t="s">
        <v>103</v>
      </c>
    </row>
    <row r="365" spans="1:14" hidden="1" x14ac:dyDescent="0.3">
      <c r="A365" s="51" t="s">
        <v>470</v>
      </c>
      <c r="B365" s="52">
        <v>46263</v>
      </c>
      <c r="C365" s="53" t="s">
        <v>32</v>
      </c>
      <c r="D365" s="53" t="s">
        <v>20</v>
      </c>
      <c r="E365" s="53" t="s">
        <v>27</v>
      </c>
      <c r="F365" s="54">
        <v>52913</v>
      </c>
      <c r="G365" s="53" t="s">
        <v>30</v>
      </c>
      <c r="H365" s="54" t="s">
        <v>36</v>
      </c>
      <c r="I365" s="54">
        <v>54600</v>
      </c>
      <c r="J365" s="54">
        <v>37200</v>
      </c>
      <c r="K365" s="54">
        <v>15713</v>
      </c>
      <c r="L365" s="53">
        <v>52</v>
      </c>
      <c r="M365" s="55" t="s">
        <v>18</v>
      </c>
      <c r="N365" s="56" t="s">
        <v>103</v>
      </c>
    </row>
    <row r="366" spans="1:14" hidden="1" x14ac:dyDescent="0.3">
      <c r="A366" s="51" t="s">
        <v>471</v>
      </c>
      <c r="B366" s="52">
        <v>46252</v>
      </c>
      <c r="C366" s="53" t="s">
        <v>25</v>
      </c>
      <c r="D366" s="53" t="s">
        <v>51</v>
      </c>
      <c r="E366" s="53" t="s">
        <v>27</v>
      </c>
      <c r="F366" s="54">
        <v>107033</v>
      </c>
      <c r="G366" s="53" t="s">
        <v>22</v>
      </c>
      <c r="H366" s="54" t="s">
        <v>28</v>
      </c>
      <c r="I366" s="54">
        <v>116400</v>
      </c>
      <c r="J366" s="54">
        <v>98500</v>
      </c>
      <c r="K366" s="54">
        <v>8533</v>
      </c>
      <c r="L366" s="53">
        <v>52</v>
      </c>
      <c r="M366" s="55" t="s">
        <v>18</v>
      </c>
      <c r="N366" s="56" t="s">
        <v>103</v>
      </c>
    </row>
    <row r="367" spans="1:14" hidden="1" x14ac:dyDescent="0.3">
      <c r="A367" s="51" t="s">
        <v>472</v>
      </c>
      <c r="B367" s="52">
        <v>46205</v>
      </c>
      <c r="C367" s="53" t="s">
        <v>25</v>
      </c>
      <c r="D367" s="53" t="s">
        <v>26</v>
      </c>
      <c r="E367" s="53" t="s">
        <v>15</v>
      </c>
      <c r="F367" s="54">
        <v>114792</v>
      </c>
      <c r="G367" s="53" t="s">
        <v>22</v>
      </c>
      <c r="H367" s="54" t="s">
        <v>28</v>
      </c>
      <c r="I367" s="54">
        <v>110100</v>
      </c>
      <c r="J367" s="54">
        <v>102000</v>
      </c>
      <c r="K367" s="54">
        <v>12792</v>
      </c>
      <c r="L367" s="53">
        <v>85</v>
      </c>
      <c r="M367" s="55" t="s">
        <v>24</v>
      </c>
      <c r="N367" s="56" t="s">
        <v>105</v>
      </c>
    </row>
    <row r="368" spans="1:14" hidden="1" x14ac:dyDescent="0.3">
      <c r="A368" s="51" t="s">
        <v>473</v>
      </c>
      <c r="B368" s="52">
        <v>46204</v>
      </c>
      <c r="C368" s="53" t="s">
        <v>32</v>
      </c>
      <c r="D368" s="53" t="s">
        <v>33</v>
      </c>
      <c r="E368" s="53" t="s">
        <v>21</v>
      </c>
      <c r="F368" s="54">
        <v>129863</v>
      </c>
      <c r="G368" s="53" t="s">
        <v>16</v>
      </c>
      <c r="H368" s="54" t="s">
        <v>36</v>
      </c>
      <c r="I368" s="54">
        <v>145600</v>
      </c>
      <c r="J368" s="54">
        <v>65100</v>
      </c>
      <c r="K368" s="54">
        <v>64763</v>
      </c>
      <c r="L368" s="53">
        <v>52</v>
      </c>
      <c r="M368" s="55" t="s">
        <v>18</v>
      </c>
      <c r="N368" s="56" t="s">
        <v>103</v>
      </c>
    </row>
    <row r="369" spans="1:14" x14ac:dyDescent="0.3">
      <c r="A369" s="51" t="s">
        <v>474</v>
      </c>
      <c r="B369" s="52">
        <v>46251</v>
      </c>
      <c r="C369" s="53" t="s">
        <v>19</v>
      </c>
      <c r="D369" s="53" t="s">
        <v>43</v>
      </c>
      <c r="E369" s="53" t="s">
        <v>27</v>
      </c>
      <c r="F369" s="54">
        <v>54936</v>
      </c>
      <c r="G369" s="53" t="s">
        <v>35</v>
      </c>
      <c r="H369" s="54" t="s">
        <v>48</v>
      </c>
      <c r="I369" s="54">
        <v>61600</v>
      </c>
      <c r="J369" s="54">
        <v>35500</v>
      </c>
      <c r="K369" s="54">
        <v>19436</v>
      </c>
      <c r="L369" s="53">
        <v>45</v>
      </c>
      <c r="M369" s="55" t="s">
        <v>18</v>
      </c>
      <c r="N369" s="56" t="s">
        <v>103</v>
      </c>
    </row>
    <row r="370" spans="1:14" x14ac:dyDescent="0.3">
      <c r="A370" s="51" t="s">
        <v>475</v>
      </c>
      <c r="B370" s="52">
        <v>46265</v>
      </c>
      <c r="C370" s="53" t="s">
        <v>19</v>
      </c>
      <c r="D370" s="53" t="s">
        <v>20</v>
      </c>
      <c r="E370" s="53" t="s">
        <v>44</v>
      </c>
      <c r="F370" s="54">
        <v>38141</v>
      </c>
      <c r="G370" s="53" t="s">
        <v>30</v>
      </c>
      <c r="H370" s="54" t="s">
        <v>48</v>
      </c>
      <c r="I370" s="54">
        <v>39400</v>
      </c>
      <c r="J370" s="54">
        <v>27700</v>
      </c>
      <c r="K370" s="54">
        <v>10441</v>
      </c>
      <c r="L370" s="53">
        <v>52</v>
      </c>
      <c r="M370" s="55" t="s">
        <v>18</v>
      </c>
      <c r="N370" s="56" t="s">
        <v>103</v>
      </c>
    </row>
    <row r="371" spans="1:14" hidden="1" x14ac:dyDescent="0.3">
      <c r="A371" s="51" t="s">
        <v>477</v>
      </c>
      <c r="B371" s="52">
        <v>46215</v>
      </c>
      <c r="C371" s="53" t="s">
        <v>32</v>
      </c>
      <c r="D371" s="53" t="s">
        <v>14</v>
      </c>
      <c r="E371" s="53" t="s">
        <v>27</v>
      </c>
      <c r="F371" s="54">
        <v>147478</v>
      </c>
      <c r="G371" s="53" t="s">
        <v>40</v>
      </c>
      <c r="H371" s="54" t="s">
        <v>36</v>
      </c>
      <c r="I371" s="54">
        <v>175700</v>
      </c>
      <c r="J371" s="54">
        <v>103500</v>
      </c>
      <c r="K371" s="54">
        <v>43978</v>
      </c>
      <c r="L371" s="53">
        <v>75</v>
      </c>
      <c r="M371" s="55" t="s">
        <v>24</v>
      </c>
      <c r="N371" s="56" t="s">
        <v>105</v>
      </c>
    </row>
    <row r="372" spans="1:14" hidden="1" x14ac:dyDescent="0.3">
      <c r="A372" s="51" t="s">
        <v>478</v>
      </c>
      <c r="B372" s="52">
        <v>46208</v>
      </c>
      <c r="C372" s="53" t="s">
        <v>13</v>
      </c>
      <c r="D372" s="53" t="s">
        <v>43</v>
      </c>
      <c r="E372" s="53" t="s">
        <v>15</v>
      </c>
      <c r="F372" s="54">
        <v>107359</v>
      </c>
      <c r="G372" s="53" t="s">
        <v>22</v>
      </c>
      <c r="H372" s="54" t="s">
        <v>17</v>
      </c>
      <c r="I372" s="54">
        <v>96000</v>
      </c>
      <c r="J372" s="54">
        <v>58700</v>
      </c>
      <c r="K372" s="54">
        <v>48659</v>
      </c>
      <c r="L372" s="53">
        <v>105</v>
      </c>
      <c r="M372" s="55" t="s">
        <v>31</v>
      </c>
      <c r="N372" s="56" t="s">
        <v>108</v>
      </c>
    </row>
    <row r="373" spans="1:14" hidden="1" x14ac:dyDescent="0.3">
      <c r="A373" s="51" t="s">
        <v>479</v>
      </c>
      <c r="B373" s="52">
        <v>46240</v>
      </c>
      <c r="C373" s="53" t="s">
        <v>25</v>
      </c>
      <c r="D373" s="53" t="s">
        <v>26</v>
      </c>
      <c r="E373" s="53" t="s">
        <v>34</v>
      </c>
      <c r="F373" s="54">
        <v>133279</v>
      </c>
      <c r="G373" s="53" t="s">
        <v>22</v>
      </c>
      <c r="H373" s="54" t="s">
        <v>28</v>
      </c>
      <c r="I373" s="54">
        <v>114100</v>
      </c>
      <c r="J373" s="54">
        <v>117200</v>
      </c>
      <c r="K373" s="54">
        <v>16079</v>
      </c>
      <c r="L373" s="53">
        <v>52</v>
      </c>
      <c r="M373" s="55" t="s">
        <v>18</v>
      </c>
      <c r="N373" s="56" t="s">
        <v>103</v>
      </c>
    </row>
    <row r="374" spans="1:14" hidden="1" x14ac:dyDescent="0.3">
      <c r="A374" s="51" t="s">
        <v>480</v>
      </c>
      <c r="B374" s="52">
        <v>46235</v>
      </c>
      <c r="C374" s="53" t="s">
        <v>25</v>
      </c>
      <c r="D374" s="53" t="s">
        <v>49</v>
      </c>
      <c r="E374" s="53" t="s">
        <v>15</v>
      </c>
      <c r="F374" s="54">
        <v>51568</v>
      </c>
      <c r="G374" s="53" t="s">
        <v>30</v>
      </c>
      <c r="H374" s="54" t="s">
        <v>28</v>
      </c>
      <c r="I374" s="54">
        <v>57700</v>
      </c>
      <c r="J374" s="54">
        <v>40700</v>
      </c>
      <c r="K374" s="54">
        <v>10868</v>
      </c>
      <c r="L374" s="53">
        <v>95</v>
      </c>
      <c r="M374" s="55" t="s">
        <v>31</v>
      </c>
      <c r="N374" s="56" t="s">
        <v>624</v>
      </c>
    </row>
    <row r="375" spans="1:14" x14ac:dyDescent="0.3">
      <c r="A375" s="51" t="s">
        <v>481</v>
      </c>
      <c r="B375" s="52">
        <v>46262</v>
      </c>
      <c r="C375" s="53" t="s">
        <v>19</v>
      </c>
      <c r="D375" s="53" t="s">
        <v>38</v>
      </c>
      <c r="E375" s="53" t="s">
        <v>34</v>
      </c>
      <c r="F375" s="54">
        <v>107539</v>
      </c>
      <c r="G375" s="53" t="s">
        <v>35</v>
      </c>
      <c r="H375" s="54" t="s">
        <v>48</v>
      </c>
      <c r="I375" s="54">
        <v>121800</v>
      </c>
      <c r="J375" s="54">
        <v>93400</v>
      </c>
      <c r="K375" s="54">
        <v>14139</v>
      </c>
      <c r="L375" s="53">
        <v>105</v>
      </c>
      <c r="M375" s="55" t="s">
        <v>31</v>
      </c>
      <c r="N375" s="56" t="s">
        <v>108</v>
      </c>
    </row>
    <row r="376" spans="1:14" hidden="1" x14ac:dyDescent="0.3">
      <c r="A376" s="51" t="s">
        <v>482</v>
      </c>
      <c r="B376" s="52">
        <v>46258</v>
      </c>
      <c r="C376" s="53" t="s">
        <v>25</v>
      </c>
      <c r="D376" s="53" t="s">
        <v>43</v>
      </c>
      <c r="E376" s="53" t="s">
        <v>34</v>
      </c>
      <c r="F376" s="54">
        <v>56851</v>
      </c>
      <c r="G376" s="53" t="s">
        <v>22</v>
      </c>
      <c r="H376" s="54" t="s">
        <v>28</v>
      </c>
      <c r="I376" s="54">
        <v>50700</v>
      </c>
      <c r="J376" s="54">
        <v>50000</v>
      </c>
      <c r="K376" s="54">
        <v>6851</v>
      </c>
      <c r="L376" s="53">
        <v>52</v>
      </c>
      <c r="M376" s="55" t="s">
        <v>18</v>
      </c>
      <c r="N376" s="56" t="s">
        <v>103</v>
      </c>
    </row>
    <row r="377" spans="1:14" hidden="1" x14ac:dyDescent="0.3">
      <c r="A377" s="51" t="s">
        <v>483</v>
      </c>
      <c r="B377" s="52">
        <v>46212</v>
      </c>
      <c r="C377" s="53" t="s">
        <v>25</v>
      </c>
      <c r="D377" s="53" t="s">
        <v>38</v>
      </c>
      <c r="E377" s="53" t="s">
        <v>21</v>
      </c>
      <c r="F377" s="54">
        <v>64823</v>
      </c>
      <c r="G377" s="53" t="s">
        <v>30</v>
      </c>
      <c r="H377" s="54" t="s">
        <v>28</v>
      </c>
      <c r="I377" s="54">
        <v>61100</v>
      </c>
      <c r="J377" s="54">
        <v>53400</v>
      </c>
      <c r="K377" s="54">
        <v>11423</v>
      </c>
      <c r="L377" s="53">
        <v>85</v>
      </c>
      <c r="M377" s="55" t="s">
        <v>24</v>
      </c>
      <c r="N377" s="56" t="s">
        <v>105</v>
      </c>
    </row>
    <row r="378" spans="1:14" x14ac:dyDescent="0.3">
      <c r="A378" s="51" t="s">
        <v>484</v>
      </c>
      <c r="B378" s="52">
        <v>46244</v>
      </c>
      <c r="C378" s="53" t="s">
        <v>19</v>
      </c>
      <c r="D378" s="53" t="s">
        <v>42</v>
      </c>
      <c r="E378" s="53" t="s">
        <v>27</v>
      </c>
      <c r="F378" s="54">
        <v>33312</v>
      </c>
      <c r="G378" s="53" t="s">
        <v>16</v>
      </c>
      <c r="H378" s="54" t="s">
        <v>48</v>
      </c>
      <c r="I378" s="54">
        <v>28500</v>
      </c>
      <c r="J378" s="54">
        <v>22300</v>
      </c>
      <c r="K378" s="54">
        <v>11012</v>
      </c>
      <c r="L378" s="53">
        <v>68</v>
      </c>
      <c r="M378" s="55" t="s">
        <v>24</v>
      </c>
      <c r="N378" s="56" t="s">
        <v>105</v>
      </c>
    </row>
    <row r="379" spans="1:14" x14ac:dyDescent="0.3">
      <c r="A379" s="51" t="s">
        <v>485</v>
      </c>
      <c r="B379" s="52">
        <v>46238</v>
      </c>
      <c r="C379" s="53" t="s">
        <v>19</v>
      </c>
      <c r="D379" s="53" t="s">
        <v>49</v>
      </c>
      <c r="E379" s="53" t="s">
        <v>44</v>
      </c>
      <c r="F379" s="54">
        <v>108723</v>
      </c>
      <c r="G379" s="53" t="s">
        <v>35</v>
      </c>
      <c r="H379" s="54" t="s">
        <v>48</v>
      </c>
      <c r="I379" s="54">
        <v>103600</v>
      </c>
      <c r="J379" s="54">
        <v>82100</v>
      </c>
      <c r="K379" s="54">
        <v>26623</v>
      </c>
      <c r="L379" s="53">
        <v>45</v>
      </c>
      <c r="M379" s="55" t="s">
        <v>18</v>
      </c>
      <c r="N379" s="56" t="s">
        <v>103</v>
      </c>
    </row>
    <row r="380" spans="1:14" hidden="1" x14ac:dyDescent="0.3">
      <c r="A380" s="51" t="s">
        <v>486</v>
      </c>
      <c r="B380" s="52">
        <v>46222</v>
      </c>
      <c r="C380" s="53" t="s">
        <v>25</v>
      </c>
      <c r="D380" s="53" t="s">
        <v>39</v>
      </c>
      <c r="E380" s="53" t="s">
        <v>44</v>
      </c>
      <c r="F380" s="54">
        <v>22411</v>
      </c>
      <c r="G380" s="53" t="s">
        <v>40</v>
      </c>
      <c r="H380" s="54" t="s">
        <v>28</v>
      </c>
      <c r="I380" s="54">
        <v>25100</v>
      </c>
      <c r="J380" s="54">
        <v>11900</v>
      </c>
      <c r="K380" s="54">
        <v>10511</v>
      </c>
      <c r="L380" s="53">
        <v>85</v>
      </c>
      <c r="M380" s="55" t="s">
        <v>24</v>
      </c>
      <c r="N380" s="56" t="s">
        <v>105</v>
      </c>
    </row>
    <row r="381" spans="1:14" x14ac:dyDescent="0.3">
      <c r="A381" s="51" t="s">
        <v>487</v>
      </c>
      <c r="B381" s="52">
        <v>46251</v>
      </c>
      <c r="C381" s="53" t="s">
        <v>19</v>
      </c>
      <c r="D381" s="53" t="s">
        <v>29</v>
      </c>
      <c r="E381" s="53" t="s">
        <v>37</v>
      </c>
      <c r="F381" s="54">
        <v>67009</v>
      </c>
      <c r="G381" s="53" t="s">
        <v>22</v>
      </c>
      <c r="H381" s="54" t="s">
        <v>48</v>
      </c>
      <c r="I381" s="54">
        <v>69100</v>
      </c>
      <c r="J381" s="54">
        <v>52700</v>
      </c>
      <c r="K381" s="54">
        <v>14309</v>
      </c>
      <c r="L381" s="53">
        <v>5</v>
      </c>
      <c r="M381" s="55" t="s">
        <v>41</v>
      </c>
      <c r="N381" s="56" t="s">
        <v>114</v>
      </c>
    </row>
    <row r="382" spans="1:14" hidden="1" x14ac:dyDescent="0.3">
      <c r="A382" s="51" t="s">
        <v>488</v>
      </c>
      <c r="B382" s="52">
        <v>46219</v>
      </c>
      <c r="C382" s="53" t="s">
        <v>25</v>
      </c>
      <c r="D382" s="53" t="s">
        <v>14</v>
      </c>
      <c r="E382" s="53" t="s">
        <v>34</v>
      </c>
      <c r="F382" s="54">
        <v>42371</v>
      </c>
      <c r="G382" s="53" t="s">
        <v>30</v>
      </c>
      <c r="H382" s="54" t="s">
        <v>28</v>
      </c>
      <c r="I382" s="54">
        <v>41200</v>
      </c>
      <c r="J382" s="54">
        <v>22900</v>
      </c>
      <c r="K382" s="54">
        <v>19471</v>
      </c>
      <c r="L382" s="53">
        <v>25</v>
      </c>
      <c r="M382" s="55" t="s">
        <v>41</v>
      </c>
      <c r="N382" s="56" t="s">
        <v>114</v>
      </c>
    </row>
    <row r="383" spans="1:14" x14ac:dyDescent="0.3">
      <c r="A383" s="51" t="s">
        <v>489</v>
      </c>
      <c r="B383" s="52">
        <v>46206</v>
      </c>
      <c r="C383" s="53" t="s">
        <v>19</v>
      </c>
      <c r="D383" s="53" t="s">
        <v>50</v>
      </c>
      <c r="E383" s="53" t="s">
        <v>44</v>
      </c>
      <c r="F383" s="54">
        <v>67022</v>
      </c>
      <c r="G383" s="53" t="s">
        <v>16</v>
      </c>
      <c r="H383" s="54" t="s">
        <v>23</v>
      </c>
      <c r="I383" s="54">
        <v>65700</v>
      </c>
      <c r="J383" s="54">
        <v>53400</v>
      </c>
      <c r="K383" s="54">
        <v>13622</v>
      </c>
      <c r="L383" s="53">
        <v>95</v>
      </c>
      <c r="M383" s="55" t="s">
        <v>31</v>
      </c>
      <c r="N383" s="56" t="s">
        <v>624</v>
      </c>
    </row>
    <row r="384" spans="1:14" hidden="1" x14ac:dyDescent="0.3">
      <c r="A384" s="51" t="s">
        <v>490</v>
      </c>
      <c r="B384" s="52">
        <v>46223</v>
      </c>
      <c r="C384" s="53" t="s">
        <v>25</v>
      </c>
      <c r="D384" s="53" t="s">
        <v>26</v>
      </c>
      <c r="E384" s="53" t="s">
        <v>21</v>
      </c>
      <c r="F384" s="54">
        <v>81229</v>
      </c>
      <c r="G384" s="53" t="s">
        <v>40</v>
      </c>
      <c r="H384" s="54" t="s">
        <v>28</v>
      </c>
      <c r="I384" s="54">
        <v>69100</v>
      </c>
      <c r="J384" s="54">
        <v>45900</v>
      </c>
      <c r="K384" s="54">
        <v>35329</v>
      </c>
      <c r="L384" s="53">
        <v>95</v>
      </c>
      <c r="M384" s="55" t="s">
        <v>31</v>
      </c>
      <c r="N384" s="56" t="s">
        <v>624</v>
      </c>
    </row>
    <row r="385" spans="1:14" x14ac:dyDescent="0.3">
      <c r="A385" s="51" t="s">
        <v>491</v>
      </c>
      <c r="B385" s="52">
        <v>46227</v>
      </c>
      <c r="C385" s="53" t="s">
        <v>19</v>
      </c>
      <c r="D385" s="53" t="s">
        <v>46</v>
      </c>
      <c r="E385" s="53" t="s">
        <v>34</v>
      </c>
      <c r="F385" s="54">
        <v>109071</v>
      </c>
      <c r="G385" s="53" t="s">
        <v>30</v>
      </c>
      <c r="H385" s="54" t="s">
        <v>48</v>
      </c>
      <c r="I385" s="54">
        <v>104200</v>
      </c>
      <c r="J385" s="54">
        <v>55500</v>
      </c>
      <c r="K385" s="54">
        <v>53571</v>
      </c>
      <c r="L385" s="53">
        <v>25</v>
      </c>
      <c r="M385" s="55" t="s">
        <v>41</v>
      </c>
      <c r="N385" s="56" t="s">
        <v>114</v>
      </c>
    </row>
    <row r="386" spans="1:14" hidden="1" x14ac:dyDescent="0.3">
      <c r="A386" s="51" t="s">
        <v>492</v>
      </c>
      <c r="B386" s="52">
        <v>46257</v>
      </c>
      <c r="C386" s="53" t="s">
        <v>13</v>
      </c>
      <c r="D386" s="53" t="s">
        <v>50</v>
      </c>
      <c r="E386" s="53" t="s">
        <v>21</v>
      </c>
      <c r="F386" s="54">
        <v>106774</v>
      </c>
      <c r="G386" s="53" t="s">
        <v>30</v>
      </c>
      <c r="H386" s="54" t="s">
        <v>17</v>
      </c>
      <c r="I386" s="54">
        <v>114900</v>
      </c>
      <c r="J386" s="54">
        <v>56900</v>
      </c>
      <c r="K386" s="54">
        <v>49874</v>
      </c>
      <c r="L386" s="53">
        <v>30</v>
      </c>
      <c r="M386" s="55" t="s">
        <v>41</v>
      </c>
      <c r="N386" s="56" t="s">
        <v>103</v>
      </c>
    </row>
    <row r="387" spans="1:14" hidden="1" x14ac:dyDescent="0.3">
      <c r="A387" s="51" t="s">
        <v>493</v>
      </c>
      <c r="B387" s="52">
        <v>46259</v>
      </c>
      <c r="C387" s="53" t="s">
        <v>25</v>
      </c>
      <c r="D387" s="53" t="s">
        <v>43</v>
      </c>
      <c r="E387" s="53" t="s">
        <v>44</v>
      </c>
      <c r="F387" s="54">
        <v>36715</v>
      </c>
      <c r="G387" s="53" t="s">
        <v>40</v>
      </c>
      <c r="H387" s="54" t="s">
        <v>28</v>
      </c>
      <c r="I387" s="54">
        <v>43700</v>
      </c>
      <c r="J387" s="54">
        <v>16600</v>
      </c>
      <c r="K387" s="54">
        <v>20115</v>
      </c>
      <c r="L387" s="53">
        <v>68</v>
      </c>
      <c r="M387" s="55" t="s">
        <v>24</v>
      </c>
      <c r="N387" s="56" t="s">
        <v>105</v>
      </c>
    </row>
    <row r="388" spans="1:14" hidden="1" x14ac:dyDescent="0.3">
      <c r="A388" s="51" t="s">
        <v>494</v>
      </c>
      <c r="B388" s="52">
        <v>46236</v>
      </c>
      <c r="C388" s="53" t="s">
        <v>32</v>
      </c>
      <c r="D388" s="53" t="s">
        <v>20</v>
      </c>
      <c r="E388" s="53" t="s">
        <v>44</v>
      </c>
      <c r="F388" s="54">
        <v>37605</v>
      </c>
      <c r="G388" s="53" t="s">
        <v>16</v>
      </c>
      <c r="H388" s="54" t="s">
        <v>36</v>
      </c>
      <c r="I388" s="54">
        <v>43100</v>
      </c>
      <c r="J388" s="54">
        <v>30400</v>
      </c>
      <c r="K388" s="54">
        <v>7205</v>
      </c>
      <c r="L388" s="53">
        <v>35</v>
      </c>
      <c r="M388" s="55" t="s">
        <v>18</v>
      </c>
      <c r="N388" s="56" t="s">
        <v>103</v>
      </c>
    </row>
    <row r="389" spans="1:14" hidden="1" x14ac:dyDescent="0.3">
      <c r="A389" s="51" t="s">
        <v>495</v>
      </c>
      <c r="B389" s="52">
        <v>46227</v>
      </c>
      <c r="C389" s="53" t="s">
        <v>32</v>
      </c>
      <c r="D389" s="53" t="s">
        <v>26</v>
      </c>
      <c r="E389" s="53" t="s">
        <v>37</v>
      </c>
      <c r="F389" s="54">
        <v>109853</v>
      </c>
      <c r="G389" s="53" t="s">
        <v>16</v>
      </c>
      <c r="H389" s="54" t="s">
        <v>36</v>
      </c>
      <c r="I389" s="54">
        <v>94300</v>
      </c>
      <c r="J389" s="54">
        <v>89700</v>
      </c>
      <c r="K389" s="54">
        <v>20153</v>
      </c>
      <c r="L389" s="53">
        <v>25</v>
      </c>
      <c r="M389" s="55" t="s">
        <v>41</v>
      </c>
      <c r="N389" s="56" t="s">
        <v>114</v>
      </c>
    </row>
    <row r="390" spans="1:14" hidden="1" x14ac:dyDescent="0.3">
      <c r="A390" s="51" t="s">
        <v>496</v>
      </c>
      <c r="B390" s="52">
        <v>46255</v>
      </c>
      <c r="C390" s="53" t="s">
        <v>25</v>
      </c>
      <c r="D390" s="53" t="s">
        <v>29</v>
      </c>
      <c r="E390" s="53" t="s">
        <v>44</v>
      </c>
      <c r="F390" s="54">
        <v>41174</v>
      </c>
      <c r="G390" s="53" t="s">
        <v>35</v>
      </c>
      <c r="H390" s="54" t="s">
        <v>28</v>
      </c>
      <c r="I390" s="54">
        <v>47900</v>
      </c>
      <c r="J390" s="54">
        <v>29100</v>
      </c>
      <c r="K390" s="54">
        <v>12074</v>
      </c>
      <c r="L390" s="53">
        <v>120</v>
      </c>
      <c r="M390" s="55" t="s">
        <v>31</v>
      </c>
      <c r="N390" s="56" t="s">
        <v>108</v>
      </c>
    </row>
    <row r="391" spans="1:14" x14ac:dyDescent="0.3">
      <c r="A391" s="51" t="s">
        <v>497</v>
      </c>
      <c r="B391" s="52">
        <v>46214</v>
      </c>
      <c r="C391" s="53" t="s">
        <v>19</v>
      </c>
      <c r="D391" s="53" t="s">
        <v>47</v>
      </c>
      <c r="E391" s="53" t="s">
        <v>34</v>
      </c>
      <c r="F391" s="54">
        <v>86373</v>
      </c>
      <c r="G391" s="53" t="s">
        <v>22</v>
      </c>
      <c r="H391" s="54" t="s">
        <v>23</v>
      </c>
      <c r="I391" s="54">
        <v>97100</v>
      </c>
      <c r="J391" s="54">
        <v>45800</v>
      </c>
      <c r="K391" s="54">
        <v>40573</v>
      </c>
      <c r="L391" s="53">
        <v>12</v>
      </c>
      <c r="M391" s="55" t="s">
        <v>41</v>
      </c>
      <c r="N391" s="56" t="s">
        <v>114</v>
      </c>
    </row>
    <row r="392" spans="1:14" hidden="1" x14ac:dyDescent="0.3">
      <c r="A392" s="51" t="s">
        <v>498</v>
      </c>
      <c r="B392" s="52">
        <v>46252</v>
      </c>
      <c r="C392" s="53" t="s">
        <v>25</v>
      </c>
      <c r="D392" s="53" t="s">
        <v>29</v>
      </c>
      <c r="E392" s="53" t="s">
        <v>34</v>
      </c>
      <c r="F392" s="54">
        <v>79252</v>
      </c>
      <c r="G392" s="53" t="s">
        <v>40</v>
      </c>
      <c r="H392" s="54" t="s">
        <v>28</v>
      </c>
      <c r="I392" s="54">
        <v>89000</v>
      </c>
      <c r="J392" s="54">
        <v>39000</v>
      </c>
      <c r="K392" s="54">
        <v>40252</v>
      </c>
      <c r="L392" s="53">
        <v>35</v>
      </c>
      <c r="M392" s="55" t="s">
        <v>18</v>
      </c>
      <c r="N392" s="56" t="s">
        <v>103</v>
      </c>
    </row>
    <row r="393" spans="1:14" hidden="1" x14ac:dyDescent="0.3">
      <c r="A393" s="51" t="s">
        <v>499</v>
      </c>
      <c r="B393" s="52">
        <v>46211</v>
      </c>
      <c r="C393" s="53" t="s">
        <v>25</v>
      </c>
      <c r="D393" s="53" t="s">
        <v>46</v>
      </c>
      <c r="E393" s="53" t="s">
        <v>34</v>
      </c>
      <c r="F393" s="54">
        <v>80017</v>
      </c>
      <c r="G393" s="53" t="s">
        <v>40</v>
      </c>
      <c r="H393" s="54" t="s">
        <v>28</v>
      </c>
      <c r="I393" s="54">
        <v>80800</v>
      </c>
      <c r="J393" s="54">
        <v>36800</v>
      </c>
      <c r="K393" s="54">
        <v>43217</v>
      </c>
      <c r="L393" s="53">
        <v>120</v>
      </c>
      <c r="M393" s="55" t="s">
        <v>31</v>
      </c>
      <c r="N393" s="56" t="s">
        <v>108</v>
      </c>
    </row>
    <row r="394" spans="1:14" hidden="1" x14ac:dyDescent="0.3">
      <c r="A394" s="51" t="s">
        <v>500</v>
      </c>
      <c r="B394" s="52">
        <v>46239</v>
      </c>
      <c r="C394" s="53" t="s">
        <v>32</v>
      </c>
      <c r="D394" s="53" t="s">
        <v>14</v>
      </c>
      <c r="E394" s="53" t="s">
        <v>37</v>
      </c>
      <c r="F394" s="54">
        <v>73037</v>
      </c>
      <c r="G394" s="53" t="s">
        <v>40</v>
      </c>
      <c r="H394" s="54" t="s">
        <v>36</v>
      </c>
      <c r="I394" s="54">
        <v>72300</v>
      </c>
      <c r="J394" s="54">
        <v>38900</v>
      </c>
      <c r="K394" s="54">
        <v>34137</v>
      </c>
      <c r="L394" s="53">
        <v>52</v>
      </c>
      <c r="M394" s="55" t="s">
        <v>18</v>
      </c>
      <c r="N394" s="56" t="s">
        <v>103</v>
      </c>
    </row>
    <row r="395" spans="1:14" hidden="1" x14ac:dyDescent="0.3">
      <c r="A395" s="51" t="s">
        <v>501</v>
      </c>
      <c r="B395" s="52">
        <v>46241</v>
      </c>
      <c r="C395" s="53" t="s">
        <v>25</v>
      </c>
      <c r="D395" s="53" t="s">
        <v>29</v>
      </c>
      <c r="E395" s="53" t="s">
        <v>37</v>
      </c>
      <c r="F395" s="54">
        <v>99818</v>
      </c>
      <c r="G395" s="53" t="s">
        <v>16</v>
      </c>
      <c r="H395" s="54" t="s">
        <v>28</v>
      </c>
      <c r="I395" s="54">
        <v>95400</v>
      </c>
      <c r="J395" s="54">
        <v>89400</v>
      </c>
      <c r="K395" s="54">
        <v>10418</v>
      </c>
      <c r="L395" s="53">
        <v>120</v>
      </c>
      <c r="M395" s="55" t="s">
        <v>31</v>
      </c>
      <c r="N395" s="56" t="s">
        <v>108</v>
      </c>
    </row>
    <row r="396" spans="1:14" x14ac:dyDescent="0.3">
      <c r="A396" s="51" t="s">
        <v>503</v>
      </c>
      <c r="B396" s="52">
        <v>46243</v>
      </c>
      <c r="C396" s="53" t="s">
        <v>19</v>
      </c>
      <c r="D396" s="53" t="s">
        <v>33</v>
      </c>
      <c r="E396" s="53" t="s">
        <v>44</v>
      </c>
      <c r="F396" s="54">
        <v>16548</v>
      </c>
      <c r="G396" s="53" t="s">
        <v>22</v>
      </c>
      <c r="H396" s="54" t="s">
        <v>48</v>
      </c>
      <c r="I396" s="54">
        <v>14400</v>
      </c>
      <c r="J396" s="54">
        <v>9400</v>
      </c>
      <c r="K396" s="54">
        <v>7148</v>
      </c>
      <c r="L396" s="53">
        <v>52</v>
      </c>
      <c r="M396" s="55" t="s">
        <v>18</v>
      </c>
      <c r="N396" s="56" t="s">
        <v>103</v>
      </c>
    </row>
    <row r="397" spans="1:14" x14ac:dyDescent="0.3">
      <c r="A397" s="51" t="s">
        <v>504</v>
      </c>
      <c r="B397" s="52">
        <v>46223</v>
      </c>
      <c r="C397" s="53" t="s">
        <v>19</v>
      </c>
      <c r="D397" s="53" t="s">
        <v>47</v>
      </c>
      <c r="E397" s="53" t="s">
        <v>15</v>
      </c>
      <c r="F397" s="54">
        <v>126981</v>
      </c>
      <c r="G397" s="53" t="s">
        <v>35</v>
      </c>
      <c r="H397" s="54" t="s">
        <v>48</v>
      </c>
      <c r="I397" s="54">
        <v>118100</v>
      </c>
      <c r="J397" s="54">
        <v>79600</v>
      </c>
      <c r="K397" s="54">
        <v>47381</v>
      </c>
      <c r="L397" s="53">
        <v>45</v>
      </c>
      <c r="M397" s="55" t="s">
        <v>18</v>
      </c>
      <c r="N397" s="56" t="s">
        <v>103</v>
      </c>
    </row>
    <row r="398" spans="1:14" hidden="1" x14ac:dyDescent="0.3">
      <c r="A398" s="51" t="s">
        <v>505</v>
      </c>
      <c r="B398" s="52">
        <v>46265</v>
      </c>
      <c r="C398" s="53" t="s">
        <v>25</v>
      </c>
      <c r="D398" s="53" t="s">
        <v>50</v>
      </c>
      <c r="E398" s="53" t="s">
        <v>15</v>
      </c>
      <c r="F398" s="54">
        <v>34022</v>
      </c>
      <c r="G398" s="53" t="s">
        <v>30</v>
      </c>
      <c r="H398" s="54" t="s">
        <v>28</v>
      </c>
      <c r="I398" s="54">
        <v>31900</v>
      </c>
      <c r="J398" s="54">
        <v>17100</v>
      </c>
      <c r="K398" s="54">
        <v>16922</v>
      </c>
      <c r="L398" s="53">
        <v>35</v>
      </c>
      <c r="M398" s="55" t="s">
        <v>18</v>
      </c>
      <c r="N398" s="56" t="s">
        <v>103</v>
      </c>
    </row>
    <row r="399" spans="1:14" hidden="1" x14ac:dyDescent="0.3">
      <c r="A399" s="51" t="s">
        <v>506</v>
      </c>
      <c r="B399" s="52">
        <v>46238</v>
      </c>
      <c r="C399" s="53" t="s">
        <v>32</v>
      </c>
      <c r="D399" s="53" t="s">
        <v>39</v>
      </c>
      <c r="E399" s="53" t="s">
        <v>37</v>
      </c>
      <c r="F399" s="54">
        <v>116297</v>
      </c>
      <c r="G399" s="53" t="s">
        <v>30</v>
      </c>
      <c r="H399" s="54" t="s">
        <v>36</v>
      </c>
      <c r="I399" s="54">
        <v>118600</v>
      </c>
      <c r="J399" s="54">
        <v>65300</v>
      </c>
      <c r="K399" s="54">
        <v>50997</v>
      </c>
      <c r="L399" s="53">
        <v>12</v>
      </c>
      <c r="M399" s="55" t="s">
        <v>41</v>
      </c>
      <c r="N399" s="56" t="s">
        <v>114</v>
      </c>
    </row>
    <row r="400" spans="1:14" hidden="1" x14ac:dyDescent="0.3">
      <c r="A400" s="51" t="s">
        <v>507</v>
      </c>
      <c r="B400" s="52">
        <v>46251</v>
      </c>
      <c r="C400" s="53" t="s">
        <v>25</v>
      </c>
      <c r="D400" s="53" t="s">
        <v>42</v>
      </c>
      <c r="E400" s="53" t="s">
        <v>44</v>
      </c>
      <c r="F400" s="54">
        <v>146614</v>
      </c>
      <c r="G400" s="53" t="s">
        <v>40</v>
      </c>
      <c r="H400" s="54" t="s">
        <v>28</v>
      </c>
      <c r="I400" s="54">
        <v>163000</v>
      </c>
      <c r="J400" s="54">
        <v>104000</v>
      </c>
      <c r="K400" s="54">
        <v>42614</v>
      </c>
      <c r="L400" s="53">
        <v>120</v>
      </c>
      <c r="M400" s="55" t="s">
        <v>31</v>
      </c>
      <c r="N400" s="56" t="s">
        <v>108</v>
      </c>
    </row>
    <row r="401" spans="1:14" hidden="1" x14ac:dyDescent="0.3">
      <c r="A401" s="51" t="s">
        <v>508</v>
      </c>
      <c r="B401" s="52">
        <v>46265</v>
      </c>
      <c r="C401" s="53" t="s">
        <v>25</v>
      </c>
      <c r="D401" s="53" t="s">
        <v>33</v>
      </c>
      <c r="E401" s="53" t="s">
        <v>15</v>
      </c>
      <c r="F401" s="54">
        <v>70428</v>
      </c>
      <c r="G401" s="53" t="s">
        <v>22</v>
      </c>
      <c r="H401" s="54" t="s">
        <v>28</v>
      </c>
      <c r="I401" s="54">
        <v>71500</v>
      </c>
      <c r="J401" s="54">
        <v>53100</v>
      </c>
      <c r="K401" s="54">
        <v>17328</v>
      </c>
      <c r="L401" s="53">
        <v>45</v>
      </c>
      <c r="M401" s="55" t="s">
        <v>18</v>
      </c>
      <c r="N401" s="56" t="s">
        <v>103</v>
      </c>
    </row>
    <row r="402" spans="1:14" hidden="1" x14ac:dyDescent="0.3">
      <c r="A402" s="51" t="s">
        <v>509</v>
      </c>
      <c r="B402" s="52">
        <v>46228</v>
      </c>
      <c r="C402" s="53" t="s">
        <v>13</v>
      </c>
      <c r="D402" s="53" t="s">
        <v>45</v>
      </c>
      <c r="E402" s="53" t="s">
        <v>44</v>
      </c>
      <c r="F402" s="54">
        <v>69353</v>
      </c>
      <c r="G402" s="53" t="s">
        <v>16</v>
      </c>
      <c r="H402" s="54" t="s">
        <v>17</v>
      </c>
      <c r="I402" s="54">
        <v>60400</v>
      </c>
      <c r="J402" s="54">
        <v>39700</v>
      </c>
      <c r="K402" s="54">
        <v>29653</v>
      </c>
      <c r="L402" s="53">
        <v>75</v>
      </c>
      <c r="M402" s="55" t="s">
        <v>24</v>
      </c>
      <c r="N402" s="56" t="s">
        <v>105</v>
      </c>
    </row>
    <row r="403" spans="1:14" hidden="1" x14ac:dyDescent="0.3">
      <c r="A403" s="51" t="s">
        <v>510</v>
      </c>
      <c r="B403" s="52">
        <v>46238</v>
      </c>
      <c r="C403" s="53" t="s">
        <v>32</v>
      </c>
      <c r="D403" s="53" t="s">
        <v>47</v>
      </c>
      <c r="E403" s="53" t="s">
        <v>44</v>
      </c>
      <c r="F403" s="54">
        <v>123132</v>
      </c>
      <c r="G403" s="53" t="s">
        <v>22</v>
      </c>
      <c r="H403" s="54" t="s">
        <v>36</v>
      </c>
      <c r="I403" s="54">
        <v>145900</v>
      </c>
      <c r="J403" s="54">
        <v>59000</v>
      </c>
      <c r="K403" s="54">
        <v>64132</v>
      </c>
      <c r="L403" s="53">
        <v>85</v>
      </c>
      <c r="M403" s="55" t="s">
        <v>24</v>
      </c>
      <c r="N403" s="56" t="s">
        <v>105</v>
      </c>
    </row>
    <row r="404" spans="1:14" x14ac:dyDescent="0.3">
      <c r="A404" s="51" t="s">
        <v>511</v>
      </c>
      <c r="B404" s="52">
        <v>46228</v>
      </c>
      <c r="C404" s="53" t="s">
        <v>19</v>
      </c>
      <c r="D404" s="53" t="s">
        <v>39</v>
      </c>
      <c r="E404" s="53" t="s">
        <v>44</v>
      </c>
      <c r="F404" s="54">
        <v>26052</v>
      </c>
      <c r="G404" s="53" t="s">
        <v>22</v>
      </c>
      <c r="H404" s="54" t="s">
        <v>48</v>
      </c>
      <c r="I404" s="54">
        <v>30700</v>
      </c>
      <c r="J404" s="54">
        <v>16800</v>
      </c>
      <c r="K404" s="54">
        <v>9252</v>
      </c>
      <c r="L404" s="53">
        <v>105</v>
      </c>
      <c r="M404" s="55" t="s">
        <v>31</v>
      </c>
      <c r="N404" s="56" t="s">
        <v>108</v>
      </c>
    </row>
    <row r="405" spans="1:14" x14ac:dyDescent="0.3">
      <c r="A405" s="51" t="s">
        <v>512</v>
      </c>
      <c r="B405" s="52">
        <v>46232</v>
      </c>
      <c r="C405" s="53" t="s">
        <v>19</v>
      </c>
      <c r="D405" s="53" t="s">
        <v>39</v>
      </c>
      <c r="E405" s="53" t="s">
        <v>27</v>
      </c>
      <c r="F405" s="54">
        <v>110689</v>
      </c>
      <c r="G405" s="53" t="s">
        <v>16</v>
      </c>
      <c r="H405" s="54" t="s">
        <v>48</v>
      </c>
      <c r="I405" s="54">
        <v>124500</v>
      </c>
      <c r="J405" s="54">
        <v>62800</v>
      </c>
      <c r="K405" s="54">
        <v>47889</v>
      </c>
      <c r="L405" s="53">
        <v>105</v>
      </c>
      <c r="M405" s="55" t="s">
        <v>31</v>
      </c>
      <c r="N405" s="56" t="s">
        <v>108</v>
      </c>
    </row>
    <row r="406" spans="1:14" x14ac:dyDescent="0.3">
      <c r="A406" s="51" t="s">
        <v>513</v>
      </c>
      <c r="B406" s="52">
        <v>46221</v>
      </c>
      <c r="C406" s="53" t="s">
        <v>19</v>
      </c>
      <c r="D406" s="53" t="s">
        <v>26</v>
      </c>
      <c r="E406" s="53" t="s">
        <v>34</v>
      </c>
      <c r="F406" s="54">
        <v>141743</v>
      </c>
      <c r="G406" s="53" t="s">
        <v>40</v>
      </c>
      <c r="H406" s="54" t="s">
        <v>23</v>
      </c>
      <c r="I406" s="54">
        <v>169700</v>
      </c>
      <c r="J406" s="54">
        <v>79300</v>
      </c>
      <c r="K406" s="54">
        <v>62443</v>
      </c>
      <c r="L406" s="53">
        <v>30</v>
      </c>
      <c r="M406" s="55" t="s">
        <v>41</v>
      </c>
      <c r="N406" s="56" t="s">
        <v>103</v>
      </c>
    </row>
    <row r="407" spans="1:14" x14ac:dyDescent="0.3">
      <c r="A407" s="51" t="s">
        <v>514</v>
      </c>
      <c r="B407" s="52">
        <v>46249</v>
      </c>
      <c r="C407" s="53" t="s">
        <v>19</v>
      </c>
      <c r="D407" s="53" t="s">
        <v>47</v>
      </c>
      <c r="E407" s="53" t="s">
        <v>44</v>
      </c>
      <c r="F407" s="54">
        <v>10163</v>
      </c>
      <c r="G407" s="53" t="s">
        <v>22</v>
      </c>
      <c r="H407" s="54" t="s">
        <v>48</v>
      </c>
      <c r="I407" s="54">
        <v>10600</v>
      </c>
      <c r="J407" s="54">
        <v>9500</v>
      </c>
      <c r="K407" s="54">
        <v>663</v>
      </c>
      <c r="L407" s="53">
        <v>35</v>
      </c>
      <c r="M407" s="55" t="s">
        <v>18</v>
      </c>
      <c r="N407" s="56" t="s">
        <v>103</v>
      </c>
    </row>
    <row r="408" spans="1:14" x14ac:dyDescent="0.3">
      <c r="A408" s="51" t="s">
        <v>515</v>
      </c>
      <c r="B408" s="52">
        <v>46221</v>
      </c>
      <c r="C408" s="53" t="s">
        <v>19</v>
      </c>
      <c r="D408" s="53" t="s">
        <v>14</v>
      </c>
      <c r="E408" s="53" t="s">
        <v>27</v>
      </c>
      <c r="F408" s="54">
        <v>51424</v>
      </c>
      <c r="G408" s="53" t="s">
        <v>30</v>
      </c>
      <c r="H408" s="54" t="s">
        <v>48</v>
      </c>
      <c r="I408" s="54">
        <v>61000</v>
      </c>
      <c r="J408" s="54">
        <v>39000</v>
      </c>
      <c r="K408" s="54">
        <v>12424</v>
      </c>
      <c r="L408" s="53">
        <v>68</v>
      </c>
      <c r="M408" s="55" t="s">
        <v>24</v>
      </c>
      <c r="N408" s="56" t="s">
        <v>105</v>
      </c>
    </row>
    <row r="409" spans="1:14" x14ac:dyDescent="0.3">
      <c r="A409" s="51" t="s">
        <v>516</v>
      </c>
      <c r="B409" s="52">
        <v>46205</v>
      </c>
      <c r="C409" s="53" t="s">
        <v>19</v>
      </c>
      <c r="D409" s="53" t="s">
        <v>43</v>
      </c>
      <c r="E409" s="53" t="s">
        <v>37</v>
      </c>
      <c r="F409" s="54">
        <v>145870</v>
      </c>
      <c r="G409" s="53" t="s">
        <v>16</v>
      </c>
      <c r="H409" s="54" t="s">
        <v>23</v>
      </c>
      <c r="I409" s="54">
        <v>127800</v>
      </c>
      <c r="J409" s="54">
        <v>106300</v>
      </c>
      <c r="K409" s="54">
        <v>39570</v>
      </c>
      <c r="L409" s="53">
        <v>52</v>
      </c>
      <c r="M409" s="55" t="s">
        <v>18</v>
      </c>
      <c r="N409" s="56" t="s">
        <v>103</v>
      </c>
    </row>
    <row r="410" spans="1:14" x14ac:dyDescent="0.3">
      <c r="A410" s="51" t="s">
        <v>517</v>
      </c>
      <c r="B410" s="52">
        <v>46257</v>
      </c>
      <c r="C410" s="53" t="s">
        <v>19</v>
      </c>
      <c r="D410" s="53" t="s">
        <v>46</v>
      </c>
      <c r="E410" s="53" t="s">
        <v>15</v>
      </c>
      <c r="F410" s="54">
        <v>32420</v>
      </c>
      <c r="G410" s="53" t="s">
        <v>35</v>
      </c>
      <c r="H410" s="54" t="s">
        <v>23</v>
      </c>
      <c r="I410" s="54">
        <v>31700</v>
      </c>
      <c r="J410" s="54">
        <v>21300</v>
      </c>
      <c r="K410" s="54">
        <v>11120</v>
      </c>
      <c r="L410" s="53">
        <v>105</v>
      </c>
      <c r="M410" s="55" t="s">
        <v>31</v>
      </c>
      <c r="N410" s="56" t="s">
        <v>108</v>
      </c>
    </row>
    <row r="411" spans="1:14" x14ac:dyDescent="0.3">
      <c r="A411" s="51" t="s">
        <v>518</v>
      </c>
      <c r="B411" s="52">
        <v>46238</v>
      </c>
      <c r="C411" s="53" t="s">
        <v>19</v>
      </c>
      <c r="D411" s="53" t="s">
        <v>45</v>
      </c>
      <c r="E411" s="53" t="s">
        <v>34</v>
      </c>
      <c r="F411" s="54">
        <v>130575</v>
      </c>
      <c r="G411" s="53" t="s">
        <v>40</v>
      </c>
      <c r="H411" s="54" t="s">
        <v>48</v>
      </c>
      <c r="I411" s="54">
        <v>121300</v>
      </c>
      <c r="J411" s="54">
        <v>86800</v>
      </c>
      <c r="K411" s="54">
        <v>43775</v>
      </c>
      <c r="L411" s="53">
        <v>52</v>
      </c>
      <c r="M411" s="55" t="s">
        <v>18</v>
      </c>
      <c r="N411" s="56" t="s">
        <v>103</v>
      </c>
    </row>
    <row r="412" spans="1:14" hidden="1" x14ac:dyDescent="0.3">
      <c r="A412" s="51" t="s">
        <v>519</v>
      </c>
      <c r="B412" s="52">
        <v>46219</v>
      </c>
      <c r="C412" s="53" t="s">
        <v>13</v>
      </c>
      <c r="D412" s="53" t="s">
        <v>46</v>
      </c>
      <c r="E412" s="53" t="s">
        <v>15</v>
      </c>
      <c r="F412" s="54">
        <v>39300</v>
      </c>
      <c r="G412" s="53" t="s">
        <v>16</v>
      </c>
      <c r="H412" s="54" t="s">
        <v>17</v>
      </c>
      <c r="I412" s="54">
        <v>36100</v>
      </c>
      <c r="J412" s="54">
        <v>28300</v>
      </c>
      <c r="K412" s="54">
        <v>11000</v>
      </c>
      <c r="L412" s="53">
        <v>18</v>
      </c>
      <c r="M412" s="55" t="s">
        <v>41</v>
      </c>
      <c r="N412" s="56" t="s">
        <v>114</v>
      </c>
    </row>
    <row r="413" spans="1:14" hidden="1" x14ac:dyDescent="0.3">
      <c r="A413" s="51" t="s">
        <v>520</v>
      </c>
      <c r="B413" s="52">
        <v>46264</v>
      </c>
      <c r="C413" s="53" t="s">
        <v>101</v>
      </c>
      <c r="D413" s="53" t="s">
        <v>50</v>
      </c>
      <c r="E413" s="53" t="s">
        <v>34</v>
      </c>
      <c r="F413" s="54">
        <v>99881</v>
      </c>
      <c r="G413" s="53" t="s">
        <v>35</v>
      </c>
      <c r="H413" s="54" t="s">
        <v>23</v>
      </c>
      <c r="I413" s="54">
        <v>89800</v>
      </c>
      <c r="J413" s="54">
        <v>79700</v>
      </c>
      <c r="K413" s="54">
        <v>20181</v>
      </c>
      <c r="L413" s="53">
        <v>85</v>
      </c>
      <c r="M413" s="55" t="s">
        <v>24</v>
      </c>
      <c r="N413" s="56" t="s">
        <v>105</v>
      </c>
    </row>
    <row r="414" spans="1:14" hidden="1" x14ac:dyDescent="0.3">
      <c r="A414" s="51" t="s">
        <v>521</v>
      </c>
      <c r="B414" s="52">
        <v>46244</v>
      </c>
      <c r="C414" s="53" t="s">
        <v>25</v>
      </c>
      <c r="D414" s="53" t="s">
        <v>50</v>
      </c>
      <c r="E414" s="53" t="s">
        <v>15</v>
      </c>
      <c r="F414" s="54">
        <v>20749</v>
      </c>
      <c r="G414" s="53" t="s">
        <v>35</v>
      </c>
      <c r="H414" s="54" t="s">
        <v>28</v>
      </c>
      <c r="I414" s="54">
        <v>22200</v>
      </c>
      <c r="J414" s="54">
        <v>16600</v>
      </c>
      <c r="K414" s="54">
        <v>4149</v>
      </c>
      <c r="L414" s="53">
        <v>85</v>
      </c>
      <c r="M414" s="55" t="s">
        <v>24</v>
      </c>
      <c r="N414" s="56" t="s">
        <v>105</v>
      </c>
    </row>
    <row r="415" spans="1:14" hidden="1" x14ac:dyDescent="0.3">
      <c r="A415" s="51" t="s">
        <v>522</v>
      </c>
      <c r="B415" s="52">
        <v>46239</v>
      </c>
      <c r="C415" s="53" t="s">
        <v>25</v>
      </c>
      <c r="D415" s="53" t="s">
        <v>46</v>
      </c>
      <c r="E415" s="53" t="s">
        <v>34</v>
      </c>
      <c r="F415" s="54">
        <v>114131</v>
      </c>
      <c r="G415" s="53" t="s">
        <v>22</v>
      </c>
      <c r="H415" s="54" t="s">
        <v>28</v>
      </c>
      <c r="I415" s="54">
        <v>128200</v>
      </c>
      <c r="J415" s="54">
        <v>61200</v>
      </c>
      <c r="K415" s="54">
        <v>52931</v>
      </c>
      <c r="L415" s="53">
        <v>105</v>
      </c>
      <c r="M415" s="55" t="s">
        <v>31</v>
      </c>
      <c r="N415" s="56" t="s">
        <v>108</v>
      </c>
    </row>
    <row r="416" spans="1:14" hidden="1" x14ac:dyDescent="0.3">
      <c r="A416" s="51" t="s">
        <v>523</v>
      </c>
      <c r="B416" s="52">
        <v>46236</v>
      </c>
      <c r="C416" s="53" t="s">
        <v>13</v>
      </c>
      <c r="D416" s="53" t="s">
        <v>29</v>
      </c>
      <c r="E416" s="53" t="s">
        <v>15</v>
      </c>
      <c r="F416" s="54">
        <v>138563</v>
      </c>
      <c r="G416" s="53" t="s">
        <v>22</v>
      </c>
      <c r="H416" s="54" t="s">
        <v>17</v>
      </c>
      <c r="I416" s="54">
        <v>145800</v>
      </c>
      <c r="J416" s="54">
        <v>97000</v>
      </c>
      <c r="K416" s="54">
        <v>41563</v>
      </c>
      <c r="L416" s="53">
        <v>45</v>
      </c>
      <c r="M416" s="55" t="s">
        <v>18</v>
      </c>
      <c r="N416" s="56" t="s">
        <v>103</v>
      </c>
    </row>
    <row r="417" spans="1:14" x14ac:dyDescent="0.3">
      <c r="A417" s="51" t="s">
        <v>524</v>
      </c>
      <c r="B417" s="52">
        <v>46207</v>
      </c>
      <c r="C417" s="53" t="s">
        <v>19</v>
      </c>
      <c r="D417" s="53" t="s">
        <v>14</v>
      </c>
      <c r="E417" s="53" t="s">
        <v>15</v>
      </c>
      <c r="F417" s="54">
        <v>47487</v>
      </c>
      <c r="G417" s="53" t="s">
        <v>22</v>
      </c>
      <c r="H417" s="54" t="s">
        <v>23</v>
      </c>
      <c r="I417" s="54">
        <v>42800</v>
      </c>
      <c r="J417" s="54">
        <v>31200</v>
      </c>
      <c r="K417" s="54">
        <v>16287</v>
      </c>
      <c r="L417" s="53">
        <v>5</v>
      </c>
      <c r="M417" s="55" t="s">
        <v>41</v>
      </c>
      <c r="N417" s="56" t="s">
        <v>114</v>
      </c>
    </row>
    <row r="418" spans="1:14" hidden="1" x14ac:dyDescent="0.3">
      <c r="A418" s="51" t="s">
        <v>525</v>
      </c>
      <c r="B418" s="52">
        <v>46236</v>
      </c>
      <c r="C418" s="53" t="s">
        <v>25</v>
      </c>
      <c r="D418" s="53" t="s">
        <v>38</v>
      </c>
      <c r="E418" s="53" t="s">
        <v>15</v>
      </c>
      <c r="F418" s="54">
        <v>31223</v>
      </c>
      <c r="G418" s="53" t="s">
        <v>16</v>
      </c>
      <c r="H418" s="54" t="s">
        <v>28</v>
      </c>
      <c r="I418" s="54">
        <v>35400</v>
      </c>
      <c r="J418" s="54">
        <v>27600</v>
      </c>
      <c r="K418" s="54">
        <v>3623</v>
      </c>
      <c r="L418" s="53">
        <v>5</v>
      </c>
      <c r="M418" s="55" t="s">
        <v>41</v>
      </c>
      <c r="N418" s="56" t="s">
        <v>114</v>
      </c>
    </row>
    <row r="419" spans="1:14" hidden="1" x14ac:dyDescent="0.3">
      <c r="A419" s="51" t="s">
        <v>502</v>
      </c>
      <c r="B419" s="52">
        <v>46217</v>
      </c>
      <c r="C419" s="53" t="s">
        <v>13</v>
      </c>
      <c r="D419" s="53" t="s">
        <v>29</v>
      </c>
      <c r="E419" s="53" t="s">
        <v>15</v>
      </c>
      <c r="F419" s="54">
        <v>82930</v>
      </c>
      <c r="G419" s="53" t="s">
        <v>16</v>
      </c>
      <c r="H419" s="54" t="s">
        <v>17</v>
      </c>
      <c r="I419" s="54">
        <v>88900</v>
      </c>
      <c r="J419" s="54">
        <v>63500</v>
      </c>
      <c r="K419" s="54">
        <v>19430</v>
      </c>
      <c r="L419" s="53">
        <v>45</v>
      </c>
      <c r="M419" s="55" t="s">
        <v>18</v>
      </c>
      <c r="N419" s="56" t="s">
        <v>103</v>
      </c>
    </row>
    <row r="420" spans="1:14" hidden="1" x14ac:dyDescent="0.3">
      <c r="A420" s="51" t="s">
        <v>526</v>
      </c>
      <c r="B420" s="52">
        <v>46224</v>
      </c>
      <c r="C420" s="53" t="s">
        <v>13</v>
      </c>
      <c r="D420" s="53" t="s">
        <v>20</v>
      </c>
      <c r="E420" s="53" t="s">
        <v>37</v>
      </c>
      <c r="F420" s="54">
        <v>38380</v>
      </c>
      <c r="G420" s="53" t="s">
        <v>40</v>
      </c>
      <c r="H420" s="54" t="s">
        <v>17</v>
      </c>
      <c r="I420" s="54">
        <v>37800</v>
      </c>
      <c r="J420" s="54">
        <v>27500</v>
      </c>
      <c r="K420" s="54">
        <v>10880</v>
      </c>
      <c r="L420" s="53">
        <v>120</v>
      </c>
      <c r="M420" s="55" t="s">
        <v>31</v>
      </c>
      <c r="N420" s="56" t="s">
        <v>108</v>
      </c>
    </row>
    <row r="421" spans="1:14" hidden="1" x14ac:dyDescent="0.3">
      <c r="A421" s="51" t="s">
        <v>527</v>
      </c>
      <c r="B421" s="52">
        <v>46251</v>
      </c>
      <c r="C421" s="53" t="s">
        <v>13</v>
      </c>
      <c r="D421" s="53" t="s">
        <v>29</v>
      </c>
      <c r="E421" s="53" t="s">
        <v>44</v>
      </c>
      <c r="F421" s="54">
        <v>36035</v>
      </c>
      <c r="G421" s="53" t="s">
        <v>22</v>
      </c>
      <c r="H421" s="54" t="s">
        <v>17</v>
      </c>
      <c r="I421" s="54">
        <v>39100</v>
      </c>
      <c r="J421" s="54">
        <v>18300</v>
      </c>
      <c r="K421" s="54">
        <v>17735</v>
      </c>
      <c r="L421" s="53">
        <v>120</v>
      </c>
      <c r="M421" s="55" t="s">
        <v>31</v>
      </c>
      <c r="N421" s="56" t="s">
        <v>108</v>
      </c>
    </row>
    <row r="422" spans="1:14" x14ac:dyDescent="0.3">
      <c r="A422" s="51" t="s">
        <v>528</v>
      </c>
      <c r="B422" s="52">
        <v>46223</v>
      </c>
      <c r="C422" s="53" t="s">
        <v>19</v>
      </c>
      <c r="D422" s="53" t="s">
        <v>42</v>
      </c>
      <c r="E422" s="53" t="s">
        <v>21</v>
      </c>
      <c r="F422" s="54">
        <v>40620</v>
      </c>
      <c r="G422" s="53" t="s">
        <v>35</v>
      </c>
      <c r="H422" s="54" t="s">
        <v>23</v>
      </c>
      <c r="I422" s="54">
        <v>38200</v>
      </c>
      <c r="J422" s="54">
        <v>30600</v>
      </c>
      <c r="K422" s="54">
        <v>10020</v>
      </c>
      <c r="L422" s="53">
        <v>68</v>
      </c>
      <c r="M422" s="55" t="s">
        <v>24</v>
      </c>
      <c r="N422" s="56" t="s">
        <v>105</v>
      </c>
    </row>
    <row r="423" spans="1:14" x14ac:dyDescent="0.3">
      <c r="A423" s="51" t="s">
        <v>529</v>
      </c>
      <c r="B423" s="52">
        <v>46259</v>
      </c>
      <c r="C423" s="53" t="s">
        <v>19</v>
      </c>
      <c r="D423" s="53" t="s">
        <v>51</v>
      </c>
      <c r="E423" s="53" t="s">
        <v>27</v>
      </c>
      <c r="F423" s="54">
        <v>127360</v>
      </c>
      <c r="G423" s="53" t="s">
        <v>30</v>
      </c>
      <c r="H423" s="54" t="s">
        <v>48</v>
      </c>
      <c r="I423" s="54">
        <v>123600</v>
      </c>
      <c r="J423" s="54">
        <v>64800</v>
      </c>
      <c r="K423" s="54">
        <v>62560</v>
      </c>
      <c r="L423" s="53">
        <v>60</v>
      </c>
      <c r="M423" s="55" t="s">
        <v>18</v>
      </c>
      <c r="N423" s="56" t="s">
        <v>103</v>
      </c>
    </row>
    <row r="424" spans="1:14" hidden="1" x14ac:dyDescent="0.3">
      <c r="A424" s="51" t="s">
        <v>530</v>
      </c>
      <c r="B424" s="52">
        <v>46211</v>
      </c>
      <c r="C424" s="53" t="s">
        <v>32</v>
      </c>
      <c r="D424" s="53" t="s">
        <v>43</v>
      </c>
      <c r="E424" s="53" t="s">
        <v>21</v>
      </c>
      <c r="F424" s="54">
        <v>63352</v>
      </c>
      <c r="G424" s="53" t="s">
        <v>40</v>
      </c>
      <c r="H424" s="54" t="s">
        <v>36</v>
      </c>
      <c r="I424" s="54">
        <v>74200</v>
      </c>
      <c r="J424" s="54">
        <v>39200</v>
      </c>
      <c r="K424" s="54">
        <v>24152</v>
      </c>
      <c r="L424" s="53">
        <v>45</v>
      </c>
      <c r="M424" s="55" t="s">
        <v>18</v>
      </c>
      <c r="N424" s="56" t="s">
        <v>103</v>
      </c>
    </row>
    <row r="425" spans="1:14" hidden="1" x14ac:dyDescent="0.3">
      <c r="A425" s="51" t="s">
        <v>531</v>
      </c>
      <c r="B425" s="52">
        <v>46210</v>
      </c>
      <c r="C425" s="53" t="s">
        <v>13</v>
      </c>
      <c r="D425" s="53" t="s">
        <v>42</v>
      </c>
      <c r="E425" s="53" t="s">
        <v>21</v>
      </c>
      <c r="F425" s="54">
        <v>13191</v>
      </c>
      <c r="G425" s="53" t="s">
        <v>16</v>
      </c>
      <c r="H425" s="54" t="s">
        <v>17</v>
      </c>
      <c r="I425" s="54">
        <v>12600</v>
      </c>
      <c r="J425" s="54">
        <v>6900</v>
      </c>
      <c r="K425" s="54">
        <v>6291</v>
      </c>
      <c r="L425" s="53">
        <v>68</v>
      </c>
      <c r="M425" s="55" t="s">
        <v>24</v>
      </c>
      <c r="N425" s="56" t="s">
        <v>105</v>
      </c>
    </row>
    <row r="426" spans="1:14" hidden="1" x14ac:dyDescent="0.3">
      <c r="A426" s="51" t="s">
        <v>532</v>
      </c>
      <c r="B426" s="52">
        <v>46206</v>
      </c>
      <c r="C426" s="53" t="s">
        <v>25</v>
      </c>
      <c r="D426" s="53" t="s">
        <v>26</v>
      </c>
      <c r="E426" s="53" t="s">
        <v>34</v>
      </c>
      <c r="F426" s="54">
        <v>100536</v>
      </c>
      <c r="G426" s="53" t="s">
        <v>40</v>
      </c>
      <c r="H426" s="54" t="s">
        <v>28</v>
      </c>
      <c r="I426" s="54">
        <v>102000</v>
      </c>
      <c r="J426" s="54">
        <v>80000</v>
      </c>
      <c r="K426" s="54">
        <v>20536</v>
      </c>
      <c r="L426" s="53">
        <v>30</v>
      </c>
      <c r="M426" s="55" t="s">
        <v>41</v>
      </c>
      <c r="N426" s="56" t="s">
        <v>103</v>
      </c>
    </row>
    <row r="427" spans="1:14" hidden="1" x14ac:dyDescent="0.3">
      <c r="A427" s="51" t="s">
        <v>533</v>
      </c>
      <c r="B427" s="52">
        <v>46220</v>
      </c>
      <c r="C427" s="53" t="s">
        <v>25</v>
      </c>
      <c r="D427" s="53" t="s">
        <v>51</v>
      </c>
      <c r="E427" s="53" t="s">
        <v>44</v>
      </c>
      <c r="F427" s="54">
        <v>114576</v>
      </c>
      <c r="G427" s="53" t="s">
        <v>40</v>
      </c>
      <c r="H427" s="54" t="s">
        <v>28</v>
      </c>
      <c r="I427" s="54">
        <v>133100</v>
      </c>
      <c r="J427" s="54">
        <v>63400</v>
      </c>
      <c r="K427" s="54">
        <v>51176</v>
      </c>
      <c r="L427" s="53">
        <v>52</v>
      </c>
      <c r="M427" s="55" t="s">
        <v>18</v>
      </c>
      <c r="N427" s="56" t="s">
        <v>103</v>
      </c>
    </row>
    <row r="428" spans="1:14" x14ac:dyDescent="0.3">
      <c r="A428" s="51" t="s">
        <v>534</v>
      </c>
      <c r="B428" s="52">
        <v>46236</v>
      </c>
      <c r="C428" s="53" t="s">
        <v>19</v>
      </c>
      <c r="D428" s="53" t="s">
        <v>51</v>
      </c>
      <c r="E428" s="53" t="s">
        <v>34</v>
      </c>
      <c r="F428" s="54">
        <v>13631</v>
      </c>
      <c r="G428" s="53" t="s">
        <v>40</v>
      </c>
      <c r="H428" s="54" t="s">
        <v>48</v>
      </c>
      <c r="I428" s="54">
        <v>15000</v>
      </c>
      <c r="J428" s="54">
        <v>8800</v>
      </c>
      <c r="K428" s="54">
        <v>4831</v>
      </c>
      <c r="L428" s="53">
        <v>12</v>
      </c>
      <c r="M428" s="55" t="s">
        <v>41</v>
      </c>
      <c r="N428" s="56" t="s">
        <v>114</v>
      </c>
    </row>
    <row r="429" spans="1:14" hidden="1" x14ac:dyDescent="0.3">
      <c r="A429" s="51" t="s">
        <v>535</v>
      </c>
      <c r="B429" s="52">
        <v>46251</v>
      </c>
      <c r="C429" s="53" t="s">
        <v>32</v>
      </c>
      <c r="D429" s="53" t="s">
        <v>47</v>
      </c>
      <c r="E429" s="53" t="s">
        <v>44</v>
      </c>
      <c r="F429" s="54">
        <v>147244</v>
      </c>
      <c r="G429" s="53" t="s">
        <v>40</v>
      </c>
      <c r="H429" s="54" t="s">
        <v>36</v>
      </c>
      <c r="I429" s="54">
        <v>128400</v>
      </c>
      <c r="J429" s="54">
        <v>132200</v>
      </c>
      <c r="K429" s="54">
        <v>15044</v>
      </c>
      <c r="L429" s="53">
        <v>60</v>
      </c>
      <c r="M429" s="55" t="s">
        <v>18</v>
      </c>
      <c r="N429" s="56" t="s">
        <v>103</v>
      </c>
    </row>
    <row r="430" spans="1:14" x14ac:dyDescent="0.3">
      <c r="A430" s="51" t="s">
        <v>536</v>
      </c>
      <c r="B430" s="52">
        <v>46215</v>
      </c>
      <c r="C430" s="53" t="s">
        <v>19</v>
      </c>
      <c r="D430" s="53" t="s">
        <v>14</v>
      </c>
      <c r="E430" s="53" t="s">
        <v>44</v>
      </c>
      <c r="F430" s="54">
        <v>52080</v>
      </c>
      <c r="G430" s="53" t="s">
        <v>30</v>
      </c>
      <c r="H430" s="54" t="s">
        <v>48</v>
      </c>
      <c r="I430" s="54">
        <v>47000</v>
      </c>
      <c r="J430" s="54">
        <v>28800</v>
      </c>
      <c r="K430" s="54">
        <v>23280</v>
      </c>
      <c r="L430" s="53">
        <v>35</v>
      </c>
      <c r="M430" s="55" t="s">
        <v>18</v>
      </c>
      <c r="N430" s="56" t="s">
        <v>103</v>
      </c>
    </row>
    <row r="431" spans="1:14" hidden="1" x14ac:dyDescent="0.3">
      <c r="A431" s="51" t="s">
        <v>537</v>
      </c>
      <c r="B431" s="52">
        <v>46262</v>
      </c>
      <c r="C431" s="53" t="s">
        <v>25</v>
      </c>
      <c r="D431" s="53" t="s">
        <v>14</v>
      </c>
      <c r="E431" s="53" t="s">
        <v>15</v>
      </c>
      <c r="F431" s="54">
        <v>100353</v>
      </c>
      <c r="G431" s="53" t="s">
        <v>22</v>
      </c>
      <c r="H431" s="54" t="s">
        <v>28</v>
      </c>
      <c r="I431" s="54">
        <v>85600</v>
      </c>
      <c r="J431" s="54">
        <v>70600</v>
      </c>
      <c r="K431" s="54">
        <v>29753</v>
      </c>
      <c r="L431" s="53">
        <v>95</v>
      </c>
      <c r="M431" s="55" t="s">
        <v>31</v>
      </c>
      <c r="N431" s="56" t="s">
        <v>624</v>
      </c>
    </row>
    <row r="432" spans="1:14" hidden="1" x14ac:dyDescent="0.3">
      <c r="A432" s="51" t="s">
        <v>538</v>
      </c>
      <c r="B432" s="52">
        <v>46254</v>
      </c>
      <c r="C432" s="53" t="s">
        <v>25</v>
      </c>
      <c r="D432" s="53" t="s">
        <v>51</v>
      </c>
      <c r="E432" s="53" t="s">
        <v>37</v>
      </c>
      <c r="F432" s="54">
        <v>38671</v>
      </c>
      <c r="G432" s="53" t="s">
        <v>35</v>
      </c>
      <c r="H432" s="54" t="s">
        <v>28</v>
      </c>
      <c r="I432" s="54">
        <v>41400</v>
      </c>
      <c r="J432" s="54">
        <v>25500</v>
      </c>
      <c r="K432" s="54">
        <v>13171</v>
      </c>
      <c r="L432" s="53">
        <v>60</v>
      </c>
      <c r="M432" s="55" t="s">
        <v>18</v>
      </c>
      <c r="N432" s="56" t="s">
        <v>103</v>
      </c>
    </row>
    <row r="433" spans="1:14" hidden="1" x14ac:dyDescent="0.3">
      <c r="A433" s="51" t="s">
        <v>539</v>
      </c>
      <c r="B433" s="52">
        <v>46225</v>
      </c>
      <c r="C433" s="53" t="s">
        <v>25</v>
      </c>
      <c r="D433" s="53" t="s">
        <v>20</v>
      </c>
      <c r="E433" s="53" t="s">
        <v>15</v>
      </c>
      <c r="F433" s="54">
        <v>132811</v>
      </c>
      <c r="G433" s="53" t="s">
        <v>40</v>
      </c>
      <c r="H433" s="54" t="s">
        <v>28</v>
      </c>
      <c r="I433" s="54">
        <v>133700</v>
      </c>
      <c r="J433" s="54">
        <v>61000</v>
      </c>
      <c r="K433" s="54">
        <v>71811</v>
      </c>
      <c r="L433" s="53">
        <v>12</v>
      </c>
      <c r="M433" s="55" t="s">
        <v>41</v>
      </c>
      <c r="N433" s="56" t="s">
        <v>114</v>
      </c>
    </row>
    <row r="434" spans="1:14" x14ac:dyDescent="0.3">
      <c r="A434" s="51" t="s">
        <v>324</v>
      </c>
      <c r="B434" s="52">
        <v>46258</v>
      </c>
      <c r="C434" s="53" t="s">
        <v>19</v>
      </c>
      <c r="D434" s="53" t="s">
        <v>29</v>
      </c>
      <c r="E434" s="53" t="s">
        <v>37</v>
      </c>
      <c r="F434" s="54">
        <v>137734</v>
      </c>
      <c r="G434" s="53" t="s">
        <v>40</v>
      </c>
      <c r="H434" s="54" t="s">
        <v>23</v>
      </c>
      <c r="I434" s="54">
        <v>123500</v>
      </c>
      <c r="J434" s="54">
        <v>116600</v>
      </c>
      <c r="K434" s="54">
        <v>21134</v>
      </c>
      <c r="L434" s="53">
        <v>18</v>
      </c>
      <c r="M434" s="55" t="s">
        <v>41</v>
      </c>
      <c r="N434" s="56" t="s">
        <v>114</v>
      </c>
    </row>
    <row r="435" spans="1:14" x14ac:dyDescent="0.3">
      <c r="A435" s="51" t="s">
        <v>540</v>
      </c>
      <c r="B435" s="52">
        <v>46225</v>
      </c>
      <c r="C435" s="53" t="s">
        <v>19</v>
      </c>
      <c r="D435" s="53" t="s">
        <v>47</v>
      </c>
      <c r="E435" s="53" t="s">
        <v>34</v>
      </c>
      <c r="F435" s="54">
        <v>61399</v>
      </c>
      <c r="G435" s="53" t="s">
        <v>40</v>
      </c>
      <c r="H435" s="54" t="s">
        <v>48</v>
      </c>
      <c r="I435" s="54">
        <v>72800</v>
      </c>
      <c r="J435" s="54">
        <v>29700</v>
      </c>
      <c r="K435" s="54">
        <v>31699</v>
      </c>
      <c r="L435" s="53">
        <v>85</v>
      </c>
      <c r="M435" s="55" t="s">
        <v>24</v>
      </c>
      <c r="N435" s="56" t="s">
        <v>105</v>
      </c>
    </row>
    <row r="436" spans="1:14" hidden="1" x14ac:dyDescent="0.3">
      <c r="A436" s="51" t="s">
        <v>541</v>
      </c>
      <c r="B436" s="52">
        <v>46249</v>
      </c>
      <c r="C436" s="53" t="s">
        <v>32</v>
      </c>
      <c r="D436" s="53" t="s">
        <v>43</v>
      </c>
      <c r="E436" s="53" t="s">
        <v>37</v>
      </c>
      <c r="F436" s="54">
        <v>17099</v>
      </c>
      <c r="G436" s="53" t="s">
        <v>22</v>
      </c>
      <c r="H436" s="54" t="s">
        <v>36</v>
      </c>
      <c r="I436" s="54">
        <v>17700</v>
      </c>
      <c r="J436" s="54">
        <v>11700</v>
      </c>
      <c r="K436" s="54">
        <v>5399</v>
      </c>
      <c r="L436" s="53">
        <v>52</v>
      </c>
      <c r="M436" s="55" t="s">
        <v>18</v>
      </c>
      <c r="N436" s="56" t="s">
        <v>103</v>
      </c>
    </row>
    <row r="437" spans="1:14" x14ac:dyDescent="0.3">
      <c r="A437" s="51" t="s">
        <v>542</v>
      </c>
      <c r="B437" s="52">
        <v>46233</v>
      </c>
      <c r="C437" s="53" t="s">
        <v>19</v>
      </c>
      <c r="D437" s="53" t="s">
        <v>51</v>
      </c>
      <c r="E437" s="53" t="s">
        <v>34</v>
      </c>
      <c r="F437" s="54">
        <v>66492</v>
      </c>
      <c r="G437" s="53" t="s">
        <v>16</v>
      </c>
      <c r="H437" s="54" t="s">
        <v>23</v>
      </c>
      <c r="I437" s="54">
        <v>62100</v>
      </c>
      <c r="J437" s="54">
        <v>48600</v>
      </c>
      <c r="K437" s="54">
        <v>17892</v>
      </c>
      <c r="L437" s="53">
        <v>5</v>
      </c>
      <c r="M437" s="55" t="s">
        <v>41</v>
      </c>
      <c r="N437" s="56" t="s">
        <v>114</v>
      </c>
    </row>
    <row r="438" spans="1:14" hidden="1" x14ac:dyDescent="0.3">
      <c r="A438" s="51" t="s">
        <v>543</v>
      </c>
      <c r="B438" s="52">
        <v>46241</v>
      </c>
      <c r="C438" s="53" t="s">
        <v>25</v>
      </c>
      <c r="D438" s="53" t="s">
        <v>33</v>
      </c>
      <c r="E438" s="53" t="s">
        <v>21</v>
      </c>
      <c r="F438" s="54">
        <v>106722</v>
      </c>
      <c r="G438" s="53" t="s">
        <v>16</v>
      </c>
      <c r="H438" s="54" t="s">
        <v>28</v>
      </c>
      <c r="I438" s="54">
        <v>109400</v>
      </c>
      <c r="J438" s="54">
        <v>81600</v>
      </c>
      <c r="K438" s="54">
        <v>25122</v>
      </c>
      <c r="L438" s="53">
        <v>120</v>
      </c>
      <c r="M438" s="55" t="s">
        <v>31</v>
      </c>
      <c r="N438" s="56" t="s">
        <v>108</v>
      </c>
    </row>
    <row r="439" spans="1:14" x14ac:dyDescent="0.3">
      <c r="A439" s="51" t="s">
        <v>544</v>
      </c>
      <c r="B439" s="52">
        <v>46241</v>
      </c>
      <c r="C439" s="53" t="s">
        <v>19</v>
      </c>
      <c r="D439" s="53" t="s">
        <v>50</v>
      </c>
      <c r="E439" s="53" t="s">
        <v>21</v>
      </c>
      <c r="F439" s="54">
        <v>40111</v>
      </c>
      <c r="G439" s="53" t="s">
        <v>30</v>
      </c>
      <c r="H439" s="54" t="s">
        <v>48</v>
      </c>
      <c r="I439" s="54">
        <v>43600</v>
      </c>
      <c r="J439" s="54">
        <v>31900</v>
      </c>
      <c r="K439" s="54">
        <v>8211</v>
      </c>
      <c r="L439" s="53">
        <v>68</v>
      </c>
      <c r="M439" s="55" t="s">
        <v>24</v>
      </c>
      <c r="N439" s="56" t="s">
        <v>105</v>
      </c>
    </row>
    <row r="440" spans="1:14" hidden="1" x14ac:dyDescent="0.3">
      <c r="A440" s="51" t="s">
        <v>545</v>
      </c>
      <c r="B440" s="52">
        <v>46248</v>
      </c>
      <c r="C440" s="53" t="s">
        <v>25</v>
      </c>
      <c r="D440" s="53" t="s">
        <v>50</v>
      </c>
      <c r="E440" s="53" t="s">
        <v>37</v>
      </c>
      <c r="F440" s="54">
        <v>73936</v>
      </c>
      <c r="G440" s="53" t="s">
        <v>16</v>
      </c>
      <c r="H440" s="54" t="s">
        <v>28</v>
      </c>
      <c r="I440" s="54">
        <v>64800</v>
      </c>
      <c r="J440" s="54">
        <v>42600</v>
      </c>
      <c r="K440" s="54">
        <v>31336</v>
      </c>
      <c r="L440" s="53">
        <v>120</v>
      </c>
      <c r="M440" s="55" t="s">
        <v>31</v>
      </c>
      <c r="N440" s="56" t="s">
        <v>108</v>
      </c>
    </row>
    <row r="441" spans="1:14" hidden="1" x14ac:dyDescent="0.3">
      <c r="A441" s="51" t="s">
        <v>546</v>
      </c>
      <c r="B441" s="52">
        <v>46254</v>
      </c>
      <c r="C441" s="53" t="s">
        <v>25</v>
      </c>
      <c r="D441" s="53" t="s">
        <v>42</v>
      </c>
      <c r="E441" s="53" t="s">
        <v>37</v>
      </c>
      <c r="F441" s="54">
        <v>70920</v>
      </c>
      <c r="G441" s="53" t="s">
        <v>40</v>
      </c>
      <c r="H441" s="54" t="s">
        <v>28</v>
      </c>
      <c r="I441" s="54">
        <v>67100</v>
      </c>
      <c r="J441" s="54">
        <v>32300</v>
      </c>
      <c r="K441" s="54">
        <v>38620</v>
      </c>
      <c r="L441" s="53">
        <v>120</v>
      </c>
      <c r="M441" s="55" t="s">
        <v>31</v>
      </c>
      <c r="N441" s="56" t="s">
        <v>108</v>
      </c>
    </row>
    <row r="442" spans="1:14" x14ac:dyDescent="0.3">
      <c r="A442" s="51" t="s">
        <v>476</v>
      </c>
      <c r="B442" s="52">
        <v>46257</v>
      </c>
      <c r="C442" s="53" t="s">
        <v>19</v>
      </c>
      <c r="D442" s="53" t="s">
        <v>26</v>
      </c>
      <c r="E442" s="53" t="s">
        <v>34</v>
      </c>
      <c r="F442" s="54">
        <v>73530</v>
      </c>
      <c r="G442" s="53" t="s">
        <v>40</v>
      </c>
      <c r="H442" s="54" t="s">
        <v>48</v>
      </c>
      <c r="I442" s="54">
        <v>83300</v>
      </c>
      <c r="J442" s="54">
        <v>59700</v>
      </c>
      <c r="K442" s="54">
        <v>13830</v>
      </c>
      <c r="L442" s="53">
        <v>120</v>
      </c>
      <c r="M442" s="55" t="s">
        <v>31</v>
      </c>
      <c r="N442" s="56" t="s">
        <v>108</v>
      </c>
    </row>
    <row r="443" spans="1:14" hidden="1" x14ac:dyDescent="0.3">
      <c r="A443" s="51" t="s">
        <v>547</v>
      </c>
      <c r="B443" s="52">
        <v>46211</v>
      </c>
      <c r="C443" s="53" t="s">
        <v>25</v>
      </c>
      <c r="D443" s="53" t="s">
        <v>49</v>
      </c>
      <c r="E443" s="53" t="s">
        <v>15</v>
      </c>
      <c r="F443" s="54">
        <v>17788</v>
      </c>
      <c r="G443" s="53" t="s">
        <v>40</v>
      </c>
      <c r="H443" s="54" t="s">
        <v>28</v>
      </c>
      <c r="I443" s="54">
        <v>18000</v>
      </c>
      <c r="J443" s="54">
        <v>12800</v>
      </c>
      <c r="K443" s="54">
        <v>4988</v>
      </c>
      <c r="L443" s="53">
        <v>45</v>
      </c>
      <c r="M443" s="55" t="s">
        <v>18</v>
      </c>
      <c r="N443" s="56" t="s">
        <v>103</v>
      </c>
    </row>
    <row r="444" spans="1:14" x14ac:dyDescent="0.3">
      <c r="A444" s="51" t="s">
        <v>548</v>
      </c>
      <c r="B444" s="52">
        <v>46230</v>
      </c>
      <c r="C444" s="53" t="s">
        <v>19</v>
      </c>
      <c r="D444" s="53" t="s">
        <v>49</v>
      </c>
      <c r="E444" s="53" t="s">
        <v>34</v>
      </c>
      <c r="F444" s="54">
        <v>38082</v>
      </c>
      <c r="G444" s="53" t="s">
        <v>30</v>
      </c>
      <c r="H444" s="54" t="s">
        <v>23</v>
      </c>
      <c r="I444" s="54">
        <v>39700</v>
      </c>
      <c r="J444" s="54">
        <v>33100</v>
      </c>
      <c r="K444" s="54">
        <v>4982</v>
      </c>
      <c r="L444" s="53">
        <v>45</v>
      </c>
      <c r="M444" s="55" t="s">
        <v>18</v>
      </c>
      <c r="N444" s="56" t="s">
        <v>103</v>
      </c>
    </row>
    <row r="445" spans="1:14" x14ac:dyDescent="0.3">
      <c r="A445" s="51" t="s">
        <v>549</v>
      </c>
      <c r="B445" s="52">
        <v>46230</v>
      </c>
      <c r="C445" s="53" t="s">
        <v>19</v>
      </c>
      <c r="D445" s="53" t="s">
        <v>50</v>
      </c>
      <c r="E445" s="53" t="s">
        <v>15</v>
      </c>
      <c r="F445" s="54">
        <v>133287</v>
      </c>
      <c r="G445" s="53" t="s">
        <v>40</v>
      </c>
      <c r="H445" s="54" t="s">
        <v>48</v>
      </c>
      <c r="I445" s="54">
        <v>133500</v>
      </c>
      <c r="J445" s="54">
        <v>114700</v>
      </c>
      <c r="K445" s="54">
        <v>18587</v>
      </c>
      <c r="L445" s="53">
        <v>95</v>
      </c>
      <c r="M445" s="55" t="s">
        <v>31</v>
      </c>
      <c r="N445" s="56" t="s">
        <v>624</v>
      </c>
    </row>
    <row r="446" spans="1:14" hidden="1" x14ac:dyDescent="0.3">
      <c r="A446" s="51" t="s">
        <v>550</v>
      </c>
      <c r="B446" s="52">
        <v>46237</v>
      </c>
      <c r="C446" s="53" t="s">
        <v>13</v>
      </c>
      <c r="D446" s="53" t="s">
        <v>38</v>
      </c>
      <c r="E446" s="53" t="s">
        <v>21</v>
      </c>
      <c r="F446" s="54">
        <v>99570</v>
      </c>
      <c r="G446" s="53" t="s">
        <v>16</v>
      </c>
      <c r="H446" s="54" t="s">
        <v>17</v>
      </c>
      <c r="I446" s="54">
        <v>86200</v>
      </c>
      <c r="J446" s="54">
        <v>86800</v>
      </c>
      <c r="K446" s="54">
        <v>12770</v>
      </c>
      <c r="L446" s="53">
        <v>5</v>
      </c>
      <c r="M446" s="55" t="s">
        <v>41</v>
      </c>
      <c r="N446" s="56" t="s">
        <v>114</v>
      </c>
    </row>
    <row r="447" spans="1:14" hidden="1" x14ac:dyDescent="0.3">
      <c r="A447" s="51" t="s">
        <v>551</v>
      </c>
      <c r="B447" s="52">
        <v>46224</v>
      </c>
      <c r="C447" s="53" t="s">
        <v>25</v>
      </c>
      <c r="D447" s="53" t="s">
        <v>39</v>
      </c>
      <c r="E447" s="53" t="s">
        <v>44</v>
      </c>
      <c r="F447" s="54">
        <v>111015</v>
      </c>
      <c r="G447" s="53" t="s">
        <v>22</v>
      </c>
      <c r="H447" s="54" t="s">
        <v>28</v>
      </c>
      <c r="I447" s="54">
        <v>100800</v>
      </c>
      <c r="J447" s="54">
        <v>76900</v>
      </c>
      <c r="K447" s="54">
        <v>34115</v>
      </c>
      <c r="L447" s="53">
        <v>60</v>
      </c>
      <c r="M447" s="55" t="s">
        <v>18</v>
      </c>
      <c r="N447" s="56" t="s">
        <v>103</v>
      </c>
    </row>
    <row r="448" spans="1:14" hidden="1" x14ac:dyDescent="0.3">
      <c r="A448" s="51" t="s">
        <v>552</v>
      </c>
      <c r="B448" s="52">
        <v>46233</v>
      </c>
      <c r="C448" s="53" t="s">
        <v>13</v>
      </c>
      <c r="D448" s="53" t="s">
        <v>42</v>
      </c>
      <c r="E448" s="53" t="s">
        <v>37</v>
      </c>
      <c r="F448" s="54">
        <v>93588</v>
      </c>
      <c r="G448" s="53" t="s">
        <v>22</v>
      </c>
      <c r="H448" s="54" t="s">
        <v>17</v>
      </c>
      <c r="I448" s="54">
        <v>94100</v>
      </c>
      <c r="J448" s="54">
        <v>57700</v>
      </c>
      <c r="K448" s="54">
        <v>35888</v>
      </c>
      <c r="L448" s="53">
        <v>52</v>
      </c>
      <c r="M448" s="55" t="s">
        <v>18</v>
      </c>
      <c r="N448" s="56" t="s">
        <v>103</v>
      </c>
    </row>
    <row r="449" spans="1:14" x14ac:dyDescent="0.3">
      <c r="A449" s="51" t="s">
        <v>553</v>
      </c>
      <c r="B449" s="52">
        <v>46236</v>
      </c>
      <c r="C449" s="53" t="s">
        <v>19</v>
      </c>
      <c r="D449" s="53" t="s">
        <v>49</v>
      </c>
      <c r="E449" s="53" t="s">
        <v>15</v>
      </c>
      <c r="F449" s="54">
        <v>98340</v>
      </c>
      <c r="G449" s="53" t="s">
        <v>35</v>
      </c>
      <c r="H449" s="54" t="s">
        <v>23</v>
      </c>
      <c r="I449" s="54">
        <v>90800</v>
      </c>
      <c r="J449" s="54">
        <v>83200</v>
      </c>
      <c r="K449" s="54">
        <v>15140</v>
      </c>
      <c r="L449" s="53">
        <v>25</v>
      </c>
      <c r="M449" s="55" t="s">
        <v>41</v>
      </c>
      <c r="N449" s="56" t="s">
        <v>114</v>
      </c>
    </row>
    <row r="450" spans="1:14" hidden="1" x14ac:dyDescent="0.3">
      <c r="A450" s="51" t="s">
        <v>554</v>
      </c>
      <c r="B450" s="52">
        <v>46231</v>
      </c>
      <c r="C450" s="53" t="s">
        <v>32</v>
      </c>
      <c r="D450" s="53" t="s">
        <v>50</v>
      </c>
      <c r="E450" s="53" t="s">
        <v>34</v>
      </c>
      <c r="F450" s="54">
        <v>104439</v>
      </c>
      <c r="G450" s="53" t="s">
        <v>16</v>
      </c>
      <c r="H450" s="54" t="s">
        <v>36</v>
      </c>
      <c r="I450" s="54">
        <v>90600</v>
      </c>
      <c r="J450" s="54">
        <v>70600</v>
      </c>
      <c r="K450" s="54">
        <v>33839</v>
      </c>
      <c r="L450" s="53">
        <v>68</v>
      </c>
      <c r="M450" s="55" t="s">
        <v>24</v>
      </c>
      <c r="N450" s="56" t="s">
        <v>105</v>
      </c>
    </row>
    <row r="451" spans="1:14" hidden="1" x14ac:dyDescent="0.3">
      <c r="A451" s="51" t="s">
        <v>555</v>
      </c>
      <c r="B451" s="52">
        <v>46250</v>
      </c>
      <c r="C451" s="53" t="s">
        <v>32</v>
      </c>
      <c r="D451" s="53" t="s">
        <v>26</v>
      </c>
      <c r="E451" s="53" t="s">
        <v>21</v>
      </c>
      <c r="F451" s="54">
        <v>125053</v>
      </c>
      <c r="G451" s="53" t="s">
        <v>40</v>
      </c>
      <c r="H451" s="54" t="s">
        <v>36</v>
      </c>
      <c r="I451" s="54">
        <v>143200</v>
      </c>
      <c r="J451" s="54">
        <v>67700</v>
      </c>
      <c r="K451" s="54">
        <v>57353</v>
      </c>
      <c r="L451" s="53">
        <v>75</v>
      </c>
      <c r="M451" s="55" t="s">
        <v>24</v>
      </c>
      <c r="N451" s="56" t="s">
        <v>105</v>
      </c>
    </row>
    <row r="452" spans="1:14" hidden="1" x14ac:dyDescent="0.3">
      <c r="A452" s="51" t="s">
        <v>556</v>
      </c>
      <c r="B452" s="52">
        <v>46236</v>
      </c>
      <c r="C452" s="53" t="s">
        <v>25</v>
      </c>
      <c r="D452" s="53" t="s">
        <v>49</v>
      </c>
      <c r="E452" s="53" t="s">
        <v>15</v>
      </c>
      <c r="F452" s="54">
        <v>58355</v>
      </c>
      <c r="G452" s="53" t="s">
        <v>22</v>
      </c>
      <c r="H452" s="54" t="s">
        <v>28</v>
      </c>
      <c r="I452" s="54">
        <v>69600</v>
      </c>
      <c r="J452" s="54">
        <v>51200</v>
      </c>
      <c r="K452" s="54">
        <v>7155</v>
      </c>
      <c r="L452" s="53">
        <v>30</v>
      </c>
      <c r="M452" s="55" t="s">
        <v>41</v>
      </c>
      <c r="N452" s="56" t="s">
        <v>103</v>
      </c>
    </row>
    <row r="453" spans="1:14" hidden="1" x14ac:dyDescent="0.3">
      <c r="A453" s="51" t="s">
        <v>557</v>
      </c>
      <c r="B453" s="52">
        <v>46208</v>
      </c>
      <c r="C453" s="53" t="s">
        <v>25</v>
      </c>
      <c r="D453" s="53" t="s">
        <v>29</v>
      </c>
      <c r="E453" s="53" t="s">
        <v>34</v>
      </c>
      <c r="F453" s="54">
        <v>135426</v>
      </c>
      <c r="G453" s="53" t="s">
        <v>16</v>
      </c>
      <c r="H453" s="54" t="s">
        <v>28</v>
      </c>
      <c r="I453" s="54">
        <v>152700</v>
      </c>
      <c r="J453" s="54">
        <v>120700</v>
      </c>
      <c r="K453" s="54">
        <v>14726</v>
      </c>
      <c r="L453" s="53">
        <v>12</v>
      </c>
      <c r="M453" s="55" t="s">
        <v>41</v>
      </c>
      <c r="N453" s="56" t="s">
        <v>114</v>
      </c>
    </row>
    <row r="454" spans="1:14" hidden="1" x14ac:dyDescent="0.3">
      <c r="A454" s="51" t="s">
        <v>558</v>
      </c>
      <c r="B454" s="52">
        <v>46263</v>
      </c>
      <c r="C454" s="53" t="s">
        <v>25</v>
      </c>
      <c r="D454" s="53" t="s">
        <v>29</v>
      </c>
      <c r="E454" s="53" t="s">
        <v>37</v>
      </c>
      <c r="F454" s="54">
        <v>74027</v>
      </c>
      <c r="G454" s="53" t="s">
        <v>22</v>
      </c>
      <c r="H454" s="54" t="s">
        <v>28</v>
      </c>
      <c r="I454" s="54">
        <v>85000</v>
      </c>
      <c r="J454" s="54">
        <v>50600</v>
      </c>
      <c r="K454" s="54">
        <v>23427</v>
      </c>
      <c r="L454" s="53">
        <v>95</v>
      </c>
      <c r="M454" s="55" t="s">
        <v>31</v>
      </c>
      <c r="N454" s="56" t="s">
        <v>624</v>
      </c>
    </row>
    <row r="455" spans="1:14" hidden="1" x14ac:dyDescent="0.3">
      <c r="A455" s="51" t="s">
        <v>559</v>
      </c>
      <c r="B455" s="52">
        <v>46264</v>
      </c>
      <c r="C455" s="53" t="s">
        <v>25</v>
      </c>
      <c r="D455" s="53" t="s">
        <v>14</v>
      </c>
      <c r="E455" s="53" t="s">
        <v>37</v>
      </c>
      <c r="F455" s="54">
        <v>102601</v>
      </c>
      <c r="G455" s="53" t="s">
        <v>40</v>
      </c>
      <c r="H455" s="54" t="s">
        <v>28</v>
      </c>
      <c r="I455" s="54">
        <v>95900</v>
      </c>
      <c r="J455" s="54">
        <v>50100</v>
      </c>
      <c r="K455" s="54">
        <v>52501</v>
      </c>
      <c r="L455" s="53">
        <v>60</v>
      </c>
      <c r="M455" s="55" t="s">
        <v>18</v>
      </c>
      <c r="N455" s="56" t="s">
        <v>103</v>
      </c>
    </row>
    <row r="456" spans="1:14" hidden="1" x14ac:dyDescent="0.3">
      <c r="A456" s="51" t="s">
        <v>560</v>
      </c>
      <c r="B456" s="52">
        <v>46251</v>
      </c>
      <c r="C456" s="53" t="s">
        <v>13</v>
      </c>
      <c r="D456" s="53" t="s">
        <v>20</v>
      </c>
      <c r="E456" s="53" t="s">
        <v>27</v>
      </c>
      <c r="F456" s="54">
        <v>39956</v>
      </c>
      <c r="G456" s="53" t="s">
        <v>22</v>
      </c>
      <c r="H456" s="54" t="s">
        <v>17</v>
      </c>
      <c r="I456" s="54">
        <v>47400</v>
      </c>
      <c r="J456" s="54">
        <v>25700</v>
      </c>
      <c r="K456" s="54">
        <v>14256</v>
      </c>
      <c r="L456" s="53">
        <v>120</v>
      </c>
      <c r="M456" s="55" t="s">
        <v>31</v>
      </c>
      <c r="N456" s="56" t="s">
        <v>108</v>
      </c>
    </row>
    <row r="457" spans="1:14" hidden="1" x14ac:dyDescent="0.3">
      <c r="A457" s="51" t="s">
        <v>561</v>
      </c>
      <c r="B457" s="52">
        <v>46222</v>
      </c>
      <c r="C457" s="53" t="s">
        <v>13</v>
      </c>
      <c r="D457" s="53" t="s">
        <v>14</v>
      </c>
      <c r="E457" s="53" t="s">
        <v>44</v>
      </c>
      <c r="F457" s="54">
        <v>114797</v>
      </c>
      <c r="G457" s="53" t="s">
        <v>35</v>
      </c>
      <c r="H457" s="54" t="s">
        <v>17</v>
      </c>
      <c r="I457" s="54">
        <v>105500</v>
      </c>
      <c r="J457" s="54">
        <v>97800</v>
      </c>
      <c r="K457" s="54">
        <v>16997</v>
      </c>
      <c r="L457" s="53">
        <v>85</v>
      </c>
      <c r="M457" s="55" t="s">
        <v>24</v>
      </c>
      <c r="N457" s="56" t="s">
        <v>105</v>
      </c>
    </row>
    <row r="458" spans="1:14" hidden="1" x14ac:dyDescent="0.3">
      <c r="A458" s="51" t="s">
        <v>562</v>
      </c>
      <c r="B458" s="52">
        <v>46207</v>
      </c>
      <c r="C458" s="53" t="s">
        <v>13</v>
      </c>
      <c r="D458" s="53" t="s">
        <v>43</v>
      </c>
      <c r="E458" s="53" t="s">
        <v>27</v>
      </c>
      <c r="F458" s="54">
        <v>134917</v>
      </c>
      <c r="G458" s="53" t="s">
        <v>35</v>
      </c>
      <c r="H458" s="54" t="s">
        <v>17</v>
      </c>
      <c r="I458" s="54">
        <v>159600</v>
      </c>
      <c r="J458" s="54">
        <v>121500</v>
      </c>
      <c r="K458" s="54">
        <v>13417</v>
      </c>
      <c r="L458" s="53">
        <v>85</v>
      </c>
      <c r="M458" s="55" t="s">
        <v>24</v>
      </c>
      <c r="N458" s="56" t="s">
        <v>105</v>
      </c>
    </row>
    <row r="459" spans="1:14" x14ac:dyDescent="0.3">
      <c r="A459" s="51" t="s">
        <v>563</v>
      </c>
      <c r="B459" s="52">
        <v>46238</v>
      </c>
      <c r="C459" s="53" t="s">
        <v>19</v>
      </c>
      <c r="D459" s="53" t="s">
        <v>51</v>
      </c>
      <c r="E459" s="53" t="s">
        <v>21</v>
      </c>
      <c r="F459" s="54">
        <v>136303</v>
      </c>
      <c r="G459" s="53" t="s">
        <v>22</v>
      </c>
      <c r="H459" s="54" t="s">
        <v>23</v>
      </c>
      <c r="I459" s="54">
        <v>163300</v>
      </c>
      <c r="J459" s="54">
        <v>75200</v>
      </c>
      <c r="K459" s="54">
        <v>61103</v>
      </c>
      <c r="L459" s="53">
        <v>35</v>
      </c>
      <c r="M459" s="55" t="s">
        <v>18</v>
      </c>
      <c r="N459" s="56" t="s">
        <v>103</v>
      </c>
    </row>
    <row r="460" spans="1:14" hidden="1" x14ac:dyDescent="0.3">
      <c r="A460" s="51" t="s">
        <v>564</v>
      </c>
      <c r="B460" s="52">
        <v>46252</v>
      </c>
      <c r="C460" s="53" t="s">
        <v>32</v>
      </c>
      <c r="D460" s="53" t="s">
        <v>33</v>
      </c>
      <c r="E460" s="53" t="s">
        <v>15</v>
      </c>
      <c r="F460" s="54">
        <v>146511</v>
      </c>
      <c r="G460" s="53" t="s">
        <v>16</v>
      </c>
      <c r="H460" s="54" t="s">
        <v>36</v>
      </c>
      <c r="I460" s="54">
        <v>161000</v>
      </c>
      <c r="J460" s="54">
        <v>70800</v>
      </c>
      <c r="K460" s="54">
        <v>75711</v>
      </c>
      <c r="L460" s="53">
        <v>18</v>
      </c>
      <c r="M460" s="55" t="s">
        <v>41</v>
      </c>
      <c r="N460" s="56" t="s">
        <v>114</v>
      </c>
    </row>
    <row r="461" spans="1:14" hidden="1" x14ac:dyDescent="0.3">
      <c r="A461" s="51" t="s">
        <v>565</v>
      </c>
      <c r="B461" s="52">
        <v>46220</v>
      </c>
      <c r="C461" s="53" t="s">
        <v>13</v>
      </c>
      <c r="D461" s="53" t="s">
        <v>14</v>
      </c>
      <c r="E461" s="53" t="s">
        <v>21</v>
      </c>
      <c r="F461" s="54">
        <v>52533</v>
      </c>
      <c r="G461" s="53" t="s">
        <v>16</v>
      </c>
      <c r="H461" s="54" t="s">
        <v>17</v>
      </c>
      <c r="I461" s="54">
        <v>62700</v>
      </c>
      <c r="J461" s="54">
        <v>46700</v>
      </c>
      <c r="K461" s="54">
        <v>5833</v>
      </c>
      <c r="L461" s="53">
        <v>85</v>
      </c>
      <c r="M461" s="55" t="s">
        <v>24</v>
      </c>
      <c r="N461" s="56" t="s">
        <v>105</v>
      </c>
    </row>
    <row r="462" spans="1:14" x14ac:dyDescent="0.3">
      <c r="A462" s="51" t="s">
        <v>566</v>
      </c>
      <c r="B462" s="52">
        <v>46247</v>
      </c>
      <c r="C462" s="53" t="s">
        <v>19</v>
      </c>
      <c r="D462" s="53" t="s">
        <v>45</v>
      </c>
      <c r="E462" s="53" t="s">
        <v>34</v>
      </c>
      <c r="F462" s="54">
        <v>88815</v>
      </c>
      <c r="G462" s="53" t="s">
        <v>16</v>
      </c>
      <c r="H462" s="54" t="s">
        <v>48</v>
      </c>
      <c r="I462" s="54">
        <v>93200</v>
      </c>
      <c r="J462" s="54">
        <v>57300</v>
      </c>
      <c r="K462" s="54">
        <v>31515</v>
      </c>
      <c r="L462" s="53">
        <v>45</v>
      </c>
      <c r="M462" s="55" t="s">
        <v>18</v>
      </c>
      <c r="N462" s="56" t="s">
        <v>103</v>
      </c>
    </row>
    <row r="463" spans="1:14" x14ac:dyDescent="0.3">
      <c r="A463" s="51" t="s">
        <v>567</v>
      </c>
      <c r="B463" s="52">
        <v>46231</v>
      </c>
      <c r="C463" s="53" t="s">
        <v>19</v>
      </c>
      <c r="D463" s="53" t="s">
        <v>49</v>
      </c>
      <c r="E463" s="53" t="s">
        <v>37</v>
      </c>
      <c r="F463" s="54">
        <v>49279</v>
      </c>
      <c r="G463" s="53" t="s">
        <v>22</v>
      </c>
      <c r="H463" s="54" t="s">
        <v>23</v>
      </c>
      <c r="I463" s="54">
        <v>46400</v>
      </c>
      <c r="J463" s="54">
        <v>35500</v>
      </c>
      <c r="K463" s="54">
        <v>13779</v>
      </c>
      <c r="L463" s="53">
        <v>60</v>
      </c>
      <c r="M463" s="55" t="s">
        <v>18</v>
      </c>
      <c r="N463" s="56" t="s">
        <v>103</v>
      </c>
    </row>
    <row r="464" spans="1:14" hidden="1" x14ac:dyDescent="0.3">
      <c r="A464" s="51" t="s">
        <v>568</v>
      </c>
      <c r="B464" s="52">
        <v>46233</v>
      </c>
      <c r="C464" s="53" t="s">
        <v>32</v>
      </c>
      <c r="D464" s="53" t="s">
        <v>38</v>
      </c>
      <c r="E464" s="53" t="s">
        <v>27</v>
      </c>
      <c r="F464" s="54">
        <v>119787</v>
      </c>
      <c r="G464" s="53" t="s">
        <v>16</v>
      </c>
      <c r="H464" s="54" t="s">
        <v>36</v>
      </c>
      <c r="I464" s="54">
        <v>120100</v>
      </c>
      <c r="J464" s="54">
        <v>111900</v>
      </c>
      <c r="K464" s="54">
        <v>7887</v>
      </c>
      <c r="L464" s="53">
        <v>18</v>
      </c>
      <c r="M464" s="55" t="s">
        <v>41</v>
      </c>
      <c r="N464" s="56" t="s">
        <v>114</v>
      </c>
    </row>
    <row r="465" spans="1:14" hidden="1" x14ac:dyDescent="0.3">
      <c r="A465" s="51" t="s">
        <v>569</v>
      </c>
      <c r="B465" s="52">
        <v>46232</v>
      </c>
      <c r="C465" s="53" t="s">
        <v>25</v>
      </c>
      <c r="D465" s="53" t="s">
        <v>47</v>
      </c>
      <c r="E465" s="53" t="s">
        <v>27</v>
      </c>
      <c r="F465" s="54">
        <v>71063</v>
      </c>
      <c r="G465" s="53" t="s">
        <v>40</v>
      </c>
      <c r="H465" s="54" t="s">
        <v>28</v>
      </c>
      <c r="I465" s="54">
        <v>75200</v>
      </c>
      <c r="J465" s="54">
        <v>34300</v>
      </c>
      <c r="K465" s="54">
        <v>36763</v>
      </c>
      <c r="L465" s="53">
        <v>12</v>
      </c>
      <c r="M465" s="55" t="s">
        <v>41</v>
      </c>
      <c r="N465" s="56" t="s">
        <v>114</v>
      </c>
    </row>
    <row r="466" spans="1:14" hidden="1" x14ac:dyDescent="0.3">
      <c r="A466" s="51" t="s">
        <v>570</v>
      </c>
      <c r="B466" s="52">
        <v>46249</v>
      </c>
      <c r="C466" s="53" t="s">
        <v>13</v>
      </c>
      <c r="D466" s="53" t="s">
        <v>50</v>
      </c>
      <c r="E466" s="53" t="s">
        <v>27</v>
      </c>
      <c r="F466" s="54">
        <v>137896</v>
      </c>
      <c r="G466" s="53" t="s">
        <v>35</v>
      </c>
      <c r="H466" s="54" t="s">
        <v>17</v>
      </c>
      <c r="I466" s="54">
        <v>120700</v>
      </c>
      <c r="J466" s="54">
        <v>106800</v>
      </c>
      <c r="K466" s="54">
        <v>31096</v>
      </c>
      <c r="L466" s="53">
        <v>45</v>
      </c>
      <c r="M466" s="55" t="s">
        <v>18</v>
      </c>
      <c r="N466" s="56" t="s">
        <v>103</v>
      </c>
    </row>
    <row r="467" spans="1:14" x14ac:dyDescent="0.3">
      <c r="A467" s="51" t="s">
        <v>571</v>
      </c>
      <c r="B467" s="52">
        <v>46256</v>
      </c>
      <c r="C467" s="53" t="s">
        <v>19</v>
      </c>
      <c r="D467" s="53" t="s">
        <v>47</v>
      </c>
      <c r="E467" s="53" t="s">
        <v>21</v>
      </c>
      <c r="F467" s="54">
        <v>107661</v>
      </c>
      <c r="G467" s="53" t="s">
        <v>40</v>
      </c>
      <c r="H467" s="54" t="s">
        <v>48</v>
      </c>
      <c r="I467" s="54">
        <v>115000</v>
      </c>
      <c r="J467" s="54">
        <v>52400</v>
      </c>
      <c r="K467" s="54">
        <v>55261</v>
      </c>
      <c r="L467" s="53">
        <v>45</v>
      </c>
      <c r="M467" s="55" t="s">
        <v>18</v>
      </c>
      <c r="N467" s="56" t="s">
        <v>103</v>
      </c>
    </row>
    <row r="468" spans="1:14" hidden="1" x14ac:dyDescent="0.3">
      <c r="A468" s="51" t="s">
        <v>572</v>
      </c>
      <c r="B468" s="52">
        <v>46209</v>
      </c>
      <c r="C468" s="53" t="s">
        <v>32</v>
      </c>
      <c r="D468" s="53" t="s">
        <v>45</v>
      </c>
      <c r="E468" s="53" t="s">
        <v>37</v>
      </c>
      <c r="F468" s="54">
        <v>148051</v>
      </c>
      <c r="G468" s="53" t="s">
        <v>16</v>
      </c>
      <c r="H468" s="54" t="s">
        <v>36</v>
      </c>
      <c r="I468" s="54">
        <v>176700</v>
      </c>
      <c r="J468" s="54">
        <v>94400</v>
      </c>
      <c r="K468" s="54">
        <v>53651</v>
      </c>
      <c r="L468" s="53">
        <v>25</v>
      </c>
      <c r="M468" s="55" t="s">
        <v>41</v>
      </c>
      <c r="N468" s="56" t="s">
        <v>114</v>
      </c>
    </row>
    <row r="469" spans="1:14" x14ac:dyDescent="0.3">
      <c r="A469" s="51" t="s">
        <v>573</v>
      </c>
      <c r="B469" s="52">
        <v>46238</v>
      </c>
      <c r="C469" s="53" t="s">
        <v>19</v>
      </c>
      <c r="D469" s="53" t="s">
        <v>26</v>
      </c>
      <c r="E469" s="53" t="s">
        <v>15</v>
      </c>
      <c r="F469" s="54">
        <v>133257</v>
      </c>
      <c r="G469" s="53" t="s">
        <v>40</v>
      </c>
      <c r="H469" s="54" t="s">
        <v>48</v>
      </c>
      <c r="I469" s="54">
        <v>122100</v>
      </c>
      <c r="J469" s="54">
        <v>113500</v>
      </c>
      <c r="K469" s="54">
        <v>19757</v>
      </c>
      <c r="L469" s="53">
        <v>75</v>
      </c>
      <c r="M469" s="55" t="s">
        <v>24</v>
      </c>
      <c r="N469" s="56" t="s">
        <v>105</v>
      </c>
    </row>
    <row r="470" spans="1:14" x14ac:dyDescent="0.3">
      <c r="A470" s="51" t="s">
        <v>574</v>
      </c>
      <c r="B470" s="52">
        <v>46263</v>
      </c>
      <c r="C470" s="53" t="s">
        <v>19</v>
      </c>
      <c r="D470" s="53" t="s">
        <v>14</v>
      </c>
      <c r="E470" s="53" t="s">
        <v>34</v>
      </c>
      <c r="F470" s="54">
        <v>96205</v>
      </c>
      <c r="G470" s="53" t="s">
        <v>16</v>
      </c>
      <c r="H470" s="54" t="s">
        <v>23</v>
      </c>
      <c r="I470" s="54">
        <v>108500</v>
      </c>
      <c r="J470" s="54">
        <v>64100</v>
      </c>
      <c r="K470" s="54">
        <v>32105</v>
      </c>
      <c r="L470" s="53">
        <v>60</v>
      </c>
      <c r="M470" s="55" t="s">
        <v>18</v>
      </c>
      <c r="N470" s="56" t="s">
        <v>103</v>
      </c>
    </row>
    <row r="471" spans="1:14" x14ac:dyDescent="0.3">
      <c r="A471" s="51" t="s">
        <v>575</v>
      </c>
      <c r="B471" s="52">
        <v>46244</v>
      </c>
      <c r="C471" s="53" t="s">
        <v>19</v>
      </c>
      <c r="D471" s="53" t="s">
        <v>33</v>
      </c>
      <c r="E471" s="53" t="s">
        <v>15</v>
      </c>
      <c r="F471" s="54">
        <v>16910</v>
      </c>
      <c r="G471" s="53" t="s">
        <v>22</v>
      </c>
      <c r="H471" s="54" t="s">
        <v>48</v>
      </c>
      <c r="I471" s="54">
        <v>19700</v>
      </c>
      <c r="J471" s="54">
        <v>16000</v>
      </c>
      <c r="K471" s="54">
        <v>910</v>
      </c>
      <c r="L471" s="53">
        <v>105</v>
      </c>
      <c r="M471" s="55" t="s">
        <v>31</v>
      </c>
      <c r="N471" s="56" t="s">
        <v>108</v>
      </c>
    </row>
    <row r="472" spans="1:14" hidden="1" x14ac:dyDescent="0.3">
      <c r="A472" s="51" t="s">
        <v>576</v>
      </c>
      <c r="B472" s="52">
        <v>46240</v>
      </c>
      <c r="C472" s="53" t="s">
        <v>13</v>
      </c>
      <c r="D472" s="53" t="s">
        <v>26</v>
      </c>
      <c r="E472" s="53" t="s">
        <v>21</v>
      </c>
      <c r="F472" s="54">
        <v>56857</v>
      </c>
      <c r="G472" s="53" t="s">
        <v>40</v>
      </c>
      <c r="H472" s="54" t="s">
        <v>17</v>
      </c>
      <c r="I472" s="54">
        <v>67100</v>
      </c>
      <c r="J472" s="54">
        <v>41500</v>
      </c>
      <c r="K472" s="54">
        <v>15357</v>
      </c>
      <c r="L472" s="53">
        <v>52</v>
      </c>
      <c r="M472" s="55" t="s">
        <v>18</v>
      </c>
      <c r="N472" s="56" t="s">
        <v>103</v>
      </c>
    </row>
    <row r="473" spans="1:14" hidden="1" x14ac:dyDescent="0.3">
      <c r="A473" s="51" t="s">
        <v>577</v>
      </c>
      <c r="B473" s="52">
        <v>46227</v>
      </c>
      <c r="C473" s="53" t="s">
        <v>32</v>
      </c>
      <c r="D473" s="53" t="s">
        <v>39</v>
      </c>
      <c r="E473" s="53" t="s">
        <v>34</v>
      </c>
      <c r="F473" s="54">
        <v>44964</v>
      </c>
      <c r="G473" s="53" t="s">
        <v>22</v>
      </c>
      <c r="H473" s="54" t="s">
        <v>36</v>
      </c>
      <c r="I473" s="54">
        <v>53300</v>
      </c>
      <c r="J473" s="54">
        <v>27500</v>
      </c>
      <c r="K473" s="54">
        <v>17464</v>
      </c>
      <c r="L473" s="53">
        <v>95</v>
      </c>
      <c r="M473" s="55" t="s">
        <v>31</v>
      </c>
      <c r="N473" s="56" t="s">
        <v>624</v>
      </c>
    </row>
    <row r="474" spans="1:14" hidden="1" x14ac:dyDescent="0.3">
      <c r="A474" s="51" t="s">
        <v>578</v>
      </c>
      <c r="B474" s="52">
        <v>46232</v>
      </c>
      <c r="C474" s="53" t="s">
        <v>25</v>
      </c>
      <c r="D474" s="53" t="s">
        <v>39</v>
      </c>
      <c r="E474" s="53" t="s">
        <v>27</v>
      </c>
      <c r="F474" s="54">
        <v>147050</v>
      </c>
      <c r="G474" s="53" t="s">
        <v>22</v>
      </c>
      <c r="H474" s="54" t="s">
        <v>28</v>
      </c>
      <c r="I474" s="54">
        <v>151800</v>
      </c>
      <c r="J474" s="54">
        <v>82400</v>
      </c>
      <c r="K474" s="54">
        <v>64650</v>
      </c>
      <c r="L474" s="53">
        <v>95</v>
      </c>
      <c r="M474" s="55" t="s">
        <v>31</v>
      </c>
      <c r="N474" s="56" t="s">
        <v>624</v>
      </c>
    </row>
    <row r="475" spans="1:14" hidden="1" x14ac:dyDescent="0.3">
      <c r="A475" s="51" t="s">
        <v>579</v>
      </c>
      <c r="B475" s="52">
        <v>46252</v>
      </c>
      <c r="C475" s="53" t="s">
        <v>25</v>
      </c>
      <c r="D475" s="53" t="s">
        <v>47</v>
      </c>
      <c r="E475" s="53" t="s">
        <v>44</v>
      </c>
      <c r="F475" s="54">
        <v>27153</v>
      </c>
      <c r="G475" s="53" t="s">
        <v>30</v>
      </c>
      <c r="H475" s="54" t="s">
        <v>28</v>
      </c>
      <c r="I475" s="54">
        <v>32400</v>
      </c>
      <c r="J475" s="54">
        <v>17000</v>
      </c>
      <c r="K475" s="54">
        <v>10153</v>
      </c>
      <c r="L475" s="53">
        <v>5</v>
      </c>
      <c r="M475" s="55" t="s">
        <v>41</v>
      </c>
      <c r="N475" s="56" t="s">
        <v>114</v>
      </c>
    </row>
    <row r="476" spans="1:14" hidden="1" x14ac:dyDescent="0.3">
      <c r="A476" s="51" t="s">
        <v>580</v>
      </c>
      <c r="B476" s="52">
        <v>46249</v>
      </c>
      <c r="C476" s="53" t="s">
        <v>13</v>
      </c>
      <c r="D476" s="53" t="s">
        <v>51</v>
      </c>
      <c r="E476" s="53" t="s">
        <v>21</v>
      </c>
      <c r="F476" s="54">
        <v>69765</v>
      </c>
      <c r="G476" s="53" t="s">
        <v>16</v>
      </c>
      <c r="H476" s="54" t="s">
        <v>17</v>
      </c>
      <c r="I476" s="54">
        <v>77800</v>
      </c>
      <c r="J476" s="54">
        <v>44400</v>
      </c>
      <c r="K476" s="54">
        <v>25365</v>
      </c>
      <c r="L476" s="53">
        <v>5</v>
      </c>
      <c r="M476" s="55" t="s">
        <v>41</v>
      </c>
      <c r="N476" s="56" t="s">
        <v>114</v>
      </c>
    </row>
    <row r="477" spans="1:14" hidden="1" x14ac:dyDescent="0.3">
      <c r="A477" s="51" t="s">
        <v>581</v>
      </c>
      <c r="B477" s="52">
        <v>46256</v>
      </c>
      <c r="C477" s="53" t="s">
        <v>25</v>
      </c>
      <c r="D477" s="53" t="s">
        <v>42</v>
      </c>
      <c r="E477" s="53" t="s">
        <v>21</v>
      </c>
      <c r="F477" s="54">
        <v>118212</v>
      </c>
      <c r="G477" s="53" t="s">
        <v>35</v>
      </c>
      <c r="H477" s="54" t="s">
        <v>28</v>
      </c>
      <c r="I477" s="54">
        <v>107200</v>
      </c>
      <c r="J477" s="54">
        <v>57300</v>
      </c>
      <c r="K477" s="54">
        <v>60912</v>
      </c>
      <c r="L477" s="53">
        <v>30</v>
      </c>
      <c r="M477" s="55" t="s">
        <v>41</v>
      </c>
      <c r="N477" s="56" t="s">
        <v>103</v>
      </c>
    </row>
    <row r="478" spans="1:14" hidden="1" x14ac:dyDescent="0.3">
      <c r="A478" s="51" t="s">
        <v>582</v>
      </c>
      <c r="B478" s="52">
        <v>46234</v>
      </c>
      <c r="C478" s="53" t="s">
        <v>13</v>
      </c>
      <c r="D478" s="53" t="s">
        <v>51</v>
      </c>
      <c r="E478" s="53" t="s">
        <v>37</v>
      </c>
      <c r="F478" s="54">
        <v>49071</v>
      </c>
      <c r="G478" s="53" t="s">
        <v>16</v>
      </c>
      <c r="H478" s="54" t="s">
        <v>17</v>
      </c>
      <c r="I478" s="54">
        <v>49900</v>
      </c>
      <c r="J478" s="54">
        <v>31100</v>
      </c>
      <c r="K478" s="54">
        <v>17971</v>
      </c>
      <c r="L478" s="53">
        <v>35</v>
      </c>
      <c r="M478" s="55" t="s">
        <v>18</v>
      </c>
      <c r="N478" s="56" t="s">
        <v>103</v>
      </c>
    </row>
    <row r="479" spans="1:14" hidden="1" x14ac:dyDescent="0.3">
      <c r="A479" s="51" t="s">
        <v>583</v>
      </c>
      <c r="B479" s="52">
        <v>46238</v>
      </c>
      <c r="C479" s="53" t="s">
        <v>25</v>
      </c>
      <c r="D479" s="53" t="s">
        <v>49</v>
      </c>
      <c r="E479" s="53" t="s">
        <v>15</v>
      </c>
      <c r="F479" s="54">
        <v>122990</v>
      </c>
      <c r="G479" s="53" t="s">
        <v>35</v>
      </c>
      <c r="H479" s="54" t="s">
        <v>28</v>
      </c>
      <c r="I479" s="54">
        <v>135500</v>
      </c>
      <c r="J479" s="54">
        <v>83900</v>
      </c>
      <c r="K479" s="54">
        <v>39090</v>
      </c>
      <c r="L479" s="53">
        <v>18</v>
      </c>
      <c r="M479" s="55" t="s">
        <v>41</v>
      </c>
      <c r="N479" s="56" t="s">
        <v>114</v>
      </c>
    </row>
    <row r="480" spans="1:14" hidden="1" x14ac:dyDescent="0.3">
      <c r="A480" s="51" t="s">
        <v>584</v>
      </c>
      <c r="B480" s="52">
        <v>46263</v>
      </c>
      <c r="C480" s="53" t="s">
        <v>25</v>
      </c>
      <c r="D480" s="53" t="s">
        <v>45</v>
      </c>
      <c r="E480" s="53" t="s">
        <v>21</v>
      </c>
      <c r="F480" s="54">
        <v>79519</v>
      </c>
      <c r="G480" s="53" t="s">
        <v>16</v>
      </c>
      <c r="H480" s="54" t="s">
        <v>28</v>
      </c>
      <c r="I480" s="54">
        <v>74500</v>
      </c>
      <c r="J480" s="54">
        <v>64500</v>
      </c>
      <c r="K480" s="54">
        <v>15019</v>
      </c>
      <c r="L480" s="53">
        <v>95</v>
      </c>
      <c r="M480" s="55" t="s">
        <v>31</v>
      </c>
      <c r="N480" s="56" t="s">
        <v>624</v>
      </c>
    </row>
    <row r="481" spans="1:14" hidden="1" x14ac:dyDescent="0.3">
      <c r="A481" s="51" t="s">
        <v>585</v>
      </c>
      <c r="B481" s="52">
        <v>46236</v>
      </c>
      <c r="C481" s="53" t="s">
        <v>25</v>
      </c>
      <c r="D481" s="53" t="s">
        <v>29</v>
      </c>
      <c r="E481" s="53" t="s">
        <v>21</v>
      </c>
      <c r="F481" s="54">
        <v>19503</v>
      </c>
      <c r="G481" s="53" t="s">
        <v>22</v>
      </c>
      <c r="H481" s="54" t="s">
        <v>28</v>
      </c>
      <c r="I481" s="54">
        <v>21000</v>
      </c>
      <c r="J481" s="54">
        <v>15200</v>
      </c>
      <c r="K481" s="54">
        <v>4303</v>
      </c>
      <c r="L481" s="53">
        <v>60</v>
      </c>
      <c r="M481" s="55" t="s">
        <v>18</v>
      </c>
      <c r="N481" s="56" t="s">
        <v>103</v>
      </c>
    </row>
    <row r="482" spans="1:14" x14ac:dyDescent="0.3">
      <c r="A482" s="51" t="s">
        <v>586</v>
      </c>
      <c r="B482" s="52">
        <v>46255</v>
      </c>
      <c r="C482" s="53" t="s">
        <v>19</v>
      </c>
      <c r="D482" s="53" t="s">
        <v>43</v>
      </c>
      <c r="E482" s="53" t="s">
        <v>27</v>
      </c>
      <c r="F482" s="54">
        <v>105457</v>
      </c>
      <c r="G482" s="53" t="s">
        <v>40</v>
      </c>
      <c r="H482" s="54" t="s">
        <v>23</v>
      </c>
      <c r="I482" s="54">
        <v>114200</v>
      </c>
      <c r="J482" s="54">
        <v>84800</v>
      </c>
      <c r="K482" s="54">
        <v>20657</v>
      </c>
      <c r="L482" s="53">
        <v>85</v>
      </c>
      <c r="M482" s="55" t="s">
        <v>24</v>
      </c>
      <c r="N482" s="56" t="s">
        <v>105</v>
      </c>
    </row>
    <row r="483" spans="1:14" hidden="1" x14ac:dyDescent="0.3">
      <c r="A483" s="51" t="s">
        <v>587</v>
      </c>
      <c r="B483" s="52">
        <v>46264</v>
      </c>
      <c r="C483" s="53" t="s">
        <v>32</v>
      </c>
      <c r="D483" s="53" t="s">
        <v>51</v>
      </c>
      <c r="E483" s="53" t="s">
        <v>27</v>
      </c>
      <c r="F483" s="54">
        <v>55838</v>
      </c>
      <c r="G483" s="53" t="s">
        <v>40</v>
      </c>
      <c r="H483" s="54" t="s">
        <v>36</v>
      </c>
      <c r="I483" s="54">
        <v>50600</v>
      </c>
      <c r="J483" s="54">
        <v>25400</v>
      </c>
      <c r="K483" s="54">
        <v>30438</v>
      </c>
      <c r="L483" s="53">
        <v>68</v>
      </c>
      <c r="M483" s="55" t="s">
        <v>24</v>
      </c>
      <c r="N483" s="56" t="s">
        <v>105</v>
      </c>
    </row>
    <row r="484" spans="1:14" hidden="1" x14ac:dyDescent="0.3">
      <c r="A484" s="51" t="s">
        <v>588</v>
      </c>
      <c r="B484" s="52">
        <v>46224</v>
      </c>
      <c r="C484" s="53" t="s">
        <v>25</v>
      </c>
      <c r="D484" s="53" t="s">
        <v>20</v>
      </c>
      <c r="E484" s="53" t="s">
        <v>34</v>
      </c>
      <c r="F484" s="54">
        <v>135200</v>
      </c>
      <c r="G484" s="53" t="s">
        <v>30</v>
      </c>
      <c r="H484" s="54" t="s">
        <v>28</v>
      </c>
      <c r="I484" s="54">
        <v>141700</v>
      </c>
      <c r="J484" s="54">
        <v>75600</v>
      </c>
      <c r="K484" s="54">
        <v>59600</v>
      </c>
      <c r="L484" s="53">
        <v>105</v>
      </c>
      <c r="M484" s="55" t="s">
        <v>31</v>
      </c>
      <c r="N484" s="56" t="s">
        <v>108</v>
      </c>
    </row>
    <row r="485" spans="1:14" x14ac:dyDescent="0.3">
      <c r="A485" s="51" t="s">
        <v>589</v>
      </c>
      <c r="B485" s="52">
        <v>46235</v>
      </c>
      <c r="C485" s="53" t="s">
        <v>19</v>
      </c>
      <c r="D485" s="53" t="s">
        <v>43</v>
      </c>
      <c r="E485" s="53" t="s">
        <v>44</v>
      </c>
      <c r="F485" s="54">
        <v>99489</v>
      </c>
      <c r="G485" s="53" t="s">
        <v>35</v>
      </c>
      <c r="H485" s="54" t="s">
        <v>48</v>
      </c>
      <c r="I485" s="54">
        <v>111400</v>
      </c>
      <c r="J485" s="54">
        <v>77700</v>
      </c>
      <c r="K485" s="54">
        <v>21789</v>
      </c>
      <c r="L485" s="53">
        <v>120</v>
      </c>
      <c r="M485" s="55" t="s">
        <v>31</v>
      </c>
      <c r="N485" s="56" t="s">
        <v>108</v>
      </c>
    </row>
    <row r="486" spans="1:14" hidden="1" x14ac:dyDescent="0.3">
      <c r="A486" s="51" t="s">
        <v>590</v>
      </c>
      <c r="B486" s="52">
        <v>46226</v>
      </c>
      <c r="C486" s="53" t="s">
        <v>13</v>
      </c>
      <c r="D486" s="53" t="s">
        <v>45</v>
      </c>
      <c r="E486" s="53" t="s">
        <v>37</v>
      </c>
      <c r="F486" s="54">
        <v>36806</v>
      </c>
      <c r="G486" s="53" t="s">
        <v>35</v>
      </c>
      <c r="H486" s="54" t="s">
        <v>17</v>
      </c>
      <c r="I486" s="54">
        <v>37700</v>
      </c>
      <c r="J486" s="54">
        <v>25500</v>
      </c>
      <c r="K486" s="54">
        <v>11306</v>
      </c>
      <c r="L486" s="53">
        <v>35</v>
      </c>
      <c r="M486" s="55" t="s">
        <v>18</v>
      </c>
      <c r="N486" s="56" t="s">
        <v>103</v>
      </c>
    </row>
    <row r="487" spans="1:14" hidden="1" x14ac:dyDescent="0.3">
      <c r="A487" s="51" t="s">
        <v>591</v>
      </c>
      <c r="B487" s="52">
        <v>46236</v>
      </c>
      <c r="C487" s="53" t="s">
        <v>25</v>
      </c>
      <c r="D487" s="53" t="s">
        <v>43</v>
      </c>
      <c r="E487" s="53" t="s">
        <v>44</v>
      </c>
      <c r="F487" s="54">
        <v>80119</v>
      </c>
      <c r="G487" s="53" t="s">
        <v>35</v>
      </c>
      <c r="H487" s="54" t="s">
        <v>28</v>
      </c>
      <c r="I487" s="54">
        <v>68400</v>
      </c>
      <c r="J487" s="54">
        <v>36300</v>
      </c>
      <c r="K487" s="54">
        <v>43819</v>
      </c>
      <c r="L487" s="53">
        <v>25</v>
      </c>
      <c r="M487" s="55" t="s">
        <v>41</v>
      </c>
      <c r="N487" s="56" t="s">
        <v>114</v>
      </c>
    </row>
    <row r="488" spans="1:14" hidden="1" x14ac:dyDescent="0.3">
      <c r="A488" s="51" t="s">
        <v>592</v>
      </c>
      <c r="B488" s="52">
        <v>46206</v>
      </c>
      <c r="C488" s="53" t="s">
        <v>25</v>
      </c>
      <c r="D488" s="53" t="s">
        <v>33</v>
      </c>
      <c r="E488" s="53" t="s">
        <v>34</v>
      </c>
      <c r="F488" s="54">
        <v>48714</v>
      </c>
      <c r="G488" s="53" t="s">
        <v>22</v>
      </c>
      <c r="H488" s="54" t="s">
        <v>28</v>
      </c>
      <c r="I488" s="54">
        <v>41600</v>
      </c>
      <c r="J488" s="54">
        <v>41500</v>
      </c>
      <c r="K488" s="54">
        <v>7214</v>
      </c>
      <c r="L488" s="53">
        <v>85</v>
      </c>
      <c r="M488" s="55" t="s">
        <v>24</v>
      </c>
      <c r="N488" s="56" t="s">
        <v>105</v>
      </c>
    </row>
    <row r="489" spans="1:14" hidden="1" x14ac:dyDescent="0.3">
      <c r="A489" s="51" t="s">
        <v>593</v>
      </c>
      <c r="B489" s="52">
        <v>46221</v>
      </c>
      <c r="C489" s="53" t="s">
        <v>13</v>
      </c>
      <c r="D489" s="53" t="s">
        <v>14</v>
      </c>
      <c r="E489" s="53" t="s">
        <v>27</v>
      </c>
      <c r="F489" s="54">
        <v>65419</v>
      </c>
      <c r="G489" s="53" t="s">
        <v>35</v>
      </c>
      <c r="H489" s="54" t="s">
        <v>17</v>
      </c>
      <c r="I489" s="54">
        <v>63800</v>
      </c>
      <c r="J489" s="54">
        <v>54700</v>
      </c>
      <c r="K489" s="54">
        <v>10719</v>
      </c>
      <c r="L489" s="53">
        <v>45</v>
      </c>
      <c r="M489" s="55" t="s">
        <v>18</v>
      </c>
      <c r="N489" s="56" t="s">
        <v>103</v>
      </c>
    </row>
    <row r="490" spans="1:14" hidden="1" x14ac:dyDescent="0.3">
      <c r="A490" s="51" t="s">
        <v>594</v>
      </c>
      <c r="B490" s="52">
        <v>46228</v>
      </c>
      <c r="C490" s="53" t="s">
        <v>32</v>
      </c>
      <c r="D490" s="53" t="s">
        <v>33</v>
      </c>
      <c r="E490" s="53" t="s">
        <v>15</v>
      </c>
      <c r="F490" s="54">
        <v>115432</v>
      </c>
      <c r="G490" s="53" t="s">
        <v>40</v>
      </c>
      <c r="H490" s="54" t="s">
        <v>36</v>
      </c>
      <c r="I490" s="54">
        <v>135500</v>
      </c>
      <c r="J490" s="54">
        <v>83600</v>
      </c>
      <c r="K490" s="54">
        <v>31832</v>
      </c>
      <c r="L490" s="53">
        <v>52</v>
      </c>
      <c r="M490" s="55" t="s">
        <v>18</v>
      </c>
      <c r="N490" s="56" t="s">
        <v>103</v>
      </c>
    </row>
    <row r="491" spans="1:14" x14ac:dyDescent="0.3">
      <c r="A491" s="51" t="s">
        <v>595</v>
      </c>
      <c r="B491" s="52">
        <v>46245</v>
      </c>
      <c r="C491" s="53" t="s">
        <v>19</v>
      </c>
      <c r="D491" s="53" t="s">
        <v>43</v>
      </c>
      <c r="E491" s="53" t="s">
        <v>27</v>
      </c>
      <c r="F491" s="54">
        <v>102949</v>
      </c>
      <c r="G491" s="53" t="s">
        <v>22</v>
      </c>
      <c r="H491" s="54" t="s">
        <v>48</v>
      </c>
      <c r="I491" s="54">
        <v>95700</v>
      </c>
      <c r="J491" s="54">
        <v>49700</v>
      </c>
      <c r="K491" s="54">
        <v>53249</v>
      </c>
      <c r="L491" s="53">
        <v>60</v>
      </c>
      <c r="M491" s="55" t="s">
        <v>18</v>
      </c>
      <c r="N491" s="56" t="s">
        <v>103</v>
      </c>
    </row>
    <row r="492" spans="1:14" hidden="1" x14ac:dyDescent="0.3">
      <c r="A492" s="51" t="s">
        <v>596</v>
      </c>
      <c r="B492" s="52">
        <v>46234</v>
      </c>
      <c r="C492" s="53" t="s">
        <v>13</v>
      </c>
      <c r="D492" s="53" t="s">
        <v>26</v>
      </c>
      <c r="E492" s="53" t="s">
        <v>37</v>
      </c>
      <c r="F492" s="54">
        <v>143533</v>
      </c>
      <c r="G492" s="53" t="s">
        <v>16</v>
      </c>
      <c r="H492" s="54" t="s">
        <v>17</v>
      </c>
      <c r="I492" s="54">
        <v>153900</v>
      </c>
      <c r="J492" s="54">
        <v>119600</v>
      </c>
      <c r="K492" s="54">
        <v>23933</v>
      </c>
      <c r="L492" s="53">
        <v>95</v>
      </c>
      <c r="M492" s="55" t="s">
        <v>31</v>
      </c>
      <c r="N492" s="56" t="s">
        <v>624</v>
      </c>
    </row>
    <row r="493" spans="1:14" hidden="1" x14ac:dyDescent="0.3">
      <c r="A493" s="51" t="s">
        <v>597</v>
      </c>
      <c r="B493" s="52">
        <v>46257</v>
      </c>
      <c r="C493" s="53" t="s">
        <v>32</v>
      </c>
      <c r="D493" s="53" t="s">
        <v>39</v>
      </c>
      <c r="E493" s="53" t="s">
        <v>27</v>
      </c>
      <c r="F493" s="54">
        <v>86971</v>
      </c>
      <c r="G493" s="53" t="s">
        <v>35</v>
      </c>
      <c r="H493" s="54" t="s">
        <v>36</v>
      </c>
      <c r="I493" s="54">
        <v>80700</v>
      </c>
      <c r="J493" s="54">
        <v>64500</v>
      </c>
      <c r="K493" s="54">
        <v>22471</v>
      </c>
      <c r="L493" s="53">
        <v>75</v>
      </c>
      <c r="M493" s="55" t="s">
        <v>24</v>
      </c>
      <c r="N493" s="56" t="s">
        <v>105</v>
      </c>
    </row>
    <row r="494" spans="1:14" hidden="1" x14ac:dyDescent="0.3">
      <c r="A494" s="51" t="s">
        <v>598</v>
      </c>
      <c r="B494" s="52">
        <v>46261</v>
      </c>
      <c r="C494" s="53" t="s">
        <v>25</v>
      </c>
      <c r="D494" s="53" t="s">
        <v>43</v>
      </c>
      <c r="E494" s="53" t="s">
        <v>37</v>
      </c>
      <c r="F494" s="54">
        <v>103471</v>
      </c>
      <c r="G494" s="53" t="s">
        <v>35</v>
      </c>
      <c r="H494" s="54" t="s">
        <v>28</v>
      </c>
      <c r="I494" s="54">
        <v>99600</v>
      </c>
      <c r="J494" s="54">
        <v>87000</v>
      </c>
      <c r="K494" s="54">
        <v>16471</v>
      </c>
      <c r="L494" s="53">
        <v>35</v>
      </c>
      <c r="M494" s="55" t="s">
        <v>18</v>
      </c>
      <c r="N494" s="56" t="s">
        <v>103</v>
      </c>
    </row>
    <row r="495" spans="1:14" x14ac:dyDescent="0.3">
      <c r="A495" s="51" t="s">
        <v>599</v>
      </c>
      <c r="B495" s="52">
        <v>46206</v>
      </c>
      <c r="C495" s="53" t="s">
        <v>19</v>
      </c>
      <c r="D495" s="53" t="s">
        <v>33</v>
      </c>
      <c r="E495" s="53" t="s">
        <v>37</v>
      </c>
      <c r="F495" s="54">
        <v>74946</v>
      </c>
      <c r="G495" s="53" t="s">
        <v>16</v>
      </c>
      <c r="H495" s="54" t="s">
        <v>48</v>
      </c>
      <c r="I495" s="54">
        <v>85900</v>
      </c>
      <c r="J495" s="54">
        <v>61900</v>
      </c>
      <c r="K495" s="54">
        <v>13046</v>
      </c>
      <c r="L495" s="53">
        <v>120</v>
      </c>
      <c r="M495" s="55" t="s">
        <v>31</v>
      </c>
      <c r="N495" s="56" t="s">
        <v>108</v>
      </c>
    </row>
    <row r="496" spans="1:14" hidden="1" x14ac:dyDescent="0.3">
      <c r="A496" s="51" t="s">
        <v>600</v>
      </c>
      <c r="B496" s="52">
        <v>46243</v>
      </c>
      <c r="C496" s="53" t="s">
        <v>32</v>
      </c>
      <c r="D496" s="53" t="s">
        <v>38</v>
      </c>
      <c r="E496" s="53" t="s">
        <v>37</v>
      </c>
      <c r="F496" s="54">
        <v>108989</v>
      </c>
      <c r="G496" s="53" t="s">
        <v>35</v>
      </c>
      <c r="H496" s="54" t="s">
        <v>36</v>
      </c>
      <c r="I496" s="54">
        <v>120400</v>
      </c>
      <c r="J496" s="54">
        <v>92800</v>
      </c>
      <c r="K496" s="54">
        <v>16189</v>
      </c>
      <c r="L496" s="53">
        <v>35</v>
      </c>
      <c r="M496" s="55" t="s">
        <v>18</v>
      </c>
      <c r="N496" s="56" t="s">
        <v>103</v>
      </c>
    </row>
    <row r="497" spans="1:14" hidden="1" x14ac:dyDescent="0.3">
      <c r="A497" s="51" t="s">
        <v>601</v>
      </c>
      <c r="B497" s="52">
        <v>46249</v>
      </c>
      <c r="C497" s="53" t="s">
        <v>32</v>
      </c>
      <c r="D497" s="53" t="s">
        <v>45</v>
      </c>
      <c r="E497" s="53" t="s">
        <v>34</v>
      </c>
      <c r="F497" s="54">
        <v>94080</v>
      </c>
      <c r="G497" s="53" t="s">
        <v>16</v>
      </c>
      <c r="H497" s="54" t="s">
        <v>36</v>
      </c>
      <c r="I497" s="54">
        <v>83100</v>
      </c>
      <c r="J497" s="54">
        <v>66700</v>
      </c>
      <c r="K497" s="54">
        <v>27380</v>
      </c>
      <c r="L497" s="53">
        <v>52</v>
      </c>
      <c r="M497" s="55" t="s">
        <v>18</v>
      </c>
      <c r="N497" s="56" t="s">
        <v>103</v>
      </c>
    </row>
    <row r="498" spans="1:14" hidden="1" x14ac:dyDescent="0.3">
      <c r="A498" s="51" t="s">
        <v>602</v>
      </c>
      <c r="B498" s="52">
        <v>46227</v>
      </c>
      <c r="C498" s="53" t="s">
        <v>25</v>
      </c>
      <c r="D498" s="53" t="s">
        <v>26</v>
      </c>
      <c r="E498" s="53" t="s">
        <v>37</v>
      </c>
      <c r="F498" s="54">
        <v>87794</v>
      </c>
      <c r="G498" s="53" t="s">
        <v>22</v>
      </c>
      <c r="H498" s="54" t="s">
        <v>28</v>
      </c>
      <c r="I498" s="54">
        <v>87800</v>
      </c>
      <c r="J498" s="54">
        <v>45700</v>
      </c>
      <c r="K498" s="54">
        <v>42094</v>
      </c>
      <c r="L498" s="53">
        <v>85</v>
      </c>
      <c r="M498" s="55" t="s">
        <v>24</v>
      </c>
      <c r="N498" s="56" t="s">
        <v>105</v>
      </c>
    </row>
    <row r="499" spans="1:14" hidden="1" x14ac:dyDescent="0.3">
      <c r="A499" s="51" t="s">
        <v>603</v>
      </c>
      <c r="B499" s="52">
        <v>46253</v>
      </c>
      <c r="C499" s="53" t="s">
        <v>13</v>
      </c>
      <c r="D499" s="53" t="s">
        <v>33</v>
      </c>
      <c r="E499" s="53" t="s">
        <v>37</v>
      </c>
      <c r="F499" s="54">
        <v>40841</v>
      </c>
      <c r="G499" s="53" t="s">
        <v>40</v>
      </c>
      <c r="H499" s="54" t="s">
        <v>17</v>
      </c>
      <c r="I499" s="54">
        <v>35100</v>
      </c>
      <c r="J499" s="54">
        <v>32100</v>
      </c>
      <c r="K499" s="54">
        <v>8741</v>
      </c>
      <c r="L499" s="53">
        <v>30</v>
      </c>
      <c r="M499" s="55" t="s">
        <v>41</v>
      </c>
      <c r="N499" s="56" t="s">
        <v>103</v>
      </c>
    </row>
    <row r="500" spans="1:14" hidden="1" x14ac:dyDescent="0.3">
      <c r="A500" s="51" t="s">
        <v>604</v>
      </c>
      <c r="B500" s="52">
        <v>46235</v>
      </c>
      <c r="C500" s="53" t="s">
        <v>32</v>
      </c>
      <c r="D500" s="53" t="s">
        <v>51</v>
      </c>
      <c r="E500" s="53" t="s">
        <v>15</v>
      </c>
      <c r="F500" s="54">
        <v>134447</v>
      </c>
      <c r="G500" s="53" t="s">
        <v>16</v>
      </c>
      <c r="H500" s="54" t="s">
        <v>36</v>
      </c>
      <c r="I500" s="54">
        <v>136900</v>
      </c>
      <c r="J500" s="54">
        <v>102200</v>
      </c>
      <c r="K500" s="54">
        <v>32247</v>
      </c>
      <c r="L500" s="53">
        <v>105</v>
      </c>
      <c r="M500" s="55" t="s">
        <v>31</v>
      </c>
      <c r="N500" s="56" t="s">
        <v>108</v>
      </c>
    </row>
    <row r="501" spans="1:14" x14ac:dyDescent="0.3">
      <c r="A501" s="57" t="s">
        <v>605</v>
      </c>
      <c r="B501" s="58">
        <v>46250</v>
      </c>
      <c r="C501" s="59" t="s">
        <v>19</v>
      </c>
      <c r="D501" s="59" t="s">
        <v>50</v>
      </c>
      <c r="E501" s="59" t="s">
        <v>44</v>
      </c>
      <c r="F501" s="60">
        <v>130029</v>
      </c>
      <c r="G501" s="59" t="s">
        <v>30</v>
      </c>
      <c r="H501" s="60" t="s">
        <v>48</v>
      </c>
      <c r="I501" s="60">
        <v>140700</v>
      </c>
      <c r="J501" s="60">
        <v>106800</v>
      </c>
      <c r="K501" s="60">
        <v>23229</v>
      </c>
      <c r="L501" s="59">
        <v>18</v>
      </c>
      <c r="M501" s="61" t="s">
        <v>41</v>
      </c>
      <c r="N501" s="56" t="s">
        <v>114</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EB508-8740-4499-9F58-E953C2AABDF5}">
  <sheetPr>
    <tabColor rgb="FF92D050"/>
    <pageSetUpPr fitToPage="1"/>
  </sheetPr>
  <dimension ref="B1:AB135"/>
  <sheetViews>
    <sheetView topLeftCell="P1" zoomScale="64" workbookViewId="0">
      <selection activeCell="V21" sqref="V21"/>
    </sheetView>
  </sheetViews>
  <sheetFormatPr defaultRowHeight="14.4" x14ac:dyDescent="0.3"/>
  <cols>
    <col min="1" max="1" width="8.88671875" style="41"/>
    <col min="2" max="2" width="19.77734375" style="41" bestFit="1" customWidth="1"/>
    <col min="3" max="3" width="15.33203125" style="41" bestFit="1" customWidth="1"/>
    <col min="4" max="4" width="21.33203125" style="41" bestFit="1" customWidth="1"/>
    <col min="5" max="5" width="18.33203125" style="41" bestFit="1" customWidth="1"/>
    <col min="6" max="6" width="21" style="41" bestFit="1" customWidth="1"/>
    <col min="7" max="7" width="24.109375" style="41" bestFit="1" customWidth="1"/>
    <col min="8" max="8" width="18.33203125" style="41" bestFit="1" customWidth="1"/>
    <col min="9" max="9" width="21" style="41" bestFit="1" customWidth="1"/>
    <col min="10" max="10" width="19.5546875" style="41" bestFit="1" customWidth="1"/>
    <col min="11" max="11" width="19" style="41" bestFit="1" customWidth="1"/>
    <col min="12" max="12" width="18.88671875" style="41" bestFit="1" customWidth="1"/>
    <col min="13" max="13" width="15.33203125" style="41" bestFit="1" customWidth="1"/>
    <col min="14" max="14" width="21" style="41" bestFit="1" customWidth="1"/>
    <col min="15" max="15" width="18.33203125" style="41" bestFit="1" customWidth="1"/>
    <col min="16" max="16" width="28.88671875" style="41" bestFit="1" customWidth="1"/>
    <col min="17" max="17" width="16.44140625" style="41" bestFit="1" customWidth="1"/>
    <col min="18" max="18" width="48.5546875" style="41" customWidth="1"/>
    <col min="19" max="19" width="19.5546875" style="41" bestFit="1" customWidth="1"/>
    <col min="20" max="20" width="15.33203125" style="41" bestFit="1" customWidth="1"/>
    <col min="21" max="21" width="21.33203125" style="41" bestFit="1" customWidth="1"/>
    <col min="22" max="22" width="18.33203125" style="41" bestFit="1" customWidth="1"/>
    <col min="23" max="23" width="21" style="41" bestFit="1" customWidth="1"/>
    <col min="24" max="24" width="19.33203125" style="41" bestFit="1" customWidth="1"/>
    <col min="25" max="25" width="30.5546875" style="41" bestFit="1" customWidth="1"/>
    <col min="26" max="26" width="14.5546875" style="41" bestFit="1" customWidth="1"/>
    <col min="27" max="27" width="8.88671875" style="41"/>
    <col min="28" max="28" width="31.33203125" style="41" customWidth="1"/>
    <col min="29" max="16384" width="8.88671875" style="41"/>
  </cols>
  <sheetData>
    <row r="1" spans="2:28" x14ac:dyDescent="0.3">
      <c r="B1" s="40" t="s">
        <v>607</v>
      </c>
    </row>
    <row r="2" spans="2:28" ht="15" thickBot="1" x14ac:dyDescent="0.35">
      <c r="B2" s="42" t="s">
        <v>97</v>
      </c>
      <c r="C2" s="41" t="s">
        <v>99</v>
      </c>
      <c r="D2" s="41" t="s">
        <v>610</v>
      </c>
      <c r="E2" s="41" t="s">
        <v>609</v>
      </c>
      <c r="F2" s="41" t="s">
        <v>608</v>
      </c>
      <c r="G2" s="43" t="s">
        <v>611</v>
      </c>
      <c r="H2" s="43" t="s">
        <v>613</v>
      </c>
      <c r="I2" s="43" t="s">
        <v>612</v>
      </c>
      <c r="L2" s="44" t="s">
        <v>617</v>
      </c>
      <c r="R2" s="40" t="s">
        <v>631</v>
      </c>
    </row>
    <row r="3" spans="2:28" ht="29.4" thickBot="1" x14ac:dyDescent="0.35">
      <c r="B3" s="45" t="s">
        <v>19</v>
      </c>
      <c r="C3" s="46">
        <v>12543008</v>
      </c>
      <c r="D3" s="46">
        <v>12949900</v>
      </c>
      <c r="E3" s="46">
        <v>8637600</v>
      </c>
      <c r="F3" s="46">
        <v>3905408</v>
      </c>
      <c r="G3" s="75">
        <f>C3/D3*100</f>
        <v>96.857952571062327</v>
      </c>
      <c r="H3" s="75">
        <f>F3/C3*100</f>
        <v>31.136135765838624</v>
      </c>
      <c r="I3" s="75">
        <f>E3/C3*100</f>
        <v>68.863864234161383</v>
      </c>
      <c r="L3" s="42" t="s">
        <v>97</v>
      </c>
      <c r="M3" s="41" t="s">
        <v>608</v>
      </c>
      <c r="R3" s="42" t="s">
        <v>2</v>
      </c>
      <c r="S3" s="42" t="s">
        <v>95</v>
      </c>
      <c r="T3" s="41" t="s">
        <v>99</v>
      </c>
      <c r="U3" s="41" t="s">
        <v>610</v>
      </c>
      <c r="V3" s="41" t="s">
        <v>609</v>
      </c>
      <c r="W3" s="41" t="s">
        <v>608</v>
      </c>
      <c r="X3" s="41" t="s">
        <v>623</v>
      </c>
      <c r="Y3" s="76" t="s">
        <v>632</v>
      </c>
      <c r="Z3" s="76" t="s">
        <v>635</v>
      </c>
      <c r="AB3" s="78" t="s">
        <v>636</v>
      </c>
    </row>
    <row r="4" spans="2:28" x14ac:dyDescent="0.3">
      <c r="B4" s="45" t="s">
        <v>25</v>
      </c>
      <c r="C4" s="46">
        <v>12416454</v>
      </c>
      <c r="D4" s="46">
        <v>12626100</v>
      </c>
      <c r="E4" s="46">
        <v>8751300</v>
      </c>
      <c r="F4" s="46">
        <v>3665154</v>
      </c>
      <c r="G4" s="75">
        <f t="shared" ref="G4:G6" si="0">C4/D4*100</f>
        <v>98.339582293819944</v>
      </c>
      <c r="H4" s="75">
        <f t="shared" ref="H4:H6" si="1">F4/C4*100</f>
        <v>29.518524370967754</v>
      </c>
      <c r="I4" s="75">
        <f t="shared" ref="I4:I6" si="2">E4/C4*100</f>
        <v>70.481475629032246</v>
      </c>
      <c r="L4" s="45" t="s">
        <v>47</v>
      </c>
      <c r="M4" s="46">
        <v>1111499</v>
      </c>
      <c r="R4" s="41" t="s">
        <v>19</v>
      </c>
      <c r="S4" s="41" t="s">
        <v>108</v>
      </c>
      <c r="T4" s="46">
        <v>2047940</v>
      </c>
      <c r="U4" s="46">
        <v>2129300</v>
      </c>
      <c r="V4" s="46">
        <v>1404700</v>
      </c>
      <c r="W4" s="46">
        <v>643240</v>
      </c>
      <c r="X4" s="41">
        <v>26</v>
      </c>
      <c r="Y4" s="77">
        <f>W4/$W$9*100</f>
        <v>16.470494247976138</v>
      </c>
      <c r="Z4" s="77">
        <f>Y4+Y5+Y8</f>
        <v>39.400723304709771</v>
      </c>
    </row>
    <row r="5" spans="2:28" x14ac:dyDescent="0.3">
      <c r="B5" s="45" t="s">
        <v>13</v>
      </c>
      <c r="C5" s="46">
        <v>8123617</v>
      </c>
      <c r="D5" s="46">
        <v>8345700</v>
      </c>
      <c r="E5" s="46">
        <v>5772200</v>
      </c>
      <c r="F5" s="46">
        <v>2351417</v>
      </c>
      <c r="G5" s="75">
        <f t="shared" si="0"/>
        <v>97.33895299375726</v>
      </c>
      <c r="H5" s="75">
        <f t="shared" si="1"/>
        <v>28.945443882940321</v>
      </c>
      <c r="I5" s="75">
        <f t="shared" si="2"/>
        <v>71.054556117059676</v>
      </c>
      <c r="L5" s="45" t="s">
        <v>26</v>
      </c>
      <c r="M5" s="46">
        <v>967685</v>
      </c>
      <c r="S5" s="41" t="s">
        <v>105</v>
      </c>
      <c r="T5" s="46">
        <v>2737237</v>
      </c>
      <c r="U5" s="46">
        <v>2889200</v>
      </c>
      <c r="V5" s="46">
        <v>1962100</v>
      </c>
      <c r="W5" s="46">
        <v>775137</v>
      </c>
      <c r="X5" s="41">
        <v>34</v>
      </c>
      <c r="Y5" s="77">
        <f t="shared" ref="Y5:Y8" si="3">W5/$W$9*100</f>
        <v>19.847785429844976</v>
      </c>
      <c r="Z5" s="76"/>
    </row>
    <row r="6" spans="2:28" x14ac:dyDescent="0.3">
      <c r="B6" s="45" t="s">
        <v>32</v>
      </c>
      <c r="C6" s="46">
        <v>7181213</v>
      </c>
      <c r="D6" s="46">
        <v>7296500</v>
      </c>
      <c r="E6" s="46">
        <v>4910300</v>
      </c>
      <c r="F6" s="46">
        <v>2270913</v>
      </c>
      <c r="G6" s="75">
        <f t="shared" si="0"/>
        <v>98.419968478037418</v>
      </c>
      <c r="H6" s="75">
        <f t="shared" si="1"/>
        <v>31.622972330719058</v>
      </c>
      <c r="I6" s="75">
        <f t="shared" si="2"/>
        <v>68.377027669280949</v>
      </c>
      <c r="L6" s="45" t="s">
        <v>33</v>
      </c>
      <c r="M6" s="46">
        <v>936689</v>
      </c>
      <c r="S6" s="41" t="s">
        <v>103</v>
      </c>
      <c r="T6" s="46">
        <v>4410357</v>
      </c>
      <c r="U6" s="46">
        <v>4477800</v>
      </c>
      <c r="V6" s="46">
        <v>2916100</v>
      </c>
      <c r="W6" s="46">
        <v>1494257</v>
      </c>
      <c r="X6" s="41">
        <v>53</v>
      </c>
      <c r="Y6" s="77">
        <f t="shared" si="3"/>
        <v>38.261226483891051</v>
      </c>
      <c r="Z6" s="76"/>
    </row>
    <row r="7" spans="2:28" x14ac:dyDescent="0.3">
      <c r="B7" s="45" t="s">
        <v>98</v>
      </c>
      <c r="C7" s="46">
        <v>40264292</v>
      </c>
      <c r="D7" s="46">
        <v>41218200</v>
      </c>
      <c r="E7" s="46">
        <v>28071400</v>
      </c>
      <c r="F7" s="46">
        <v>12192892</v>
      </c>
      <c r="L7" s="45" t="s">
        <v>39</v>
      </c>
      <c r="M7" s="46">
        <v>934365</v>
      </c>
      <c r="S7" s="41" t="s">
        <v>114</v>
      </c>
      <c r="T7" s="46">
        <v>2882992</v>
      </c>
      <c r="U7" s="46">
        <v>2960500</v>
      </c>
      <c r="V7" s="46">
        <v>2010600</v>
      </c>
      <c r="W7" s="46">
        <v>872392</v>
      </c>
      <c r="X7" s="41">
        <v>35</v>
      </c>
      <c r="Y7" s="77">
        <f t="shared" si="3"/>
        <v>22.338050211399167</v>
      </c>
      <c r="Z7" s="76"/>
    </row>
    <row r="8" spans="2:28" x14ac:dyDescent="0.3">
      <c r="L8" s="45" t="s">
        <v>43</v>
      </c>
      <c r="M8" s="46">
        <v>920139</v>
      </c>
      <c r="S8" s="41" t="s">
        <v>624</v>
      </c>
      <c r="T8" s="46">
        <v>464482</v>
      </c>
      <c r="U8" s="46">
        <v>493100</v>
      </c>
      <c r="V8" s="46">
        <v>344100</v>
      </c>
      <c r="W8" s="46">
        <v>120382</v>
      </c>
      <c r="X8" s="41">
        <v>8</v>
      </c>
      <c r="Y8" s="77">
        <f t="shared" si="3"/>
        <v>3.0824436268886632</v>
      </c>
      <c r="Z8" s="76"/>
    </row>
    <row r="9" spans="2:28" x14ac:dyDescent="0.3">
      <c r="L9" s="45" t="s">
        <v>29</v>
      </c>
      <c r="M9" s="46">
        <v>864263</v>
      </c>
      <c r="R9" s="41" t="s">
        <v>625</v>
      </c>
      <c r="T9" s="46">
        <v>12543008</v>
      </c>
      <c r="U9" s="46">
        <v>12949900</v>
      </c>
      <c r="V9" s="46">
        <v>8637600</v>
      </c>
      <c r="W9" s="46">
        <v>3905408</v>
      </c>
      <c r="X9" s="41">
        <v>156</v>
      </c>
      <c r="Y9" s="76"/>
      <c r="Z9" s="76"/>
    </row>
    <row r="10" spans="2:28" x14ac:dyDescent="0.3">
      <c r="L10" s="45" t="s">
        <v>14</v>
      </c>
      <c r="M10" s="46">
        <v>846694</v>
      </c>
      <c r="T10" s="46"/>
      <c r="U10" s="46"/>
      <c r="V10" s="46"/>
      <c r="W10" s="46"/>
      <c r="Y10" s="76"/>
      <c r="Z10" s="76"/>
    </row>
    <row r="11" spans="2:28" x14ac:dyDescent="0.3">
      <c r="B11" s="40" t="s">
        <v>614</v>
      </c>
      <c r="L11" s="45" t="s">
        <v>46</v>
      </c>
      <c r="M11" s="46">
        <v>836508</v>
      </c>
      <c r="R11" s="41" t="s">
        <v>25</v>
      </c>
      <c r="S11" s="41" t="s">
        <v>108</v>
      </c>
      <c r="T11" s="46">
        <v>2063125</v>
      </c>
      <c r="U11" s="46">
        <v>2115300</v>
      </c>
      <c r="V11" s="46">
        <v>1408100</v>
      </c>
      <c r="W11" s="46">
        <v>655025</v>
      </c>
      <c r="X11" s="41">
        <v>22</v>
      </c>
      <c r="Y11" s="77">
        <f>W11/$W$16*100</f>
        <v>17.871691066732804</v>
      </c>
      <c r="Z11" s="77">
        <f>Y11+Y12+Y15</f>
        <v>47.278504532142449</v>
      </c>
    </row>
    <row r="12" spans="2:28" x14ac:dyDescent="0.3">
      <c r="B12" s="42" t="s">
        <v>97</v>
      </c>
      <c r="C12" s="41" t="s">
        <v>99</v>
      </c>
      <c r="D12" s="41" t="s">
        <v>610</v>
      </c>
      <c r="E12" s="41" t="s">
        <v>609</v>
      </c>
      <c r="F12" s="41" t="s">
        <v>608</v>
      </c>
      <c r="G12" s="41" t="s">
        <v>637</v>
      </c>
      <c r="H12" s="41" t="s">
        <v>633</v>
      </c>
      <c r="L12" s="45" t="s">
        <v>42</v>
      </c>
      <c r="M12" s="46">
        <v>762532</v>
      </c>
      <c r="S12" s="41" t="s">
        <v>105</v>
      </c>
      <c r="T12" s="46">
        <v>2758416</v>
      </c>
      <c r="U12" s="46">
        <v>2860100</v>
      </c>
      <c r="V12" s="46">
        <v>2052000</v>
      </c>
      <c r="W12" s="46">
        <v>706416</v>
      </c>
      <c r="X12" s="41">
        <v>30</v>
      </c>
      <c r="Y12" s="77">
        <f t="shared" ref="Y12:Y15" si="4">W12/$W$16*100</f>
        <v>19.273842245100752</v>
      </c>
      <c r="Z12" s="76"/>
    </row>
    <row r="13" spans="2:28" x14ac:dyDescent="0.3">
      <c r="B13" s="45" t="s">
        <v>41</v>
      </c>
      <c r="C13" s="46">
        <v>12121601</v>
      </c>
      <c r="D13" s="46">
        <v>12454400</v>
      </c>
      <c r="E13" s="46">
        <v>8390800</v>
      </c>
      <c r="F13" s="46">
        <v>3730801</v>
      </c>
      <c r="G13" s="41">
        <v>143</v>
      </c>
      <c r="H13" s="41">
        <f>G13/$G$17*100</f>
        <v>28.599999999999998</v>
      </c>
      <c r="L13" s="45" t="s">
        <v>50</v>
      </c>
      <c r="M13" s="46">
        <v>745850</v>
      </c>
      <c r="S13" s="41" t="s">
        <v>103</v>
      </c>
      <c r="T13" s="46">
        <v>3728730</v>
      </c>
      <c r="U13" s="46">
        <v>3782400</v>
      </c>
      <c r="V13" s="46">
        <v>2571100</v>
      </c>
      <c r="W13" s="46">
        <v>1157630</v>
      </c>
      <c r="X13" s="41">
        <v>50</v>
      </c>
      <c r="Y13" s="77">
        <f t="shared" si="4"/>
        <v>31.584757420834158</v>
      </c>
      <c r="Z13" s="76"/>
    </row>
    <row r="14" spans="2:28" x14ac:dyDescent="0.3">
      <c r="B14" s="45" t="s">
        <v>18</v>
      </c>
      <c r="C14" s="46">
        <v>10719428</v>
      </c>
      <c r="D14" s="46">
        <v>10810100</v>
      </c>
      <c r="E14" s="46">
        <v>7251200</v>
      </c>
      <c r="F14" s="46">
        <v>3468228</v>
      </c>
      <c r="G14" s="41">
        <v>139</v>
      </c>
      <c r="H14" s="41">
        <f t="shared" ref="H14:H16" si="5">G14/$G$17*100</f>
        <v>27.800000000000004</v>
      </c>
      <c r="L14" s="45" t="s">
        <v>45</v>
      </c>
      <c r="M14" s="46">
        <v>733319</v>
      </c>
      <c r="S14" s="41" t="s">
        <v>114</v>
      </c>
      <c r="T14" s="46">
        <v>2710394</v>
      </c>
      <c r="U14" s="46">
        <v>2740500</v>
      </c>
      <c r="V14" s="46">
        <v>1935700</v>
      </c>
      <c r="W14" s="46">
        <v>774694</v>
      </c>
      <c r="X14" s="41">
        <v>31</v>
      </c>
      <c r="Y14" s="77">
        <f t="shared" si="4"/>
        <v>21.1367380470234</v>
      </c>
      <c r="Z14" s="76"/>
    </row>
    <row r="15" spans="2:28" x14ac:dyDescent="0.3">
      <c r="B15" s="45" t="s">
        <v>24</v>
      </c>
      <c r="C15" s="46">
        <v>8904133</v>
      </c>
      <c r="D15" s="46">
        <v>9227100</v>
      </c>
      <c r="E15" s="46">
        <v>6413900</v>
      </c>
      <c r="F15" s="46">
        <v>2490233</v>
      </c>
      <c r="G15" s="41">
        <v>105</v>
      </c>
      <c r="H15" s="41">
        <f t="shared" si="5"/>
        <v>21</v>
      </c>
      <c r="L15" s="45" t="s">
        <v>51</v>
      </c>
      <c r="M15" s="46">
        <v>712488</v>
      </c>
      <c r="S15" s="41" t="s">
        <v>624</v>
      </c>
      <c r="T15" s="46">
        <v>1155789</v>
      </c>
      <c r="U15" s="46">
        <v>1127800</v>
      </c>
      <c r="V15" s="46">
        <v>784400</v>
      </c>
      <c r="W15" s="46">
        <v>371389</v>
      </c>
      <c r="X15" s="41">
        <v>14</v>
      </c>
      <c r="Y15" s="77">
        <f t="shared" si="4"/>
        <v>10.132971220308887</v>
      </c>
      <c r="Z15" s="76"/>
    </row>
    <row r="16" spans="2:28" x14ac:dyDescent="0.3">
      <c r="B16" s="45" t="s">
        <v>31</v>
      </c>
      <c r="C16" s="46">
        <v>8519130</v>
      </c>
      <c r="D16" s="46">
        <v>8726600</v>
      </c>
      <c r="E16" s="46">
        <v>6015500</v>
      </c>
      <c r="F16" s="46">
        <v>2503630</v>
      </c>
      <c r="G16" s="41">
        <v>113</v>
      </c>
      <c r="H16" s="41">
        <f t="shared" si="5"/>
        <v>22.6</v>
      </c>
      <c r="L16" s="45" t="s">
        <v>20</v>
      </c>
      <c r="M16" s="46">
        <v>679901</v>
      </c>
      <c r="R16" s="41" t="s">
        <v>626</v>
      </c>
      <c r="T16" s="46">
        <v>12416454</v>
      </c>
      <c r="U16" s="46">
        <v>12626100</v>
      </c>
      <c r="V16" s="46">
        <v>8751300</v>
      </c>
      <c r="W16" s="46">
        <v>3665154</v>
      </c>
      <c r="X16" s="41">
        <v>147</v>
      </c>
      <c r="Y16" s="76"/>
      <c r="Z16" s="76"/>
    </row>
    <row r="17" spans="2:26" x14ac:dyDescent="0.3">
      <c r="B17" s="45" t="s">
        <v>98</v>
      </c>
      <c r="C17" s="46">
        <v>40264292</v>
      </c>
      <c r="D17" s="46">
        <v>41218200</v>
      </c>
      <c r="E17" s="46">
        <v>28071400</v>
      </c>
      <c r="F17" s="46">
        <v>12192892</v>
      </c>
      <c r="G17" s="41">
        <v>500</v>
      </c>
      <c r="L17" s="45" t="s">
        <v>49</v>
      </c>
      <c r="M17" s="46">
        <v>582638</v>
      </c>
      <c r="T17" s="46"/>
      <c r="U17" s="46"/>
      <c r="V17" s="46"/>
      <c r="W17" s="46"/>
      <c r="Y17" s="76"/>
      <c r="Z17" s="76"/>
    </row>
    <row r="18" spans="2:26" x14ac:dyDescent="0.3">
      <c r="L18" s="45" t="s">
        <v>38</v>
      </c>
      <c r="M18" s="46">
        <v>558322</v>
      </c>
      <c r="R18" s="41" t="s">
        <v>13</v>
      </c>
      <c r="S18" s="41" t="s">
        <v>108</v>
      </c>
      <c r="T18" s="46">
        <v>962042</v>
      </c>
      <c r="U18" s="46">
        <v>986600</v>
      </c>
      <c r="V18" s="46">
        <v>723200</v>
      </c>
      <c r="W18" s="46">
        <v>238842</v>
      </c>
      <c r="X18" s="41">
        <v>15</v>
      </c>
      <c r="Y18" s="77">
        <f>W18/$W$23*100</f>
        <v>10.157364686910062</v>
      </c>
      <c r="Z18" s="77">
        <f>SUM(Y18+Y19+Y22)</f>
        <v>35.859441349620255</v>
      </c>
    </row>
    <row r="19" spans="2:26" x14ac:dyDescent="0.3">
      <c r="B19" s="74" t="s">
        <v>630</v>
      </c>
      <c r="L19" s="45" t="s">
        <v>98</v>
      </c>
      <c r="M19" s="46">
        <v>12192892</v>
      </c>
      <c r="S19" s="41" t="s">
        <v>105</v>
      </c>
      <c r="T19" s="46">
        <v>1730468</v>
      </c>
      <c r="U19" s="46">
        <v>1790400</v>
      </c>
      <c r="V19" s="46">
        <v>1326500</v>
      </c>
      <c r="W19" s="46">
        <v>403968</v>
      </c>
      <c r="X19" s="41">
        <v>20</v>
      </c>
      <c r="Y19" s="77">
        <f t="shared" ref="Y19:Y22" si="6">W19/$W$23*100</f>
        <v>17.179768624620813</v>
      </c>
      <c r="Z19" s="76"/>
    </row>
    <row r="20" spans="2:26" x14ac:dyDescent="0.3">
      <c r="B20" s="42" t="s">
        <v>97</v>
      </c>
      <c r="C20" s="41" t="s">
        <v>99</v>
      </c>
      <c r="D20" s="41" t="s">
        <v>610</v>
      </c>
      <c r="E20" s="41" t="s">
        <v>609</v>
      </c>
      <c r="F20" s="41" t="s">
        <v>608</v>
      </c>
      <c r="G20" s="41" t="s">
        <v>613</v>
      </c>
      <c r="S20" s="41" t="s">
        <v>103</v>
      </c>
      <c r="T20" s="46">
        <v>2727089</v>
      </c>
      <c r="U20" s="46">
        <v>2786800</v>
      </c>
      <c r="V20" s="46">
        <v>1824900</v>
      </c>
      <c r="W20" s="46">
        <v>902189</v>
      </c>
      <c r="X20" s="41">
        <v>33</v>
      </c>
      <c r="Y20" s="77">
        <f t="shared" si="6"/>
        <v>38.367886257520468</v>
      </c>
      <c r="Z20" s="76"/>
    </row>
    <row r="21" spans="2:26" x14ac:dyDescent="0.3">
      <c r="B21" s="45" t="s">
        <v>47</v>
      </c>
      <c r="C21" s="46">
        <v>3162699</v>
      </c>
      <c r="D21" s="46">
        <v>3229200</v>
      </c>
      <c r="E21" s="46">
        <v>2051200</v>
      </c>
      <c r="F21" s="46">
        <v>1111499</v>
      </c>
      <c r="G21" s="75">
        <f>F21/C21*100</f>
        <v>35.144002005881688</v>
      </c>
      <c r="S21" s="41" t="s">
        <v>114</v>
      </c>
      <c r="T21" s="46">
        <v>2022823</v>
      </c>
      <c r="U21" s="46">
        <v>2080900</v>
      </c>
      <c r="V21" s="46">
        <v>1416800</v>
      </c>
      <c r="W21" s="46">
        <v>606023</v>
      </c>
      <c r="X21" s="41">
        <v>26</v>
      </c>
      <c r="Y21" s="77">
        <f t="shared" si="6"/>
        <v>25.772672392859285</v>
      </c>
      <c r="Z21" s="76"/>
    </row>
    <row r="22" spans="2:26" x14ac:dyDescent="0.3">
      <c r="B22" s="45" t="s">
        <v>26</v>
      </c>
      <c r="C22" s="46">
        <v>3552385</v>
      </c>
      <c r="D22" s="46">
        <v>3597100</v>
      </c>
      <c r="E22" s="46">
        <v>2584700</v>
      </c>
      <c r="F22" s="46">
        <v>967685</v>
      </c>
      <c r="G22" s="75">
        <f t="shared" ref="G22:G35" si="7">F22/C22*100</f>
        <v>27.240431428462852</v>
      </c>
      <c r="S22" s="41" t="s">
        <v>624</v>
      </c>
      <c r="T22" s="46">
        <v>681195</v>
      </c>
      <c r="U22" s="46">
        <v>701000</v>
      </c>
      <c r="V22" s="46">
        <v>480800</v>
      </c>
      <c r="W22" s="46">
        <v>200395</v>
      </c>
      <c r="X22" s="41">
        <v>7</v>
      </c>
      <c r="Y22" s="77">
        <f t="shared" si="6"/>
        <v>8.5223080380893741</v>
      </c>
      <c r="Z22" s="76"/>
    </row>
    <row r="23" spans="2:26" x14ac:dyDescent="0.3">
      <c r="B23" s="45" t="s">
        <v>33</v>
      </c>
      <c r="C23" s="46">
        <v>2891989</v>
      </c>
      <c r="D23" s="46">
        <v>3026700</v>
      </c>
      <c r="E23" s="46">
        <v>1955300</v>
      </c>
      <c r="F23" s="46">
        <v>936689</v>
      </c>
      <c r="G23" s="75">
        <f t="shared" si="7"/>
        <v>32.389092766258791</v>
      </c>
      <c r="R23" s="41" t="s">
        <v>627</v>
      </c>
      <c r="T23" s="46">
        <v>8123617</v>
      </c>
      <c r="U23" s="46">
        <v>8345700</v>
      </c>
      <c r="V23" s="46">
        <v>5772200</v>
      </c>
      <c r="W23" s="46">
        <v>2351417</v>
      </c>
      <c r="X23" s="41">
        <v>101</v>
      </c>
      <c r="Y23" s="76"/>
      <c r="Z23" s="76"/>
    </row>
    <row r="24" spans="2:26" x14ac:dyDescent="0.3">
      <c r="B24" s="45" t="s">
        <v>39</v>
      </c>
      <c r="C24" s="46">
        <v>3021365</v>
      </c>
      <c r="D24" s="46">
        <v>3166000</v>
      </c>
      <c r="E24" s="46">
        <v>2087000</v>
      </c>
      <c r="F24" s="46">
        <v>934365</v>
      </c>
      <c r="G24" s="75">
        <f t="shared" si="7"/>
        <v>30.925260602409839</v>
      </c>
      <c r="L24" s="44" t="s">
        <v>619</v>
      </c>
      <c r="T24" s="46"/>
      <c r="U24" s="46"/>
      <c r="V24" s="46"/>
      <c r="W24" s="46"/>
      <c r="Y24" s="76"/>
      <c r="Z24" s="76"/>
    </row>
    <row r="25" spans="2:26" x14ac:dyDescent="0.3">
      <c r="B25" s="45" t="s">
        <v>43</v>
      </c>
      <c r="C25" s="46">
        <v>3099139</v>
      </c>
      <c r="D25" s="46">
        <v>3120100</v>
      </c>
      <c r="E25" s="46">
        <v>2179000</v>
      </c>
      <c r="F25" s="46">
        <v>920139</v>
      </c>
      <c r="G25" s="75">
        <f t="shared" si="7"/>
        <v>29.69014942537266</v>
      </c>
      <c r="L25" s="42" t="s">
        <v>97</v>
      </c>
      <c r="M25" s="41" t="s">
        <v>99</v>
      </c>
      <c r="N25" s="41" t="s">
        <v>608</v>
      </c>
      <c r="O25" s="41" t="s">
        <v>609</v>
      </c>
      <c r="P25" s="41" t="s">
        <v>634</v>
      </c>
      <c r="R25" s="41" t="s">
        <v>32</v>
      </c>
      <c r="S25" s="41" t="s">
        <v>108</v>
      </c>
      <c r="T25" s="46">
        <v>637656</v>
      </c>
      <c r="U25" s="46">
        <v>667100</v>
      </c>
      <c r="V25" s="46">
        <v>504200</v>
      </c>
      <c r="W25" s="46">
        <v>133456</v>
      </c>
      <c r="X25" s="41">
        <v>13</v>
      </c>
      <c r="Y25" s="77">
        <f>W25/$W$30*100</f>
        <v>5.8767552962178646</v>
      </c>
      <c r="Z25" s="77">
        <f>SUM(Y25+Y26+Y29)</f>
        <v>38.709937368802763</v>
      </c>
    </row>
    <row r="26" spans="2:26" x14ac:dyDescent="0.3">
      <c r="B26" s="45" t="s">
        <v>29</v>
      </c>
      <c r="C26" s="46">
        <v>3210663</v>
      </c>
      <c r="D26" s="46">
        <v>3352600</v>
      </c>
      <c r="E26" s="46">
        <v>2346400</v>
      </c>
      <c r="F26" s="46">
        <v>864263</v>
      </c>
      <c r="G26" s="75">
        <f t="shared" si="7"/>
        <v>26.918521190171624</v>
      </c>
      <c r="L26" s="45" t="s">
        <v>27</v>
      </c>
      <c r="M26" s="46">
        <v>7626548</v>
      </c>
      <c r="N26" s="46">
        <v>2521348</v>
      </c>
      <c r="O26" s="46">
        <v>5105200</v>
      </c>
      <c r="P26" s="75">
        <f>N26/M26*100</f>
        <v>33.060147264529114</v>
      </c>
      <c r="S26" s="41" t="s">
        <v>105</v>
      </c>
      <c r="T26" s="46">
        <v>1678012</v>
      </c>
      <c r="U26" s="46">
        <v>1687400</v>
      </c>
      <c r="V26" s="46">
        <v>1073300</v>
      </c>
      <c r="W26" s="46">
        <v>604712</v>
      </c>
      <c r="X26" s="41">
        <v>21</v>
      </c>
      <c r="Y26" s="77">
        <f t="shared" ref="Y26:Y29" si="8">W26/$W$30*100</f>
        <v>26.628585066887194</v>
      </c>
      <c r="Z26" s="76"/>
    </row>
    <row r="27" spans="2:26" x14ac:dyDescent="0.3">
      <c r="B27" s="45" t="s">
        <v>14</v>
      </c>
      <c r="C27" s="46">
        <v>2894294</v>
      </c>
      <c r="D27" s="46">
        <v>2938400</v>
      </c>
      <c r="E27" s="46">
        <v>2047600</v>
      </c>
      <c r="F27" s="46">
        <v>846694</v>
      </c>
      <c r="G27" s="75">
        <f t="shared" si="7"/>
        <v>29.253904406394099</v>
      </c>
      <c r="L27" s="45" t="s">
        <v>15</v>
      </c>
      <c r="M27" s="46">
        <v>6863761</v>
      </c>
      <c r="N27" s="46">
        <v>1933361</v>
      </c>
      <c r="O27" s="46">
        <v>4930400</v>
      </c>
      <c r="P27" s="75">
        <f t="shared" ref="P27:P31" si="9">N27/M27*100</f>
        <v>28.167662015038108</v>
      </c>
      <c r="S27" s="41" t="s">
        <v>103</v>
      </c>
      <c r="T27" s="46">
        <v>2500543</v>
      </c>
      <c r="U27" s="46">
        <v>2529600</v>
      </c>
      <c r="V27" s="46">
        <v>1705300</v>
      </c>
      <c r="W27" s="46">
        <v>795243</v>
      </c>
      <c r="X27" s="41">
        <v>34</v>
      </c>
      <c r="Y27" s="77">
        <f t="shared" si="8"/>
        <v>35.018646685275925</v>
      </c>
      <c r="Z27" s="76"/>
    </row>
    <row r="28" spans="2:26" x14ac:dyDescent="0.3">
      <c r="B28" s="45" t="s">
        <v>46</v>
      </c>
      <c r="C28" s="46">
        <v>2303708</v>
      </c>
      <c r="D28" s="46">
        <v>2412000</v>
      </c>
      <c r="E28" s="46">
        <v>1467200</v>
      </c>
      <c r="F28" s="46">
        <v>836508</v>
      </c>
      <c r="G28" s="75">
        <f t="shared" si="7"/>
        <v>36.311372795510543</v>
      </c>
      <c r="L28" s="45" t="s">
        <v>34</v>
      </c>
      <c r="M28" s="46">
        <v>6693007</v>
      </c>
      <c r="N28" s="46">
        <v>2053207</v>
      </c>
      <c r="O28" s="46">
        <v>4639800</v>
      </c>
      <c r="P28" s="75">
        <f t="shared" si="9"/>
        <v>30.676899038055687</v>
      </c>
      <c r="S28" s="41" t="s">
        <v>114</v>
      </c>
      <c r="T28" s="46">
        <v>1858101</v>
      </c>
      <c r="U28" s="46">
        <v>1906000</v>
      </c>
      <c r="V28" s="46">
        <v>1261500</v>
      </c>
      <c r="W28" s="46">
        <v>596601</v>
      </c>
      <c r="X28" s="41">
        <v>20</v>
      </c>
      <c r="Y28" s="77">
        <f t="shared" si="8"/>
        <v>26.271415945921312</v>
      </c>
      <c r="Z28" s="76"/>
    </row>
    <row r="29" spans="2:26" x14ac:dyDescent="0.3">
      <c r="B29" s="45" t="s">
        <v>42</v>
      </c>
      <c r="C29" s="46">
        <v>2249032</v>
      </c>
      <c r="D29" s="46">
        <v>2205800</v>
      </c>
      <c r="E29" s="46">
        <v>1486500</v>
      </c>
      <c r="F29" s="46">
        <v>762532</v>
      </c>
      <c r="G29" s="75">
        <f t="shared" si="7"/>
        <v>33.904897751566004</v>
      </c>
      <c r="L29" s="45" t="s">
        <v>21</v>
      </c>
      <c r="M29" s="46">
        <v>6592713</v>
      </c>
      <c r="N29" s="46">
        <v>1998513</v>
      </c>
      <c r="O29" s="46">
        <v>4594200</v>
      </c>
      <c r="P29" s="75">
        <f t="shared" si="9"/>
        <v>30.313969378008721</v>
      </c>
      <c r="S29" s="41" t="s">
        <v>624</v>
      </c>
      <c r="T29" s="46">
        <v>506901</v>
      </c>
      <c r="U29" s="46">
        <v>506400</v>
      </c>
      <c r="V29" s="46">
        <v>366000</v>
      </c>
      <c r="W29" s="46">
        <v>140901</v>
      </c>
      <c r="X29" s="41">
        <v>8</v>
      </c>
      <c r="Y29" s="77">
        <f t="shared" si="8"/>
        <v>6.2045970056977078</v>
      </c>
      <c r="Z29" s="76"/>
    </row>
    <row r="30" spans="2:26" x14ac:dyDescent="0.3">
      <c r="B30" s="45" t="s">
        <v>50</v>
      </c>
      <c r="C30" s="46">
        <v>2724150</v>
      </c>
      <c r="D30" s="46">
        <v>2650400</v>
      </c>
      <c r="E30" s="46">
        <v>1978300</v>
      </c>
      <c r="F30" s="46">
        <v>745850</v>
      </c>
      <c r="G30" s="75">
        <f t="shared" si="7"/>
        <v>27.379182497292732</v>
      </c>
      <c r="L30" s="45" t="s">
        <v>44</v>
      </c>
      <c r="M30" s="46">
        <v>6398232</v>
      </c>
      <c r="N30" s="46">
        <v>1988232</v>
      </c>
      <c r="O30" s="46">
        <v>4410000</v>
      </c>
      <c r="P30" s="75">
        <f t="shared" si="9"/>
        <v>31.074709388468563</v>
      </c>
      <c r="R30" s="41" t="s">
        <v>628</v>
      </c>
      <c r="T30" s="46">
        <v>7181213</v>
      </c>
      <c r="U30" s="46">
        <v>7296500</v>
      </c>
      <c r="V30" s="46">
        <v>4910300</v>
      </c>
      <c r="W30" s="46">
        <v>2270913</v>
      </c>
      <c r="X30" s="41">
        <v>96</v>
      </c>
    </row>
    <row r="31" spans="2:26" x14ac:dyDescent="0.3">
      <c r="B31" s="45" t="s">
        <v>45</v>
      </c>
      <c r="C31" s="46">
        <v>2420719</v>
      </c>
      <c r="D31" s="46">
        <v>2469400</v>
      </c>
      <c r="E31" s="46">
        <v>1687400</v>
      </c>
      <c r="F31" s="46">
        <v>733319</v>
      </c>
      <c r="G31" s="75">
        <f t="shared" si="7"/>
        <v>30.293437610891637</v>
      </c>
      <c r="L31" s="45" t="s">
        <v>37</v>
      </c>
      <c r="M31" s="46">
        <v>6090031</v>
      </c>
      <c r="N31" s="46">
        <v>1698231</v>
      </c>
      <c r="O31" s="46">
        <v>4391800</v>
      </c>
      <c r="P31" s="75">
        <f t="shared" si="9"/>
        <v>27.88542455695217</v>
      </c>
      <c r="T31" s="46"/>
      <c r="U31" s="46"/>
      <c r="V31" s="46"/>
      <c r="W31" s="46"/>
    </row>
    <row r="32" spans="2:26" x14ac:dyDescent="0.3">
      <c r="B32" s="45" t="s">
        <v>51</v>
      </c>
      <c r="C32" s="46">
        <v>2332688</v>
      </c>
      <c r="D32" s="46">
        <v>2373900</v>
      </c>
      <c r="E32" s="46">
        <v>1620200</v>
      </c>
      <c r="F32" s="46">
        <v>712488</v>
      </c>
      <c r="G32" s="75">
        <f t="shared" si="7"/>
        <v>30.543647500222921</v>
      </c>
      <c r="L32" s="45" t="s">
        <v>98</v>
      </c>
      <c r="M32" s="46">
        <v>40264292</v>
      </c>
      <c r="N32" s="46">
        <v>12192892</v>
      </c>
      <c r="O32" s="46">
        <v>28071400</v>
      </c>
      <c r="R32" s="41" t="s">
        <v>98</v>
      </c>
      <c r="T32" s="46">
        <v>40264292</v>
      </c>
      <c r="U32" s="46">
        <v>41218200</v>
      </c>
      <c r="V32" s="46">
        <v>28071400</v>
      </c>
      <c r="W32" s="46">
        <v>12192892</v>
      </c>
      <c r="X32" s="41">
        <v>500</v>
      </c>
    </row>
    <row r="33" spans="2:11" x14ac:dyDescent="0.3">
      <c r="B33" s="45" t="s">
        <v>20</v>
      </c>
      <c r="C33" s="46">
        <v>2084901</v>
      </c>
      <c r="D33" s="46">
        <v>2129900</v>
      </c>
      <c r="E33" s="46">
        <v>1405000</v>
      </c>
      <c r="F33" s="46">
        <v>679901</v>
      </c>
      <c r="G33" s="75">
        <f t="shared" si="7"/>
        <v>32.610709093621232</v>
      </c>
    </row>
    <row r="34" spans="2:11" x14ac:dyDescent="0.3">
      <c r="B34" s="45" t="s">
        <v>49</v>
      </c>
      <c r="C34" s="46">
        <v>1937938</v>
      </c>
      <c r="D34" s="46">
        <v>1986200</v>
      </c>
      <c r="E34" s="46">
        <v>1355300</v>
      </c>
      <c r="F34" s="46">
        <v>582638</v>
      </c>
      <c r="G34" s="75">
        <f t="shared" si="7"/>
        <v>30.064842115692041</v>
      </c>
    </row>
    <row r="35" spans="2:11" x14ac:dyDescent="0.3">
      <c r="B35" s="45" t="s">
        <v>38</v>
      </c>
      <c r="C35" s="46">
        <v>2378622</v>
      </c>
      <c r="D35" s="46">
        <v>2560500</v>
      </c>
      <c r="E35" s="46">
        <v>1820300</v>
      </c>
      <c r="F35" s="46">
        <v>558322</v>
      </c>
      <c r="G35" s="75">
        <f t="shared" si="7"/>
        <v>23.472497942085795</v>
      </c>
    </row>
    <row r="36" spans="2:11" x14ac:dyDescent="0.3">
      <c r="B36" s="45" t="s">
        <v>98</v>
      </c>
      <c r="C36" s="46">
        <v>40264292</v>
      </c>
      <c r="D36" s="46">
        <v>41218200</v>
      </c>
      <c r="E36" s="46">
        <v>28071400</v>
      </c>
      <c r="F36" s="46">
        <v>12192892</v>
      </c>
    </row>
    <row r="38" spans="2:11" x14ac:dyDescent="0.3">
      <c r="B38" s="44" t="s">
        <v>616</v>
      </c>
    </row>
    <row r="39" spans="2:11" x14ac:dyDescent="0.3">
      <c r="B39" s="42" t="s">
        <v>97</v>
      </c>
      <c r="C39" s="41" t="s">
        <v>99</v>
      </c>
    </row>
    <row r="40" spans="2:11" x14ac:dyDescent="0.3">
      <c r="B40" s="45" t="s">
        <v>26</v>
      </c>
      <c r="C40" s="46">
        <v>3552385</v>
      </c>
    </row>
    <row r="41" spans="2:11" x14ac:dyDescent="0.3">
      <c r="B41" s="45" t="s">
        <v>29</v>
      </c>
      <c r="C41" s="46">
        <v>3210663</v>
      </c>
    </row>
    <row r="42" spans="2:11" x14ac:dyDescent="0.3">
      <c r="B42" s="45" t="s">
        <v>47</v>
      </c>
      <c r="C42" s="46">
        <v>3162699</v>
      </c>
      <c r="E42" s="40" t="s">
        <v>614</v>
      </c>
    </row>
    <row r="43" spans="2:11" x14ac:dyDescent="0.3">
      <c r="B43" s="45" t="s">
        <v>43</v>
      </c>
      <c r="C43" s="46">
        <v>3099139</v>
      </c>
      <c r="E43" s="42" t="s">
        <v>97</v>
      </c>
      <c r="F43" s="41" t="s">
        <v>99</v>
      </c>
      <c r="G43" s="41" t="s">
        <v>610</v>
      </c>
      <c r="H43" s="41" t="s">
        <v>609</v>
      </c>
      <c r="I43" s="41" t="s">
        <v>608</v>
      </c>
      <c r="J43" s="41" t="s">
        <v>615</v>
      </c>
    </row>
    <row r="44" spans="2:11" x14ac:dyDescent="0.3">
      <c r="B44" s="45" t="s">
        <v>39</v>
      </c>
      <c r="C44" s="46">
        <v>3021365</v>
      </c>
      <c r="E44" s="45" t="s">
        <v>41</v>
      </c>
      <c r="F44" s="46">
        <v>12121601</v>
      </c>
      <c r="G44" s="46">
        <v>12454400</v>
      </c>
      <c r="H44" s="46">
        <v>8390800</v>
      </c>
      <c r="I44" s="46">
        <v>3730801</v>
      </c>
      <c r="J44" s="41">
        <v>143</v>
      </c>
      <c r="K44" s="41" t="s">
        <v>650</v>
      </c>
    </row>
    <row r="45" spans="2:11" x14ac:dyDescent="0.3">
      <c r="B45" s="45" t="s">
        <v>14</v>
      </c>
      <c r="C45" s="46">
        <v>2894294</v>
      </c>
      <c r="E45" s="62" t="s">
        <v>103</v>
      </c>
      <c r="F45" s="46">
        <v>2647291</v>
      </c>
      <c r="G45" s="46">
        <v>2766500</v>
      </c>
      <c r="H45" s="46">
        <v>1766200</v>
      </c>
      <c r="I45" s="46">
        <v>881091</v>
      </c>
      <c r="J45" s="41">
        <v>31</v>
      </c>
      <c r="K45" s="75">
        <f>(I51+I49)/I54*100</f>
        <v>40.957165863521141</v>
      </c>
    </row>
    <row r="46" spans="2:11" x14ac:dyDescent="0.3">
      <c r="B46" s="45" t="s">
        <v>33</v>
      </c>
      <c r="C46" s="46">
        <v>2891989</v>
      </c>
      <c r="E46" s="62" t="s">
        <v>114</v>
      </c>
      <c r="F46" s="46">
        <v>9474310</v>
      </c>
      <c r="G46" s="46">
        <v>9687900</v>
      </c>
      <c r="H46" s="46">
        <v>6624600</v>
      </c>
      <c r="I46" s="46">
        <v>2849710</v>
      </c>
      <c r="J46" s="41">
        <v>112</v>
      </c>
    </row>
    <row r="47" spans="2:11" x14ac:dyDescent="0.3">
      <c r="B47" s="45" t="s">
        <v>50</v>
      </c>
      <c r="C47" s="46">
        <v>2724150</v>
      </c>
      <c r="E47" s="45" t="s">
        <v>18</v>
      </c>
      <c r="F47" s="46">
        <v>10719428</v>
      </c>
      <c r="G47" s="46">
        <v>10810100</v>
      </c>
      <c r="H47" s="46">
        <v>7251200</v>
      </c>
      <c r="I47" s="46">
        <v>3468228</v>
      </c>
      <c r="J47" s="41">
        <v>139</v>
      </c>
    </row>
    <row r="48" spans="2:11" x14ac:dyDescent="0.3">
      <c r="B48" s="45" t="s">
        <v>45</v>
      </c>
      <c r="C48" s="46">
        <v>2420719</v>
      </c>
      <c r="E48" s="62" t="s">
        <v>103</v>
      </c>
      <c r="F48" s="46">
        <v>10719428</v>
      </c>
      <c r="G48" s="46">
        <v>10810100</v>
      </c>
      <c r="H48" s="46">
        <v>7251200</v>
      </c>
      <c r="I48" s="46">
        <v>3468228</v>
      </c>
      <c r="J48" s="41">
        <v>139</v>
      </c>
    </row>
    <row r="49" spans="2:22" x14ac:dyDescent="0.3">
      <c r="B49" s="45" t="s">
        <v>38</v>
      </c>
      <c r="C49" s="46">
        <v>2378622</v>
      </c>
      <c r="E49" s="45" t="s">
        <v>24</v>
      </c>
      <c r="F49" s="46">
        <v>8904133</v>
      </c>
      <c r="G49" s="46">
        <v>9227100</v>
      </c>
      <c r="H49" s="46">
        <v>6413900</v>
      </c>
      <c r="I49" s="46">
        <v>2490233</v>
      </c>
      <c r="J49" s="41">
        <v>105</v>
      </c>
    </row>
    <row r="50" spans="2:22" x14ac:dyDescent="0.3">
      <c r="B50" s="45" t="s">
        <v>51</v>
      </c>
      <c r="C50" s="46">
        <v>2332688</v>
      </c>
      <c r="E50" s="62" t="s">
        <v>105</v>
      </c>
      <c r="F50" s="46">
        <v>8904133</v>
      </c>
      <c r="G50" s="46">
        <v>9227100</v>
      </c>
      <c r="H50" s="46">
        <v>6413900</v>
      </c>
      <c r="I50" s="46">
        <v>2490233</v>
      </c>
      <c r="J50" s="41">
        <v>105</v>
      </c>
      <c r="K50" s="41" t="s">
        <v>649</v>
      </c>
    </row>
    <row r="51" spans="2:22" x14ac:dyDescent="0.3">
      <c r="B51" s="45" t="s">
        <v>46</v>
      </c>
      <c r="C51" s="46">
        <v>2303708</v>
      </c>
      <c r="E51" s="45" t="s">
        <v>31</v>
      </c>
      <c r="F51" s="46">
        <v>8519130</v>
      </c>
      <c r="G51" s="46">
        <v>8726600</v>
      </c>
      <c r="H51" s="46">
        <v>6015500</v>
      </c>
      <c r="I51" s="46">
        <v>2503630</v>
      </c>
      <c r="J51" s="41">
        <v>113</v>
      </c>
      <c r="K51" s="41">
        <f>J50+J52+J53</f>
        <v>218</v>
      </c>
    </row>
    <row r="52" spans="2:22" x14ac:dyDescent="0.3">
      <c r="B52" s="45" t="s">
        <v>42</v>
      </c>
      <c r="C52" s="46">
        <v>2249032</v>
      </c>
      <c r="E52" s="62" t="s">
        <v>108</v>
      </c>
      <c r="F52" s="46">
        <v>5710763</v>
      </c>
      <c r="G52" s="46">
        <v>5898300</v>
      </c>
      <c r="H52" s="46">
        <v>4040200</v>
      </c>
      <c r="I52" s="46">
        <v>1670563</v>
      </c>
      <c r="J52" s="41">
        <v>76</v>
      </c>
    </row>
    <row r="53" spans="2:22" x14ac:dyDescent="0.3">
      <c r="B53" s="45" t="s">
        <v>20</v>
      </c>
      <c r="C53" s="46">
        <v>2084901</v>
      </c>
      <c r="E53" s="62" t="s">
        <v>624</v>
      </c>
      <c r="F53" s="46">
        <v>2808367</v>
      </c>
      <c r="G53" s="46">
        <v>2828300</v>
      </c>
      <c r="H53" s="46">
        <v>1975300</v>
      </c>
      <c r="I53" s="46">
        <v>833067</v>
      </c>
      <c r="J53" s="41">
        <v>37</v>
      </c>
    </row>
    <row r="54" spans="2:22" x14ac:dyDescent="0.3">
      <c r="B54" s="45" t="s">
        <v>49</v>
      </c>
      <c r="C54" s="46">
        <v>1937938</v>
      </c>
      <c r="E54" s="45" t="s">
        <v>98</v>
      </c>
      <c r="F54" s="46">
        <v>40264292</v>
      </c>
      <c r="G54" s="46">
        <v>41218200</v>
      </c>
      <c r="H54" s="46">
        <v>28071400</v>
      </c>
      <c r="I54" s="46">
        <v>12192892</v>
      </c>
      <c r="J54" s="41">
        <v>500</v>
      </c>
    </row>
    <row r="55" spans="2:22" x14ac:dyDescent="0.3">
      <c r="B55" s="45" t="s">
        <v>98</v>
      </c>
      <c r="C55" s="46">
        <v>40264292</v>
      </c>
    </row>
    <row r="58" spans="2:22" x14ac:dyDescent="0.3">
      <c r="B58" s="74" t="s">
        <v>629</v>
      </c>
    </row>
    <row r="59" spans="2:22" x14ac:dyDescent="0.3">
      <c r="B59" s="42" t="s">
        <v>12</v>
      </c>
      <c r="C59" s="41" t="s">
        <v>31</v>
      </c>
      <c r="D59"/>
      <c r="E59"/>
      <c r="F59"/>
      <c r="G59"/>
      <c r="H59"/>
      <c r="I59"/>
      <c r="J59"/>
      <c r="K59"/>
      <c r="L59"/>
      <c r="M59"/>
      <c r="N59"/>
      <c r="O59"/>
      <c r="P59"/>
      <c r="Q59"/>
      <c r="R59"/>
      <c r="S59"/>
      <c r="T59"/>
      <c r="U59"/>
      <c r="V59"/>
    </row>
    <row r="60" spans="2:22" x14ac:dyDescent="0.3">
      <c r="D60"/>
      <c r="E60"/>
      <c r="F60"/>
      <c r="G60"/>
      <c r="H60"/>
      <c r="I60"/>
      <c r="J60"/>
      <c r="K60"/>
      <c r="L60"/>
      <c r="M60"/>
      <c r="N60"/>
      <c r="O60"/>
      <c r="P60"/>
      <c r="Q60"/>
      <c r="R60"/>
      <c r="S60"/>
      <c r="T60"/>
      <c r="U60"/>
      <c r="V60"/>
    </row>
    <row r="61" spans="2:22" x14ac:dyDescent="0.3">
      <c r="B61" s="42" t="s">
        <v>97</v>
      </c>
      <c r="C61" s="41" t="s">
        <v>608</v>
      </c>
      <c r="D61"/>
      <c r="E61"/>
      <c r="F61"/>
      <c r="G61"/>
      <c r="H61"/>
      <c r="I61"/>
      <c r="J61"/>
      <c r="K61"/>
      <c r="L61"/>
      <c r="M61"/>
      <c r="N61"/>
      <c r="O61"/>
      <c r="P61"/>
      <c r="Q61"/>
      <c r="R61"/>
      <c r="S61"/>
      <c r="T61"/>
      <c r="U61"/>
      <c r="V61"/>
    </row>
    <row r="62" spans="2:22" x14ac:dyDescent="0.3">
      <c r="B62" s="45" t="s">
        <v>46</v>
      </c>
      <c r="C62" s="46">
        <v>278477</v>
      </c>
      <c r="D62"/>
      <c r="E62"/>
      <c r="F62"/>
      <c r="G62"/>
      <c r="H62"/>
      <c r="I62"/>
      <c r="J62"/>
      <c r="K62"/>
      <c r="L62"/>
      <c r="M62"/>
      <c r="N62"/>
      <c r="O62"/>
      <c r="P62"/>
      <c r="Q62"/>
      <c r="R62"/>
      <c r="S62"/>
      <c r="T62"/>
      <c r="U62"/>
      <c r="V62"/>
    </row>
    <row r="63" spans="2:22" x14ac:dyDescent="0.3">
      <c r="B63" s="45" t="s">
        <v>39</v>
      </c>
      <c r="C63" s="46">
        <v>244385</v>
      </c>
      <c r="D63"/>
      <c r="E63"/>
      <c r="F63"/>
      <c r="G63"/>
      <c r="H63"/>
      <c r="I63"/>
      <c r="J63"/>
      <c r="K63"/>
      <c r="L63"/>
      <c r="M63"/>
      <c r="N63"/>
      <c r="O63"/>
      <c r="P63"/>
      <c r="Q63"/>
      <c r="R63"/>
      <c r="S63"/>
      <c r="T63"/>
      <c r="U63"/>
      <c r="V63"/>
    </row>
    <row r="64" spans="2:22" x14ac:dyDescent="0.3">
      <c r="B64" s="45" t="s">
        <v>47</v>
      </c>
      <c r="C64" s="46">
        <v>212073</v>
      </c>
      <c r="D64"/>
      <c r="E64"/>
      <c r="F64"/>
      <c r="G64"/>
      <c r="H64"/>
      <c r="I64"/>
      <c r="J64"/>
      <c r="K64"/>
      <c r="L64"/>
      <c r="M64"/>
      <c r="N64"/>
      <c r="O64"/>
      <c r="P64"/>
      <c r="Q64"/>
      <c r="R64"/>
      <c r="S64"/>
      <c r="T64"/>
      <c r="U64"/>
      <c r="V64"/>
    </row>
    <row r="65" spans="2:22" x14ac:dyDescent="0.3">
      <c r="B65" s="45" t="s">
        <v>26</v>
      </c>
      <c r="C65" s="46">
        <v>182862</v>
      </c>
      <c r="D65"/>
      <c r="E65"/>
      <c r="F65"/>
      <c r="G65"/>
      <c r="H65"/>
      <c r="I65"/>
      <c r="J65"/>
      <c r="K65"/>
      <c r="L65"/>
      <c r="M65"/>
      <c r="N65"/>
      <c r="O65"/>
      <c r="P65"/>
      <c r="Q65"/>
      <c r="R65"/>
      <c r="S65"/>
      <c r="T65"/>
      <c r="U65"/>
      <c r="V65"/>
    </row>
    <row r="66" spans="2:22" x14ac:dyDescent="0.3">
      <c r="B66" s="45" t="s">
        <v>50</v>
      </c>
      <c r="C66" s="46">
        <v>176733</v>
      </c>
      <c r="D66"/>
      <c r="E66"/>
      <c r="F66"/>
      <c r="G66"/>
      <c r="H66"/>
      <c r="I66"/>
      <c r="J66"/>
      <c r="K66"/>
      <c r="L66"/>
      <c r="M66"/>
      <c r="N66"/>
      <c r="O66"/>
      <c r="P66"/>
      <c r="Q66"/>
      <c r="R66"/>
      <c r="S66"/>
      <c r="T66"/>
      <c r="U66"/>
      <c r="V66"/>
    </row>
    <row r="67" spans="2:22" x14ac:dyDescent="0.3">
      <c r="B67" s="45" t="s">
        <v>20</v>
      </c>
      <c r="C67" s="46">
        <v>175301</v>
      </c>
      <c r="D67"/>
      <c r="E67"/>
      <c r="F67"/>
      <c r="G67"/>
      <c r="H67"/>
      <c r="I67"/>
      <c r="J67"/>
      <c r="K67"/>
      <c r="L67"/>
      <c r="M67"/>
      <c r="N67"/>
      <c r="O67"/>
      <c r="P67"/>
      <c r="Q67"/>
      <c r="R67"/>
      <c r="S67"/>
      <c r="T67"/>
      <c r="U67"/>
      <c r="V67"/>
    </row>
    <row r="68" spans="2:22" x14ac:dyDescent="0.3">
      <c r="B68" s="45" t="s">
        <v>51</v>
      </c>
      <c r="C68" s="46">
        <v>171407</v>
      </c>
      <c r="D68"/>
      <c r="E68"/>
      <c r="F68"/>
      <c r="G68"/>
      <c r="H68"/>
      <c r="I68"/>
      <c r="J68"/>
      <c r="K68"/>
      <c r="L68"/>
      <c r="M68"/>
      <c r="N68"/>
      <c r="O68"/>
      <c r="P68"/>
      <c r="Q68"/>
      <c r="R68"/>
      <c r="S68"/>
      <c r="T68"/>
      <c r="U68"/>
      <c r="V68"/>
    </row>
    <row r="69" spans="2:22" x14ac:dyDescent="0.3">
      <c r="B69" s="45" t="s">
        <v>29</v>
      </c>
      <c r="C69" s="46">
        <v>162339</v>
      </c>
      <c r="D69"/>
      <c r="E69"/>
      <c r="F69"/>
      <c r="G69"/>
      <c r="H69"/>
      <c r="I69"/>
      <c r="J69"/>
      <c r="K69"/>
      <c r="L69"/>
      <c r="M69"/>
      <c r="N69"/>
      <c r="O69"/>
      <c r="P69"/>
      <c r="Q69"/>
      <c r="R69"/>
      <c r="S69"/>
      <c r="T69"/>
      <c r="U69"/>
      <c r="V69"/>
    </row>
    <row r="70" spans="2:22" x14ac:dyDescent="0.3">
      <c r="B70" s="45" t="s">
        <v>49</v>
      </c>
      <c r="C70" s="46">
        <v>152656</v>
      </c>
      <c r="D70"/>
      <c r="E70"/>
      <c r="F70"/>
      <c r="G70"/>
      <c r="H70"/>
      <c r="I70"/>
      <c r="J70"/>
      <c r="K70"/>
      <c r="L70"/>
      <c r="M70"/>
      <c r="N70"/>
      <c r="O70"/>
      <c r="P70"/>
      <c r="Q70"/>
      <c r="R70"/>
      <c r="S70"/>
      <c r="T70"/>
      <c r="U70"/>
      <c r="V70"/>
    </row>
    <row r="71" spans="2:22" x14ac:dyDescent="0.3">
      <c r="B71" s="45" t="s">
        <v>43</v>
      </c>
      <c r="C71" s="46">
        <v>146718</v>
      </c>
      <c r="D71"/>
      <c r="E71"/>
      <c r="F71"/>
      <c r="G71"/>
      <c r="H71"/>
      <c r="I71"/>
      <c r="J71"/>
      <c r="K71"/>
      <c r="L71"/>
      <c r="M71"/>
      <c r="N71"/>
      <c r="O71"/>
      <c r="P71"/>
      <c r="Q71"/>
      <c r="R71"/>
      <c r="S71"/>
      <c r="T71"/>
      <c r="U71"/>
      <c r="V71"/>
    </row>
    <row r="72" spans="2:22" x14ac:dyDescent="0.3">
      <c r="B72" s="45" t="s">
        <v>45</v>
      </c>
      <c r="C72" s="46">
        <v>140923</v>
      </c>
      <c r="D72"/>
      <c r="E72"/>
      <c r="F72"/>
      <c r="G72"/>
      <c r="H72"/>
      <c r="I72"/>
      <c r="J72"/>
      <c r="K72"/>
      <c r="L72"/>
      <c r="M72"/>
      <c r="N72"/>
      <c r="O72"/>
      <c r="P72"/>
      <c r="Q72"/>
      <c r="R72"/>
      <c r="S72"/>
      <c r="T72"/>
      <c r="U72"/>
      <c r="V72"/>
    </row>
    <row r="73" spans="2:22" x14ac:dyDescent="0.3">
      <c r="B73" s="45" t="s">
        <v>42</v>
      </c>
      <c r="C73" s="46">
        <v>132288</v>
      </c>
      <c r="D73"/>
      <c r="E73"/>
      <c r="F73"/>
      <c r="G73"/>
      <c r="H73"/>
      <c r="I73"/>
      <c r="J73"/>
      <c r="K73"/>
      <c r="L73"/>
      <c r="M73"/>
      <c r="N73"/>
      <c r="O73"/>
      <c r="P73"/>
      <c r="Q73"/>
      <c r="R73"/>
      <c r="S73"/>
      <c r="T73"/>
      <c r="U73"/>
      <c r="V73"/>
    </row>
    <row r="74" spans="2:22" x14ac:dyDescent="0.3">
      <c r="B74" s="45" t="s">
        <v>33</v>
      </c>
      <c r="C74" s="46">
        <v>131612</v>
      </c>
      <c r="D74"/>
      <c r="E74"/>
      <c r="F74"/>
      <c r="G74"/>
      <c r="H74"/>
      <c r="I74"/>
      <c r="J74"/>
      <c r="K74"/>
      <c r="L74"/>
      <c r="M74"/>
      <c r="N74"/>
      <c r="O74"/>
      <c r="P74"/>
      <c r="Q74"/>
      <c r="R74"/>
      <c r="S74"/>
      <c r="T74"/>
      <c r="U74"/>
      <c r="V74"/>
    </row>
    <row r="75" spans="2:22" x14ac:dyDescent="0.3">
      <c r="B75" s="45" t="s">
        <v>38</v>
      </c>
      <c r="C75" s="46">
        <v>112189</v>
      </c>
      <c r="D75"/>
      <c r="E75"/>
      <c r="F75"/>
      <c r="G75"/>
      <c r="H75"/>
      <c r="I75"/>
      <c r="J75"/>
      <c r="K75"/>
      <c r="L75"/>
      <c r="M75"/>
      <c r="N75"/>
      <c r="O75"/>
      <c r="P75"/>
      <c r="Q75"/>
      <c r="R75"/>
      <c r="S75"/>
      <c r="T75"/>
      <c r="U75"/>
      <c r="V75"/>
    </row>
    <row r="76" spans="2:22" x14ac:dyDescent="0.3">
      <c r="B76" s="45" t="s">
        <v>14</v>
      </c>
      <c r="C76" s="46">
        <v>83667</v>
      </c>
      <c r="D76"/>
      <c r="E76"/>
      <c r="F76"/>
      <c r="G76"/>
      <c r="H76"/>
      <c r="I76"/>
      <c r="J76"/>
      <c r="K76"/>
      <c r="L76"/>
      <c r="M76"/>
      <c r="N76"/>
      <c r="O76"/>
      <c r="P76"/>
      <c r="Q76"/>
      <c r="R76"/>
      <c r="S76"/>
      <c r="T76"/>
      <c r="U76"/>
      <c r="V76"/>
    </row>
    <row r="77" spans="2:22" x14ac:dyDescent="0.3">
      <c r="B77" s="45" t="s">
        <v>98</v>
      </c>
      <c r="C77" s="46">
        <v>2503630</v>
      </c>
      <c r="D77"/>
      <c r="E77"/>
      <c r="F77"/>
      <c r="G77"/>
      <c r="H77"/>
      <c r="I77"/>
      <c r="J77"/>
      <c r="K77"/>
      <c r="L77"/>
      <c r="M77"/>
      <c r="N77"/>
      <c r="O77"/>
      <c r="P77"/>
      <c r="Q77"/>
      <c r="R77"/>
      <c r="S77"/>
      <c r="T77"/>
      <c r="U77"/>
      <c r="V77"/>
    </row>
    <row r="78" spans="2:22" x14ac:dyDescent="0.3">
      <c r="B78"/>
      <c r="C78"/>
      <c r="D78"/>
      <c r="E78"/>
      <c r="F78"/>
    </row>
    <row r="79" spans="2:22" x14ac:dyDescent="0.3">
      <c r="B79"/>
      <c r="C79"/>
      <c r="D79"/>
      <c r="E79"/>
      <c r="F79"/>
    </row>
    <row r="80" spans="2:22" x14ac:dyDescent="0.3">
      <c r="B80"/>
      <c r="C80"/>
      <c r="D80"/>
      <c r="E80"/>
      <c r="F80"/>
    </row>
    <row r="81" spans="2:6" x14ac:dyDescent="0.3">
      <c r="B81"/>
      <c r="C81"/>
      <c r="D81"/>
      <c r="E81"/>
      <c r="F81"/>
    </row>
    <row r="82" spans="2:6" x14ac:dyDescent="0.3">
      <c r="B82"/>
      <c r="C82"/>
      <c r="D82"/>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spans="2:6" x14ac:dyDescent="0.3">
      <c r="B97"/>
      <c r="C97"/>
      <c r="D97"/>
      <c r="E97"/>
      <c r="F97"/>
    </row>
    <row r="98" spans="2:6" x14ac:dyDescent="0.3">
      <c r="B98"/>
      <c r="C98"/>
      <c r="D98"/>
      <c r="E98"/>
      <c r="F98"/>
    </row>
    <row r="99" spans="2:6" x14ac:dyDescent="0.3">
      <c r="B99"/>
      <c r="C99"/>
      <c r="D99"/>
      <c r="E99"/>
      <c r="F99"/>
    </row>
    <row r="100" spans="2:6" x14ac:dyDescent="0.3">
      <c r="B100"/>
      <c r="C100"/>
      <c r="D100"/>
      <c r="E100"/>
      <c r="F100"/>
    </row>
    <row r="101" spans="2:6" x14ac:dyDescent="0.3">
      <c r="B101"/>
      <c r="C101"/>
      <c r="D101"/>
      <c r="E101"/>
      <c r="F101"/>
    </row>
    <row r="102" spans="2:6" x14ac:dyDescent="0.3">
      <c r="B102"/>
      <c r="C102"/>
      <c r="D102"/>
      <c r="E102"/>
      <c r="F102"/>
    </row>
    <row r="103" spans="2:6" x14ac:dyDescent="0.3">
      <c r="B103"/>
      <c r="C103"/>
      <c r="D103"/>
      <c r="E103"/>
      <c r="F103"/>
    </row>
    <row r="104" spans="2:6" x14ac:dyDescent="0.3">
      <c r="B104"/>
      <c r="C104"/>
      <c r="D104"/>
      <c r="E104"/>
      <c r="F104"/>
    </row>
    <row r="105" spans="2:6" x14ac:dyDescent="0.3">
      <c r="B105"/>
      <c r="C105"/>
      <c r="D105"/>
      <c r="E105"/>
      <c r="F105"/>
    </row>
    <row r="106" spans="2:6" x14ac:dyDescent="0.3">
      <c r="B106"/>
      <c r="C106"/>
      <c r="D106"/>
      <c r="E106"/>
      <c r="F106"/>
    </row>
    <row r="107" spans="2:6" x14ac:dyDescent="0.3">
      <c r="B107"/>
      <c r="C107"/>
      <c r="D107"/>
      <c r="E107"/>
      <c r="F107"/>
    </row>
    <row r="108" spans="2:6" x14ac:dyDescent="0.3">
      <c r="B108"/>
      <c r="C108"/>
      <c r="D108"/>
      <c r="E108"/>
      <c r="F108"/>
    </row>
    <row r="109" spans="2:6" x14ac:dyDescent="0.3">
      <c r="B109"/>
      <c r="C109"/>
      <c r="D109"/>
      <c r="E109"/>
      <c r="F109"/>
    </row>
    <row r="110" spans="2:6" x14ac:dyDescent="0.3">
      <c r="B110"/>
      <c r="C110"/>
      <c r="D110"/>
      <c r="E110"/>
      <c r="F110"/>
    </row>
    <row r="111" spans="2:6" x14ac:dyDescent="0.3">
      <c r="B111"/>
      <c r="C111"/>
      <c r="D111"/>
      <c r="E111"/>
      <c r="F111"/>
    </row>
    <row r="112" spans="2:6" x14ac:dyDescent="0.3">
      <c r="B112"/>
      <c r="C112"/>
      <c r="D112"/>
      <c r="E112"/>
      <c r="F112"/>
    </row>
    <row r="113" spans="2:6" x14ac:dyDescent="0.3">
      <c r="B113"/>
      <c r="C113"/>
      <c r="D113"/>
      <c r="E113"/>
      <c r="F113"/>
    </row>
    <row r="114" spans="2:6" x14ac:dyDescent="0.3">
      <c r="B114"/>
      <c r="C114"/>
      <c r="D114"/>
      <c r="E114"/>
      <c r="F114"/>
    </row>
    <row r="115" spans="2:6" x14ac:dyDescent="0.3">
      <c r="B115"/>
      <c r="C115"/>
      <c r="D115"/>
      <c r="E115"/>
      <c r="F115"/>
    </row>
    <row r="116" spans="2:6" x14ac:dyDescent="0.3">
      <c r="B116"/>
      <c r="C116"/>
      <c r="D116"/>
      <c r="E116"/>
      <c r="F116"/>
    </row>
    <row r="117" spans="2:6" x14ac:dyDescent="0.3">
      <c r="B117"/>
      <c r="C117"/>
      <c r="D117"/>
      <c r="E117"/>
      <c r="F117"/>
    </row>
    <row r="118" spans="2:6" x14ac:dyDescent="0.3">
      <c r="B118"/>
      <c r="C118"/>
      <c r="D118"/>
      <c r="E118"/>
      <c r="F118"/>
    </row>
    <row r="119" spans="2:6" x14ac:dyDescent="0.3">
      <c r="B119"/>
      <c r="C119"/>
      <c r="D119"/>
      <c r="E119"/>
      <c r="F119"/>
    </row>
    <row r="120" spans="2:6" x14ac:dyDescent="0.3">
      <c r="B120"/>
      <c r="C120"/>
      <c r="D120"/>
      <c r="E120"/>
      <c r="F120"/>
    </row>
    <row r="121" spans="2:6" x14ac:dyDescent="0.3">
      <c r="B121"/>
      <c r="C121"/>
      <c r="D121"/>
      <c r="E121"/>
      <c r="F121"/>
    </row>
    <row r="122" spans="2:6" x14ac:dyDescent="0.3">
      <c r="B122"/>
      <c r="C122"/>
      <c r="D122"/>
      <c r="E122"/>
      <c r="F122"/>
    </row>
    <row r="123" spans="2:6" x14ac:dyDescent="0.3">
      <c r="B123"/>
      <c r="C123"/>
      <c r="D123"/>
      <c r="E123"/>
      <c r="F123"/>
    </row>
    <row r="124" spans="2:6" x14ac:dyDescent="0.3">
      <c r="B124"/>
      <c r="C124"/>
      <c r="D124"/>
      <c r="E124"/>
      <c r="F124"/>
    </row>
    <row r="125" spans="2:6" x14ac:dyDescent="0.3">
      <c r="B125"/>
      <c r="C125"/>
      <c r="D125"/>
      <c r="E125"/>
      <c r="F125"/>
    </row>
    <row r="126" spans="2:6" x14ac:dyDescent="0.3">
      <c r="B126"/>
      <c r="C126"/>
      <c r="D126"/>
      <c r="E126"/>
      <c r="F126"/>
    </row>
    <row r="127" spans="2:6" x14ac:dyDescent="0.3">
      <c r="B127"/>
      <c r="C127"/>
      <c r="D127"/>
      <c r="E127"/>
      <c r="F127"/>
    </row>
    <row r="128" spans="2:6" x14ac:dyDescent="0.3">
      <c r="B128"/>
      <c r="C128"/>
      <c r="D128"/>
      <c r="E128"/>
      <c r="F128"/>
    </row>
    <row r="129" spans="2:6" x14ac:dyDescent="0.3">
      <c r="B129"/>
      <c r="C129"/>
      <c r="D129"/>
      <c r="E129"/>
      <c r="F129"/>
    </row>
    <row r="130" spans="2:6" x14ac:dyDescent="0.3">
      <c r="B130"/>
      <c r="C130"/>
      <c r="D130"/>
      <c r="E130"/>
      <c r="F130"/>
    </row>
    <row r="131" spans="2:6" x14ac:dyDescent="0.3">
      <c r="B131"/>
      <c r="C131"/>
      <c r="D131"/>
      <c r="E131"/>
      <c r="F131"/>
    </row>
    <row r="132" spans="2:6" x14ac:dyDescent="0.3">
      <c r="B132"/>
      <c r="C132"/>
      <c r="D132"/>
      <c r="E132"/>
      <c r="F132"/>
    </row>
    <row r="133" spans="2:6" x14ac:dyDescent="0.3">
      <c r="B133"/>
      <c r="C133"/>
      <c r="D133"/>
      <c r="E133"/>
      <c r="F133"/>
    </row>
    <row r="134" spans="2:6" x14ac:dyDescent="0.3">
      <c r="B134"/>
      <c r="C134"/>
      <c r="D134"/>
      <c r="E134"/>
      <c r="F134"/>
    </row>
    <row r="135" spans="2:6" x14ac:dyDescent="0.3">
      <c r="B135"/>
      <c r="C135"/>
      <c r="D135"/>
      <c r="E135"/>
      <c r="F135"/>
    </row>
  </sheetData>
  <autoFilter ref="G2:I6" xr:uid="{8C8EB508-8740-4499-9F58-E953C2AABDF5}"/>
  <pageMargins left="0.98425196850393704" right="4.5275590551181102" top="0.98425196850393704" bottom="0.98425196850393704" header="0.51181102362204722" footer="0.51181102362204722"/>
  <pageSetup paperSize="8" scale="87" fitToWidth="0" orientation="landscape"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800A-525A-453E-B6A2-8946C1491BD4}">
  <sheetPr>
    <tabColor rgb="FFFFC000"/>
  </sheetPr>
  <dimension ref="B1:J95"/>
  <sheetViews>
    <sheetView zoomScale="97" workbookViewId="0">
      <selection activeCell="D31" sqref="D31"/>
    </sheetView>
  </sheetViews>
  <sheetFormatPr defaultRowHeight="14.4" x14ac:dyDescent="0.3"/>
  <cols>
    <col min="1" max="1" width="8.88671875" style="41"/>
    <col min="2" max="3" width="14.109375" style="41" bestFit="1" customWidth="1"/>
    <col min="4" max="4" width="15.77734375" style="41" bestFit="1" customWidth="1"/>
    <col min="5" max="5" width="18.5546875" style="41" bestFit="1" customWidth="1"/>
    <col min="6" max="6" width="18.33203125" style="41" bestFit="1" customWidth="1"/>
    <col min="7" max="7" width="10.77734375" style="41" customWidth="1"/>
    <col min="8" max="8" width="19.109375" style="41" bestFit="1" customWidth="1"/>
    <col min="9" max="9" width="20.109375" style="41" bestFit="1" customWidth="1"/>
    <col min="10" max="16384" width="8.88671875" style="41"/>
  </cols>
  <sheetData>
    <row r="1" spans="2:10" x14ac:dyDescent="0.3">
      <c r="B1" s="79" t="s">
        <v>638</v>
      </c>
      <c r="C1" s="79" t="s">
        <v>639</v>
      </c>
      <c r="D1" s="79" t="s">
        <v>640</v>
      </c>
      <c r="E1" s="79" t="s">
        <v>641</v>
      </c>
    </row>
    <row r="2" spans="2:10" x14ac:dyDescent="0.3">
      <c r="B2" s="41" t="s">
        <v>99</v>
      </c>
      <c r="C2" s="41" t="s">
        <v>610</v>
      </c>
      <c r="D2" s="41" t="s">
        <v>609</v>
      </c>
      <c r="E2" s="41" t="s">
        <v>608</v>
      </c>
      <c r="F2" s="41" t="s">
        <v>612</v>
      </c>
      <c r="H2" s="79" t="s">
        <v>613</v>
      </c>
    </row>
    <row r="3" spans="2:10" x14ac:dyDescent="0.3">
      <c r="B3" s="80">
        <v>40264292</v>
      </c>
      <c r="C3" s="80">
        <v>41218200</v>
      </c>
      <c r="D3" s="80">
        <v>28071400</v>
      </c>
      <c r="E3" s="80">
        <v>12192892</v>
      </c>
      <c r="F3" s="75">
        <f>IFERROR(D3/B3*100, 0)</f>
        <v>69.71785322836422</v>
      </c>
      <c r="H3" s="42" t="s">
        <v>97</v>
      </c>
      <c r="I3" s="41" t="s">
        <v>608</v>
      </c>
    </row>
    <row r="4" spans="2:10" x14ac:dyDescent="0.3">
      <c r="H4" s="45" t="s">
        <v>108</v>
      </c>
      <c r="I4" s="46">
        <v>1670563</v>
      </c>
      <c r="J4" s="75">
        <f>IFERROR(I4/I9*100,0)</f>
        <v>13.701121932352061</v>
      </c>
    </row>
    <row r="5" spans="2:10" x14ac:dyDescent="0.3">
      <c r="H5" s="45" t="s">
        <v>105</v>
      </c>
      <c r="I5" s="46">
        <v>2490233</v>
      </c>
    </row>
    <row r="6" spans="2:10" x14ac:dyDescent="0.3">
      <c r="H6" s="45" t="s">
        <v>103</v>
      </c>
      <c r="I6" s="46">
        <v>4349319</v>
      </c>
    </row>
    <row r="7" spans="2:10" x14ac:dyDescent="0.3">
      <c r="H7" s="45" t="s">
        <v>624</v>
      </c>
      <c r="I7" s="46">
        <v>833067</v>
      </c>
    </row>
    <row r="8" spans="2:10" x14ac:dyDescent="0.3">
      <c r="B8" s="79" t="s">
        <v>613</v>
      </c>
      <c r="H8" s="45" t="s">
        <v>114</v>
      </c>
      <c r="I8" s="46">
        <v>2849710</v>
      </c>
    </row>
    <row r="9" spans="2:10" x14ac:dyDescent="0.3">
      <c r="B9" s="42" t="s">
        <v>97</v>
      </c>
      <c r="C9" s="41" t="s">
        <v>99</v>
      </c>
      <c r="D9"/>
      <c r="H9" s="45" t="s">
        <v>98</v>
      </c>
      <c r="I9" s="46">
        <v>12192892</v>
      </c>
    </row>
    <row r="10" spans="2:10" x14ac:dyDescent="0.3">
      <c r="B10" s="45" t="s">
        <v>32</v>
      </c>
      <c r="C10" s="46">
        <v>7181213</v>
      </c>
      <c r="D10"/>
    </row>
    <row r="11" spans="2:10" x14ac:dyDescent="0.3">
      <c r="B11" s="45" t="s">
        <v>25</v>
      </c>
      <c r="C11" s="46">
        <v>12416454</v>
      </c>
      <c r="D11"/>
      <c r="E11" s="79" t="s">
        <v>642</v>
      </c>
    </row>
    <row r="12" spans="2:10" x14ac:dyDescent="0.3">
      <c r="B12" s="45" t="s">
        <v>13</v>
      </c>
      <c r="C12" s="46">
        <v>8123617</v>
      </c>
      <c r="D12"/>
      <c r="E12" s="42" t="s">
        <v>643</v>
      </c>
      <c r="F12" s="41" t="s">
        <v>644</v>
      </c>
      <c r="G12"/>
    </row>
    <row r="13" spans="2:10" x14ac:dyDescent="0.3">
      <c r="B13" s="45" t="s">
        <v>19</v>
      </c>
      <c r="C13" s="46">
        <v>12543008</v>
      </c>
      <c r="D13"/>
      <c r="E13" s="45" t="s">
        <v>47</v>
      </c>
      <c r="F13" s="46">
        <v>1111499</v>
      </c>
      <c r="G13"/>
    </row>
    <row r="14" spans="2:10" x14ac:dyDescent="0.3">
      <c r="B14" s="45" t="s">
        <v>98</v>
      </c>
      <c r="C14" s="46">
        <v>40264292</v>
      </c>
      <c r="D14"/>
      <c r="E14" s="45" t="s">
        <v>26</v>
      </c>
      <c r="F14" s="46">
        <v>967685</v>
      </c>
      <c r="G14"/>
      <c r="H14" s="79" t="s">
        <v>645</v>
      </c>
    </row>
    <row r="15" spans="2:10" x14ac:dyDescent="0.3">
      <c r="B15"/>
      <c r="C15"/>
      <c r="D15"/>
      <c r="E15" s="45" t="s">
        <v>33</v>
      </c>
      <c r="F15" s="46">
        <v>936689</v>
      </c>
      <c r="G15"/>
      <c r="H15" s="42" t="s">
        <v>97</v>
      </c>
      <c r="I15" s="41" t="s">
        <v>99</v>
      </c>
    </row>
    <row r="16" spans="2:10" x14ac:dyDescent="0.3">
      <c r="B16"/>
      <c r="C16"/>
      <c r="D16"/>
      <c r="E16" s="45" t="s">
        <v>39</v>
      </c>
      <c r="F16" s="46">
        <v>934365</v>
      </c>
      <c r="G16"/>
      <c r="H16" s="45" t="s">
        <v>27</v>
      </c>
      <c r="I16" s="46">
        <v>7626548</v>
      </c>
    </row>
    <row r="17" spans="2:9" x14ac:dyDescent="0.3">
      <c r="B17" s="79" t="s">
        <v>642</v>
      </c>
      <c r="D17"/>
      <c r="E17" s="45" t="s">
        <v>43</v>
      </c>
      <c r="F17" s="46">
        <v>920139</v>
      </c>
      <c r="G17"/>
      <c r="H17" s="45" t="s">
        <v>44</v>
      </c>
      <c r="I17" s="46">
        <v>6398232</v>
      </c>
    </row>
    <row r="18" spans="2:9" x14ac:dyDescent="0.3">
      <c r="B18" s="42" t="s">
        <v>97</v>
      </c>
      <c r="C18" s="41" t="s">
        <v>99</v>
      </c>
      <c r="D18"/>
      <c r="E18" s="45" t="s">
        <v>98</v>
      </c>
      <c r="F18" s="46">
        <v>4870377</v>
      </c>
      <c r="G18"/>
      <c r="H18" s="45" t="s">
        <v>37</v>
      </c>
      <c r="I18" s="46">
        <v>6090031</v>
      </c>
    </row>
    <row r="19" spans="2:9" x14ac:dyDescent="0.3">
      <c r="B19" s="45" t="s">
        <v>41</v>
      </c>
      <c r="C19" s="46">
        <v>12121601</v>
      </c>
      <c r="D19"/>
      <c r="E19"/>
      <c r="F19"/>
      <c r="G19"/>
      <c r="H19" s="45" t="s">
        <v>34</v>
      </c>
      <c r="I19" s="46">
        <v>6693007</v>
      </c>
    </row>
    <row r="20" spans="2:9" x14ac:dyDescent="0.3">
      <c r="B20" s="45" t="s">
        <v>18</v>
      </c>
      <c r="C20" s="46">
        <v>10719428</v>
      </c>
      <c r="D20"/>
      <c r="E20"/>
      <c r="F20"/>
      <c r="G20"/>
      <c r="H20" s="45" t="s">
        <v>15</v>
      </c>
      <c r="I20" s="46">
        <v>6863761</v>
      </c>
    </row>
    <row r="21" spans="2:9" x14ac:dyDescent="0.3">
      <c r="B21" s="45" t="s">
        <v>24</v>
      </c>
      <c r="C21" s="46">
        <v>8904133</v>
      </c>
      <c r="D21"/>
      <c r="E21"/>
      <c r="F21"/>
      <c r="G21"/>
      <c r="H21" s="45" t="s">
        <v>21</v>
      </c>
      <c r="I21" s="46">
        <v>6592713</v>
      </c>
    </row>
    <row r="22" spans="2:9" x14ac:dyDescent="0.3">
      <c r="B22" s="45" t="s">
        <v>31</v>
      </c>
      <c r="C22" s="46">
        <v>8519130</v>
      </c>
      <c r="D22"/>
      <c r="E22"/>
      <c r="F22"/>
      <c r="G22"/>
      <c r="H22" s="45" t="s">
        <v>98</v>
      </c>
      <c r="I22" s="46">
        <v>40264292</v>
      </c>
    </row>
    <row r="23" spans="2:9" x14ac:dyDescent="0.3">
      <c r="B23" s="45" t="s">
        <v>98</v>
      </c>
      <c r="C23" s="46">
        <v>40264292</v>
      </c>
      <c r="D23"/>
      <c r="E23"/>
      <c r="F23"/>
      <c r="G23"/>
    </row>
    <row r="24" spans="2:9" x14ac:dyDescent="0.3">
      <c r="B24"/>
      <c r="C24"/>
      <c r="D24"/>
      <c r="E24"/>
      <c r="F24"/>
      <c r="G24"/>
    </row>
    <row r="25" spans="2:9" x14ac:dyDescent="0.3">
      <c r="B25"/>
      <c r="C25"/>
      <c r="D25"/>
      <c r="E25"/>
      <c r="F25"/>
      <c r="G25"/>
    </row>
    <row r="26" spans="2:9" x14ac:dyDescent="0.3">
      <c r="B26"/>
      <c r="C26"/>
      <c r="D26"/>
      <c r="E26"/>
      <c r="F26"/>
      <c r="G26"/>
    </row>
    <row r="27" spans="2:9" x14ac:dyDescent="0.3">
      <c r="E27"/>
      <c r="F27"/>
      <c r="G27"/>
    </row>
    <row r="28" spans="2:9" x14ac:dyDescent="0.3">
      <c r="E28"/>
      <c r="F28"/>
      <c r="G28"/>
    </row>
    <row r="29" spans="2:9" x14ac:dyDescent="0.3">
      <c r="C29" s="79" t="s">
        <v>646</v>
      </c>
      <c r="E29"/>
      <c r="F29"/>
      <c r="G29"/>
    </row>
    <row r="30" spans="2:9" x14ac:dyDescent="0.3">
      <c r="C30" s="42" t="s">
        <v>97</v>
      </c>
      <c r="D30" s="41" t="s">
        <v>99</v>
      </c>
    </row>
    <row r="31" spans="2:9" x14ac:dyDescent="0.3">
      <c r="C31" s="45" t="s">
        <v>647</v>
      </c>
      <c r="D31" s="46">
        <v>18500162</v>
      </c>
    </row>
    <row r="32" spans="2:9" x14ac:dyDescent="0.3">
      <c r="C32" s="45" t="s">
        <v>648</v>
      </c>
      <c r="D32" s="46">
        <v>21764130</v>
      </c>
    </row>
    <row r="33" spans="3:4" x14ac:dyDescent="0.3">
      <c r="C33" s="45" t="s">
        <v>98</v>
      </c>
      <c r="D33" s="46">
        <v>40264292</v>
      </c>
    </row>
    <row r="34" spans="3:4" x14ac:dyDescent="0.3">
      <c r="C34"/>
      <c r="D34"/>
    </row>
    <row r="35" spans="3:4" x14ac:dyDescent="0.3">
      <c r="C35"/>
      <c r="D35"/>
    </row>
    <row r="36" spans="3:4" x14ac:dyDescent="0.3">
      <c r="C36"/>
      <c r="D36"/>
    </row>
    <row r="37" spans="3:4" x14ac:dyDescent="0.3">
      <c r="C37"/>
      <c r="D37"/>
    </row>
    <row r="38" spans="3:4" x14ac:dyDescent="0.3">
      <c r="C38"/>
      <c r="D38"/>
    </row>
    <row r="39" spans="3:4" x14ac:dyDescent="0.3">
      <c r="C39"/>
      <c r="D39"/>
    </row>
    <row r="40" spans="3:4" x14ac:dyDescent="0.3">
      <c r="C40"/>
      <c r="D40"/>
    </row>
    <row r="41" spans="3:4" x14ac:dyDescent="0.3">
      <c r="C41"/>
      <c r="D41"/>
    </row>
    <row r="42" spans="3:4" x14ac:dyDescent="0.3">
      <c r="C42"/>
      <c r="D42"/>
    </row>
    <row r="43" spans="3:4" x14ac:dyDescent="0.3">
      <c r="C43"/>
      <c r="D43"/>
    </row>
    <row r="44" spans="3:4" x14ac:dyDescent="0.3">
      <c r="C44"/>
      <c r="D44"/>
    </row>
    <row r="45" spans="3:4" x14ac:dyDescent="0.3">
      <c r="C45"/>
      <c r="D45"/>
    </row>
    <row r="46" spans="3:4" x14ac:dyDescent="0.3">
      <c r="C46"/>
      <c r="D46"/>
    </row>
    <row r="47" spans="3:4" x14ac:dyDescent="0.3">
      <c r="C47"/>
      <c r="D47"/>
    </row>
    <row r="48" spans="3:4" x14ac:dyDescent="0.3">
      <c r="C48"/>
      <c r="D48"/>
    </row>
    <row r="49" spans="3:4" x14ac:dyDescent="0.3">
      <c r="C49"/>
      <c r="D49"/>
    </row>
    <row r="50" spans="3:4" x14ac:dyDescent="0.3">
      <c r="C50"/>
      <c r="D50"/>
    </row>
    <row r="51" spans="3:4" x14ac:dyDescent="0.3">
      <c r="C51"/>
      <c r="D51"/>
    </row>
    <row r="52" spans="3:4" x14ac:dyDescent="0.3">
      <c r="C52"/>
      <c r="D52"/>
    </row>
    <row r="53" spans="3:4" x14ac:dyDescent="0.3">
      <c r="C53"/>
      <c r="D53"/>
    </row>
    <row r="54" spans="3:4" x14ac:dyDescent="0.3">
      <c r="C54"/>
      <c r="D54"/>
    </row>
    <row r="55" spans="3:4" x14ac:dyDescent="0.3">
      <c r="C55"/>
      <c r="D55"/>
    </row>
    <row r="56" spans="3:4" x14ac:dyDescent="0.3">
      <c r="C56"/>
      <c r="D56"/>
    </row>
    <row r="57" spans="3:4" x14ac:dyDescent="0.3">
      <c r="C57"/>
      <c r="D57"/>
    </row>
    <row r="58" spans="3:4" x14ac:dyDescent="0.3">
      <c r="C58"/>
      <c r="D58"/>
    </row>
    <row r="59" spans="3:4" x14ac:dyDescent="0.3">
      <c r="C59"/>
      <c r="D59"/>
    </row>
    <row r="60" spans="3:4" x14ac:dyDescent="0.3">
      <c r="C60"/>
      <c r="D60"/>
    </row>
    <row r="61" spans="3:4" x14ac:dyDescent="0.3">
      <c r="C61"/>
      <c r="D61"/>
    </row>
    <row r="62" spans="3:4" x14ac:dyDescent="0.3">
      <c r="C62"/>
      <c r="D62"/>
    </row>
    <row r="63" spans="3:4" x14ac:dyDescent="0.3">
      <c r="C63"/>
      <c r="D63"/>
    </row>
    <row r="64" spans="3:4" x14ac:dyDescent="0.3">
      <c r="C64"/>
      <c r="D64"/>
    </row>
    <row r="65" spans="3:4" x14ac:dyDescent="0.3">
      <c r="C65"/>
      <c r="D65"/>
    </row>
    <row r="66" spans="3:4" x14ac:dyDescent="0.3">
      <c r="C66"/>
      <c r="D66"/>
    </row>
    <row r="67" spans="3:4" x14ac:dyDescent="0.3">
      <c r="C67"/>
      <c r="D67"/>
    </row>
    <row r="68" spans="3:4" x14ac:dyDescent="0.3">
      <c r="C68"/>
      <c r="D68"/>
    </row>
    <row r="69" spans="3:4" x14ac:dyDescent="0.3">
      <c r="C69"/>
      <c r="D69"/>
    </row>
    <row r="70" spans="3:4" x14ac:dyDescent="0.3">
      <c r="C70"/>
      <c r="D70"/>
    </row>
    <row r="71" spans="3:4" x14ac:dyDescent="0.3">
      <c r="C71"/>
      <c r="D71"/>
    </row>
    <row r="72" spans="3:4" x14ac:dyDescent="0.3">
      <c r="C72"/>
      <c r="D72"/>
    </row>
    <row r="73" spans="3:4" x14ac:dyDescent="0.3">
      <c r="C73"/>
      <c r="D73"/>
    </row>
    <row r="74" spans="3:4" x14ac:dyDescent="0.3">
      <c r="C74"/>
      <c r="D74"/>
    </row>
    <row r="75" spans="3:4" x14ac:dyDescent="0.3">
      <c r="C75"/>
      <c r="D75"/>
    </row>
    <row r="76" spans="3:4" x14ac:dyDescent="0.3">
      <c r="C76"/>
      <c r="D76"/>
    </row>
    <row r="77" spans="3:4" x14ac:dyDescent="0.3">
      <c r="C77"/>
      <c r="D77"/>
    </row>
    <row r="78" spans="3:4" x14ac:dyDescent="0.3">
      <c r="C78"/>
      <c r="D78"/>
    </row>
    <row r="79" spans="3:4" x14ac:dyDescent="0.3">
      <c r="C79"/>
      <c r="D79"/>
    </row>
    <row r="80" spans="3:4" x14ac:dyDescent="0.3">
      <c r="C80"/>
      <c r="D80"/>
    </row>
    <row r="81" spans="3:4" x14ac:dyDescent="0.3">
      <c r="C81"/>
      <c r="D81"/>
    </row>
    <row r="82" spans="3:4" x14ac:dyDescent="0.3">
      <c r="C82"/>
      <c r="D82"/>
    </row>
    <row r="83" spans="3:4" x14ac:dyDescent="0.3">
      <c r="C83"/>
      <c r="D83"/>
    </row>
    <row r="84" spans="3:4" x14ac:dyDescent="0.3">
      <c r="C84"/>
      <c r="D84"/>
    </row>
    <row r="85" spans="3:4" x14ac:dyDescent="0.3">
      <c r="C85"/>
      <c r="D85"/>
    </row>
    <row r="86" spans="3:4" x14ac:dyDescent="0.3">
      <c r="C86"/>
      <c r="D86"/>
    </row>
    <row r="87" spans="3:4" x14ac:dyDescent="0.3">
      <c r="C87"/>
      <c r="D87"/>
    </row>
    <row r="88" spans="3:4" x14ac:dyDescent="0.3">
      <c r="C88"/>
      <c r="D88"/>
    </row>
    <row r="89" spans="3:4" x14ac:dyDescent="0.3">
      <c r="C89"/>
      <c r="D89"/>
    </row>
    <row r="90" spans="3:4" x14ac:dyDescent="0.3">
      <c r="C90"/>
      <c r="D90"/>
    </row>
    <row r="91" spans="3:4" x14ac:dyDescent="0.3">
      <c r="C91"/>
      <c r="D91"/>
    </row>
    <row r="92" spans="3:4" x14ac:dyDescent="0.3">
      <c r="C92"/>
      <c r="D92"/>
    </row>
    <row r="93" spans="3:4" x14ac:dyDescent="0.3">
      <c r="C93"/>
      <c r="D93"/>
    </row>
    <row r="94" spans="3:4" x14ac:dyDescent="0.3">
      <c r="C94"/>
      <c r="D94"/>
    </row>
    <row r="95" spans="3:4" x14ac:dyDescent="0.3">
      <c r="C95"/>
      <c r="D95"/>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F77"/>
  <sheetViews>
    <sheetView tabSelected="1" zoomScale="86" zoomScaleNormal="115" workbookViewId="0">
      <pane ySplit="1" topLeftCell="A2" activePane="bottomLeft" state="frozen"/>
      <selection pane="bottomLeft" activeCell="B10" sqref="B10"/>
    </sheetView>
  </sheetViews>
  <sheetFormatPr defaultColWidth="10.33203125" defaultRowHeight="14.4" x14ac:dyDescent="0.3"/>
  <cols>
    <col min="1" max="1" width="111.77734375" style="1" customWidth="1"/>
    <col min="2" max="2" width="94.77734375" style="1" bestFit="1" customWidth="1"/>
    <col min="3" max="3" width="16.77734375" style="1" bestFit="1" customWidth="1"/>
    <col min="4" max="4" width="16.5546875" style="1" bestFit="1" customWidth="1"/>
    <col min="5" max="5" width="15.44140625" style="1" customWidth="1"/>
    <col min="6" max="16384" width="10.33203125" style="1"/>
  </cols>
  <sheetData>
    <row r="1" spans="1:2" ht="21.6" thickBot="1" x14ac:dyDescent="0.35">
      <c r="A1" s="81" t="s">
        <v>53</v>
      </c>
      <c r="B1" s="82"/>
    </row>
    <row r="2" spans="1:2" ht="15" thickBot="1" x14ac:dyDescent="0.35">
      <c r="A2" s="2" t="s">
        <v>54</v>
      </c>
      <c r="B2" s="3"/>
    </row>
    <row r="3" spans="1:2" x14ac:dyDescent="0.3">
      <c r="A3" s="4" t="s">
        <v>55</v>
      </c>
      <c r="B3" s="5" t="s">
        <v>96</v>
      </c>
    </row>
    <row r="4" spans="1:2" x14ac:dyDescent="0.3">
      <c r="A4" s="6" t="s">
        <v>56</v>
      </c>
      <c r="B4" s="7" t="s">
        <v>96</v>
      </c>
    </row>
    <row r="5" spans="1:2" ht="15" thickBot="1" x14ac:dyDescent="0.35">
      <c r="A5" s="8" t="s">
        <v>57</v>
      </c>
      <c r="B5" s="9" t="s">
        <v>96</v>
      </c>
    </row>
    <row r="6" spans="1:2" ht="15" thickBot="1" x14ac:dyDescent="0.35"/>
    <row r="7" spans="1:2" ht="15" thickBot="1" x14ac:dyDescent="0.35">
      <c r="A7" s="10" t="s">
        <v>58</v>
      </c>
      <c r="B7" s="11"/>
    </row>
    <row r="8" spans="1:2" x14ac:dyDescent="0.3">
      <c r="A8" s="4" t="s">
        <v>59</v>
      </c>
      <c r="B8" s="12">
        <f>SUM(Table1[Sales])</f>
        <v>40264292</v>
      </c>
    </row>
    <row r="9" spans="1:2" x14ac:dyDescent="0.3">
      <c r="A9" s="6" t="s">
        <v>60</v>
      </c>
      <c r="B9" s="12">
        <f>SUM(Table1[Target_Sales])</f>
        <v>41218200</v>
      </c>
    </row>
    <row r="10" spans="1:2" x14ac:dyDescent="0.3">
      <c r="A10" s="6" t="s">
        <v>61</v>
      </c>
      <c r="B10" s="12">
        <f>SUM(Table1[Collection])</f>
        <v>28071400</v>
      </c>
    </row>
    <row r="11" spans="1:2" x14ac:dyDescent="0.3">
      <c r="A11" s="6" t="s">
        <v>62</v>
      </c>
      <c r="B11" s="12">
        <f>SUM(Table1[Outstanding])</f>
        <v>12192892</v>
      </c>
    </row>
    <row r="12" spans="1:2" x14ac:dyDescent="0.3">
      <c r="A12" s="6" t="s">
        <v>63</v>
      </c>
      <c r="B12" s="13">
        <f>B8/B9*100</f>
        <v>97.685711651649029</v>
      </c>
    </row>
    <row r="13" spans="1:2" x14ac:dyDescent="0.3">
      <c r="A13" s="6" t="s">
        <v>64</v>
      </c>
      <c r="B13" s="13">
        <f>B10/B8*100</f>
        <v>69.71785322836422</v>
      </c>
    </row>
    <row r="14" spans="1:2" ht="15" thickBot="1" x14ac:dyDescent="0.35">
      <c r="A14" s="8" t="s">
        <v>65</v>
      </c>
      <c r="B14" s="14">
        <f>B11/B8*100</f>
        <v>30.28214677163577</v>
      </c>
    </row>
    <row r="15" spans="1:2" ht="15" thickBot="1" x14ac:dyDescent="0.35"/>
    <row r="16" spans="1:2" ht="15" thickBot="1" x14ac:dyDescent="0.35">
      <c r="A16" s="15" t="s">
        <v>66</v>
      </c>
      <c r="B16" s="4"/>
    </row>
    <row r="17" spans="1:6" x14ac:dyDescent="0.3">
      <c r="A17" s="4" t="s">
        <v>67</v>
      </c>
      <c r="B17" s="12">
        <f>B8-B9</f>
        <v>-953908</v>
      </c>
      <c r="D17" s="16"/>
      <c r="E17" s="16"/>
      <c r="F17" s="16"/>
    </row>
    <row r="18" spans="1:6" x14ac:dyDescent="0.3">
      <c r="A18" s="6" t="s">
        <v>68</v>
      </c>
      <c r="B18" s="13">
        <f>B17/B9*100</f>
        <v>-2.3142883483509711</v>
      </c>
      <c r="D18" s="16"/>
      <c r="E18" s="16"/>
      <c r="F18" s="16"/>
    </row>
    <row r="19" spans="1:6" ht="28.8" x14ac:dyDescent="0.3">
      <c r="A19" s="6" t="s">
        <v>69</v>
      </c>
      <c r="B19" s="7" t="s">
        <v>100</v>
      </c>
      <c r="D19" s="16"/>
      <c r="E19" s="16"/>
      <c r="F19" s="16"/>
    </row>
    <row r="20" spans="1:6" ht="38.4" customHeight="1" x14ac:dyDescent="0.3">
      <c r="A20" s="6" t="s">
        <v>70</v>
      </c>
      <c r="B20" s="7" t="s">
        <v>606</v>
      </c>
      <c r="D20" s="16"/>
      <c r="E20" s="16"/>
      <c r="F20" s="16"/>
    </row>
    <row r="21" spans="1:6" ht="29.4" thickBot="1" x14ac:dyDescent="0.35">
      <c r="A21" s="17" t="s">
        <v>71</v>
      </c>
      <c r="B21" s="9" t="s">
        <v>651</v>
      </c>
      <c r="D21" s="16"/>
      <c r="E21" s="16"/>
      <c r="F21" s="16"/>
    </row>
    <row r="22" spans="1:6" ht="15" thickBot="1" x14ac:dyDescent="0.35">
      <c r="D22" s="16"/>
      <c r="E22" s="16"/>
      <c r="F22" s="16"/>
    </row>
    <row r="23" spans="1:6" ht="15" thickBot="1" x14ac:dyDescent="0.35">
      <c r="A23" s="15" t="s">
        <v>72</v>
      </c>
      <c r="B23" s="38" t="s">
        <v>614</v>
      </c>
      <c r="C23" s="38" t="s">
        <v>10</v>
      </c>
      <c r="D23" s="16"/>
      <c r="E23" s="16"/>
      <c r="F23" s="16"/>
    </row>
    <row r="24" spans="1:6" x14ac:dyDescent="0.3">
      <c r="A24" s="4" t="s">
        <v>73</v>
      </c>
      <c r="B24" s="21" t="s">
        <v>41</v>
      </c>
      <c r="C24" s="29">
        <v>3730801</v>
      </c>
      <c r="D24" s="16"/>
      <c r="E24" s="16"/>
      <c r="F24" s="16"/>
    </row>
    <row r="25" spans="1:6" x14ac:dyDescent="0.3">
      <c r="A25" s="6"/>
      <c r="B25" s="20" t="s">
        <v>18</v>
      </c>
      <c r="C25" s="22">
        <v>3468228</v>
      </c>
      <c r="D25" s="16"/>
      <c r="E25" s="16"/>
      <c r="F25" s="16"/>
    </row>
    <row r="26" spans="1:6" x14ac:dyDescent="0.3">
      <c r="A26" s="6"/>
      <c r="B26" s="20" t="s">
        <v>24</v>
      </c>
      <c r="C26" s="22">
        <v>2490233</v>
      </c>
      <c r="D26" s="16"/>
      <c r="E26" s="16"/>
      <c r="F26" s="16"/>
    </row>
    <row r="27" spans="1:6" ht="15" thickBot="1" x14ac:dyDescent="0.35">
      <c r="A27" s="6"/>
      <c r="B27" s="70" t="s">
        <v>31</v>
      </c>
      <c r="C27" s="23">
        <v>2503630</v>
      </c>
      <c r="D27" s="16"/>
      <c r="E27" s="16"/>
      <c r="F27" s="16"/>
    </row>
    <row r="28" spans="1:6" x14ac:dyDescent="0.3">
      <c r="A28" s="6"/>
      <c r="B28" s="63"/>
      <c r="D28" s="16"/>
      <c r="E28" s="16"/>
      <c r="F28" s="16"/>
    </row>
    <row r="29" spans="1:6" x14ac:dyDescent="0.3">
      <c r="A29" s="6" t="s">
        <v>74</v>
      </c>
      <c r="B29" s="7">
        <f>Analysis!K51</f>
        <v>218</v>
      </c>
      <c r="D29" s="16"/>
      <c r="E29" s="16"/>
      <c r="F29" s="16"/>
    </row>
    <row r="30" spans="1:6" x14ac:dyDescent="0.3">
      <c r="A30" s="6" t="s">
        <v>75</v>
      </c>
      <c r="B30" s="13">
        <f>Analysis!K45</f>
        <v>40.957165863521141</v>
      </c>
      <c r="D30" s="16"/>
      <c r="E30" s="16"/>
      <c r="F30" s="16"/>
    </row>
    <row r="31" spans="1:6" x14ac:dyDescent="0.3">
      <c r="A31" s="6" t="s">
        <v>76</v>
      </c>
      <c r="B31" s="7" t="s">
        <v>47</v>
      </c>
      <c r="D31" s="16"/>
      <c r="E31" s="16"/>
      <c r="F31" s="16"/>
    </row>
    <row r="32" spans="1:6" ht="29.4" thickBot="1" x14ac:dyDescent="0.35">
      <c r="A32" s="8" t="s">
        <v>77</v>
      </c>
      <c r="B32" s="9" t="s">
        <v>652</v>
      </c>
      <c r="D32" s="16"/>
      <c r="E32" s="16"/>
      <c r="F32" s="16"/>
    </row>
    <row r="33" spans="1:6" ht="15" thickBot="1" x14ac:dyDescent="0.35">
      <c r="D33" s="16"/>
      <c r="E33" s="16"/>
      <c r="F33" s="16"/>
    </row>
    <row r="34" spans="1:6" ht="15" thickBot="1" x14ac:dyDescent="0.35">
      <c r="A34" s="15" t="s">
        <v>78</v>
      </c>
      <c r="B34" s="38" t="s">
        <v>3</v>
      </c>
      <c r="C34" s="39" t="s">
        <v>5</v>
      </c>
      <c r="D34" s="16"/>
      <c r="E34" s="16"/>
      <c r="F34" s="16"/>
    </row>
    <row r="35" spans="1:6" x14ac:dyDescent="0.3">
      <c r="A35" s="69" t="s">
        <v>79</v>
      </c>
      <c r="B35" s="64" t="s">
        <v>26</v>
      </c>
      <c r="C35" s="29">
        <v>3552385</v>
      </c>
    </row>
    <row r="36" spans="1:6" x14ac:dyDescent="0.3">
      <c r="A36" s="69"/>
      <c r="B36" s="25" t="s">
        <v>29</v>
      </c>
      <c r="C36" s="22">
        <v>3210663</v>
      </c>
    </row>
    <row r="37" spans="1:6" x14ac:dyDescent="0.3">
      <c r="A37" s="69"/>
      <c r="B37" s="25" t="s">
        <v>47</v>
      </c>
      <c r="C37" s="22">
        <v>3162699</v>
      </c>
    </row>
    <row r="38" spans="1:6" x14ac:dyDescent="0.3">
      <c r="A38" s="69"/>
      <c r="B38" s="25" t="s">
        <v>43</v>
      </c>
      <c r="C38" s="22">
        <v>3099139</v>
      </c>
    </row>
    <row r="39" spans="1:6" ht="15" thickBot="1" x14ac:dyDescent="0.35">
      <c r="A39" s="69"/>
      <c r="B39" s="26" t="s">
        <v>39</v>
      </c>
      <c r="C39" s="23">
        <v>3021365</v>
      </c>
    </row>
    <row r="40" spans="1:6" ht="15" thickBot="1" x14ac:dyDescent="0.35">
      <c r="A40" s="30"/>
    </row>
    <row r="41" spans="1:6" ht="15" thickBot="1" x14ac:dyDescent="0.35">
      <c r="A41" s="21" t="s">
        <v>80</v>
      </c>
      <c r="B41" s="36" t="s">
        <v>618</v>
      </c>
      <c r="C41" s="37" t="s">
        <v>10</v>
      </c>
    </row>
    <row r="42" spans="1:6" x14ac:dyDescent="0.3">
      <c r="A42" s="20"/>
      <c r="B42" s="64" t="s">
        <v>47</v>
      </c>
      <c r="C42" s="29">
        <v>1111499</v>
      </c>
    </row>
    <row r="43" spans="1:6" x14ac:dyDescent="0.3">
      <c r="A43" s="20"/>
      <c r="B43" s="25" t="s">
        <v>26</v>
      </c>
      <c r="C43" s="22">
        <v>967685</v>
      </c>
    </row>
    <row r="44" spans="1:6" x14ac:dyDescent="0.3">
      <c r="A44" s="20"/>
      <c r="B44" s="25" t="s">
        <v>33</v>
      </c>
      <c r="C44" s="22">
        <v>936689</v>
      </c>
    </row>
    <row r="45" spans="1:6" x14ac:dyDescent="0.3">
      <c r="A45" s="20"/>
      <c r="B45" s="25" t="s">
        <v>39</v>
      </c>
      <c r="C45" s="22">
        <v>934365</v>
      </c>
    </row>
    <row r="46" spans="1:6" ht="15" thickBot="1" x14ac:dyDescent="0.35">
      <c r="A46" s="20"/>
      <c r="B46" s="26" t="s">
        <v>43</v>
      </c>
      <c r="C46" s="23">
        <v>920139</v>
      </c>
    </row>
    <row r="47" spans="1:6" x14ac:dyDescent="0.3">
      <c r="A47" s="28" t="s">
        <v>81</v>
      </c>
      <c r="B47" s="5" t="s">
        <v>620</v>
      </c>
      <c r="C47" s="32"/>
    </row>
    <row r="48" spans="1:6" ht="15" thickBot="1" x14ac:dyDescent="0.35">
      <c r="A48" s="34" t="s">
        <v>82</v>
      </c>
      <c r="B48" s="19" t="s">
        <v>621</v>
      </c>
    </row>
    <row r="49" spans="1:5" ht="15" thickBot="1" x14ac:dyDescent="0.35">
      <c r="A49" s="21" t="s">
        <v>83</v>
      </c>
      <c r="B49" s="65" t="s">
        <v>4</v>
      </c>
      <c r="C49" s="66" t="s">
        <v>5</v>
      </c>
      <c r="D49" s="66" t="s">
        <v>622</v>
      </c>
      <c r="E49" s="67" t="s">
        <v>611</v>
      </c>
    </row>
    <row r="50" spans="1:5" ht="16.8" customHeight="1" x14ac:dyDescent="0.3">
      <c r="A50" s="20"/>
      <c r="B50" s="64" t="s">
        <v>27</v>
      </c>
      <c r="C50" s="68">
        <v>7626548</v>
      </c>
      <c r="D50" s="68">
        <v>5105200</v>
      </c>
      <c r="E50" s="71">
        <f>D50/C50*100</f>
        <v>66.939852735470879</v>
      </c>
    </row>
    <row r="51" spans="1:5" x14ac:dyDescent="0.3">
      <c r="A51" s="20"/>
      <c r="B51" s="25" t="s">
        <v>15</v>
      </c>
      <c r="C51" s="18">
        <v>6863761</v>
      </c>
      <c r="D51" s="18">
        <v>4930400</v>
      </c>
      <c r="E51" s="72">
        <f t="shared" ref="E51:E55" si="0">D51/C51*100</f>
        <v>71.832337984961896</v>
      </c>
    </row>
    <row r="52" spans="1:5" x14ac:dyDescent="0.3">
      <c r="A52" s="20"/>
      <c r="B52" s="25" t="s">
        <v>34</v>
      </c>
      <c r="C52" s="18">
        <v>6693007</v>
      </c>
      <c r="D52" s="18">
        <v>4639800</v>
      </c>
      <c r="E52" s="72">
        <f t="shared" si="0"/>
        <v>69.323100961944306</v>
      </c>
    </row>
    <row r="53" spans="1:5" x14ac:dyDescent="0.3">
      <c r="A53" s="20"/>
      <c r="B53" s="25" t="s">
        <v>21</v>
      </c>
      <c r="C53" s="18">
        <v>6592713</v>
      </c>
      <c r="D53" s="18">
        <v>4594200</v>
      </c>
      <c r="E53" s="72">
        <f t="shared" si="0"/>
        <v>69.686030621991279</v>
      </c>
    </row>
    <row r="54" spans="1:5" x14ac:dyDescent="0.3">
      <c r="A54" s="20"/>
      <c r="B54" s="25" t="s">
        <v>44</v>
      </c>
      <c r="C54" s="18">
        <v>6398232</v>
      </c>
      <c r="D54" s="18">
        <v>4410000</v>
      </c>
      <c r="E54" s="72">
        <f t="shared" si="0"/>
        <v>68.925290611531437</v>
      </c>
    </row>
    <row r="55" spans="1:5" ht="15" thickBot="1" x14ac:dyDescent="0.35">
      <c r="A55" s="20"/>
      <c r="B55" s="26" t="s">
        <v>37</v>
      </c>
      <c r="C55" s="33">
        <v>6090031</v>
      </c>
      <c r="D55" s="33">
        <v>4391800</v>
      </c>
      <c r="E55" s="73">
        <f t="shared" si="0"/>
        <v>72.114575443047826</v>
      </c>
    </row>
    <row r="56" spans="1:5" x14ac:dyDescent="0.3">
      <c r="A56" s="25"/>
      <c r="B56" s="31"/>
    </row>
    <row r="57" spans="1:5" x14ac:dyDescent="0.3">
      <c r="A57" s="25"/>
      <c r="B57" s="24"/>
    </row>
    <row r="58" spans="1:5" ht="15" thickBot="1" x14ac:dyDescent="0.35">
      <c r="A58" s="26"/>
      <c r="B58" s="27"/>
    </row>
    <row r="59" spans="1:5" ht="15" thickBot="1" x14ac:dyDescent="0.35">
      <c r="A59" s="35" t="s">
        <v>84</v>
      </c>
      <c r="B59" s="28"/>
    </row>
    <row r="60" spans="1:5" x14ac:dyDescent="0.3">
      <c r="A60" s="4" t="s">
        <v>85</v>
      </c>
      <c r="B60" s="7" t="s">
        <v>96</v>
      </c>
    </row>
    <row r="61" spans="1:5" ht="28.2" customHeight="1" x14ac:dyDescent="0.3">
      <c r="A61" s="6" t="s">
        <v>86</v>
      </c>
      <c r="B61" s="7" t="s">
        <v>96</v>
      </c>
    </row>
    <row r="62" spans="1:5" ht="29.4" thickBot="1" x14ac:dyDescent="0.35">
      <c r="A62" s="8" t="s">
        <v>87</v>
      </c>
      <c r="B62" s="7" t="s">
        <v>96</v>
      </c>
    </row>
    <row r="63" spans="1:5" ht="15" thickBot="1" x14ac:dyDescent="0.35"/>
    <row r="64" spans="1:5" ht="15" thickBot="1" x14ac:dyDescent="0.35">
      <c r="A64" s="15" t="s">
        <v>88</v>
      </c>
      <c r="B64" s="4"/>
    </row>
    <row r="65" spans="1:2" ht="43.2" x14ac:dyDescent="0.3">
      <c r="A65" s="4" t="s">
        <v>89</v>
      </c>
      <c r="B65" s="7" t="s">
        <v>653</v>
      </c>
    </row>
    <row r="66" spans="1:2" ht="43.2" x14ac:dyDescent="0.3">
      <c r="A66" s="6" t="s">
        <v>90</v>
      </c>
      <c r="B66" s="7" t="s">
        <v>654</v>
      </c>
    </row>
    <row r="67" spans="1:2" ht="29.4" thickBot="1" x14ac:dyDescent="0.35">
      <c r="A67" s="34" t="s">
        <v>91</v>
      </c>
      <c r="B67" s="19" t="s">
        <v>655</v>
      </c>
    </row>
    <row r="68" spans="1:2" x14ac:dyDescent="0.3">
      <c r="A68" s="21" t="s">
        <v>92</v>
      </c>
      <c r="B68" s="4" t="s">
        <v>656</v>
      </c>
    </row>
    <row r="69" spans="1:2" x14ac:dyDescent="0.3">
      <c r="A69" s="20"/>
      <c r="B69" s="6" t="s">
        <v>657</v>
      </c>
    </row>
    <row r="70" spans="1:2" ht="15" thickBot="1" x14ac:dyDescent="0.35">
      <c r="A70" s="20"/>
      <c r="B70" s="8" t="s">
        <v>658</v>
      </c>
    </row>
    <row r="71" spans="1:2" ht="15" thickBot="1" x14ac:dyDescent="0.35">
      <c r="A71" s="34"/>
    </row>
    <row r="72" spans="1:2" x14ac:dyDescent="0.3">
      <c r="A72" s="21" t="s">
        <v>93</v>
      </c>
      <c r="B72" s="4" t="s">
        <v>661</v>
      </c>
    </row>
    <row r="73" spans="1:2" x14ac:dyDescent="0.3">
      <c r="A73" s="20"/>
      <c r="B73" s="6" t="s">
        <v>662</v>
      </c>
    </row>
    <row r="74" spans="1:2" x14ac:dyDescent="0.3">
      <c r="A74" s="20"/>
      <c r="B74" s="6" t="s">
        <v>663</v>
      </c>
    </row>
    <row r="75" spans="1:2" x14ac:dyDescent="0.3">
      <c r="A75" s="20"/>
      <c r="B75" s="6" t="s">
        <v>659</v>
      </c>
    </row>
    <row r="76" spans="1:2" ht="15" thickBot="1" x14ac:dyDescent="0.35">
      <c r="A76" s="70"/>
      <c r="B76" s="8" t="s">
        <v>660</v>
      </c>
    </row>
    <row r="77" spans="1:2" ht="29.4" thickBot="1" x14ac:dyDescent="0.35">
      <c r="A77" s="83" t="s">
        <v>94</v>
      </c>
      <c r="B77" s="3"/>
    </row>
  </sheetData>
  <sortState xmlns:xlrd2="http://schemas.microsoft.com/office/spreadsheetml/2017/richdata2" ref="F18:F23">
    <sortCondition ref="F18:F23"/>
  </sortState>
  <mergeCells count="1">
    <mergeCell ref="A1:B1"/>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F1D0-90CD-4488-A86A-B58C0668B1BB}">
  <sheetPr>
    <tabColor theme="9" tint="0.39997558519241921"/>
  </sheetPr>
  <dimension ref="A1"/>
  <sheetViews>
    <sheetView showGridLines="0" topLeftCell="A14" zoomScale="56" zoomScaleNormal="105" workbookViewId="0">
      <selection activeCell="B31" sqref="B31"/>
    </sheetView>
  </sheetViews>
  <sheetFormatPr defaultRowHeight="14.4" x14ac:dyDescent="0.3"/>
  <cols>
    <col min="1" max="26" width="8.88671875" style="41"/>
    <col min="27" max="27" width="16.21875" style="41" bestFit="1" customWidth="1"/>
    <col min="28" max="29" width="8.88671875" style="41"/>
    <col min="30" max="30" width="18" style="41" bestFit="1" customWidth="1"/>
    <col min="31" max="31" width="19.6640625" style="41" bestFit="1" customWidth="1"/>
    <col min="32" max="16384" width="8.88671875" style="4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Analysis</vt:lpstr>
      <vt:lpstr>pvt. for Dash</vt:lpstr>
      <vt:lpstr>Question_Sheet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cp:lastModifiedBy>
  <cp:lastPrinted>2026-09-10T07:28:35Z</cp:lastPrinted>
  <dcterms:created xsi:type="dcterms:W3CDTF">2026-09-09T11:18:34Z</dcterms:created>
  <dcterms:modified xsi:type="dcterms:W3CDTF">2026-09-11T11:48:46Z</dcterms:modified>
</cp:coreProperties>
</file>